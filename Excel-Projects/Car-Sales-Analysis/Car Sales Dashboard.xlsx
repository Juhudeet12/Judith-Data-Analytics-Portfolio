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activeX/activeX1.xml" ContentType="application/vnd.ms-office.activeX+xml"/>
  <Override PartName="/xl/activeX/activeX1.bin" ContentType="application/vnd.ms-office.activeX"/>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a84cf8530002d3f3/Documents/"/>
    </mc:Choice>
  </mc:AlternateContent>
  <xr:revisionPtr revIDLastSave="8" documentId="8_{09D0D322-A082-45B2-B831-8FB5CA33E2E7}" xr6:coauthVersionLast="47" xr6:coauthVersionMax="47" xr10:uidLastSave="{6F1EC6B6-CE0F-4B27-8303-6BB4D5BAA1D5}"/>
  <bookViews>
    <workbookView xWindow="-120" yWindow="-120" windowWidth="20730" windowHeight="11040" tabRatio="853" activeTab="2" xr2:uid="{F9633680-4895-4BEF-9C9D-D6280C5F01A2}"/>
  </bookViews>
  <sheets>
    <sheet name="Data" sheetId="1" r:id="rId1"/>
    <sheet name="Pivot Tables" sheetId="15" r:id="rId2"/>
    <sheet name="Dashboard" sheetId="16" r:id="rId3"/>
    <sheet name="Question 1" sheetId="2" state="hidden" r:id="rId4"/>
    <sheet name="Question 2" sheetId="3" state="hidden" r:id="rId5"/>
    <sheet name="Question 3" sheetId="4" state="hidden" r:id="rId6"/>
    <sheet name="Question 4" sheetId="5" state="hidden" r:id="rId7"/>
    <sheet name="Question 5" sheetId="6" state="hidden" r:id="rId8"/>
    <sheet name="Question 6" sheetId="7" state="hidden" r:id="rId9"/>
    <sheet name="Question 7" sheetId="8" state="hidden" r:id="rId10"/>
    <sheet name="Question 8" sheetId="9" state="hidden" r:id="rId11"/>
    <sheet name="Question 9" sheetId="10" state="hidden" r:id="rId12"/>
    <sheet name="Question 10" sheetId="11" state="hidden" r:id="rId13"/>
    <sheet name="Question 11" sheetId="12" state="hidden" r:id="rId14"/>
    <sheet name="Question 12" sheetId="13" state="hidden" r:id="rId15"/>
    <sheet name="Question 13" sheetId="14" state="hidden" r:id="rId16"/>
  </sheets>
  <definedNames>
    <definedName name="_xlnm._FilterDatabase" localSheetId="3" hidden="1">'Question 1'!$A$1:$G$1001</definedName>
    <definedName name="Slicer_Car_Brand">#N/A</definedName>
    <definedName name="Slicer_Car_Color">#N/A</definedName>
    <definedName name="Slicer_Car_Model">#N/A</definedName>
    <definedName name="Slicer_Fuel_Type">#N/A</definedName>
    <definedName name="Slicer_Salesperson">#N/A</definedName>
  </definedNames>
  <calcPr calcId="181029"/>
  <pivotCaches>
    <pivotCache cacheId="0" r:id="rId17"/>
    <pivotCache cacheId="1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7" l="1"/>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2" i="6"/>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2" i="5"/>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2" i="4"/>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2" i="8"/>
</calcChain>
</file>

<file path=xl/sharedStrings.xml><?xml version="1.0" encoding="utf-8"?>
<sst xmlns="http://schemas.openxmlformats.org/spreadsheetml/2006/main" count="33260" uniqueCount="148">
  <si>
    <t>Sale ID</t>
  </si>
  <si>
    <t>Car Brand, Car Model</t>
  </si>
  <si>
    <t>Fuel Type</t>
  </si>
  <si>
    <t>Qty Sold by Salesperson</t>
  </si>
  <si>
    <t>Sale Price</t>
  </si>
  <si>
    <t>Salesperson</t>
  </si>
  <si>
    <t>Car Color</t>
  </si>
  <si>
    <t>Ford,Truck</t>
  </si>
  <si>
    <t>Electric</t>
  </si>
  <si>
    <t>Hannah Lee</t>
  </si>
  <si>
    <t>White</t>
  </si>
  <si>
    <t>Toyota,Hatchback</t>
  </si>
  <si>
    <t>Hybrid</t>
  </si>
  <si>
    <t>George Martin</t>
  </si>
  <si>
    <t>Red</t>
  </si>
  <si>
    <t>Chevrolet,Truck</t>
  </si>
  <si>
    <t>Diesel</t>
  </si>
  <si>
    <t>Fiona Brown</t>
  </si>
  <si>
    <t>Black</t>
  </si>
  <si>
    <t>Tesla,Minivan</t>
  </si>
  <si>
    <t>Bob Smith</t>
  </si>
  <si>
    <t>Tesla,Convertible</t>
  </si>
  <si>
    <t>Gasoline</t>
  </si>
  <si>
    <t>Silver</t>
  </si>
  <si>
    <t>Honda,Convertible</t>
  </si>
  <si>
    <t>Charlie Evans</t>
  </si>
  <si>
    <t>Gray</t>
  </si>
  <si>
    <t>Ford,Hatchback</t>
  </si>
  <si>
    <t>Ethan Clark</t>
  </si>
  <si>
    <t>Blue</t>
  </si>
  <si>
    <t>Nissan,Coupe</t>
  </si>
  <si>
    <t>Ford,Minivan</t>
  </si>
  <si>
    <t>Diana Ross</t>
  </si>
  <si>
    <t>Volkswagen,SUV</t>
  </si>
  <si>
    <t>Audi,Coupe</t>
  </si>
  <si>
    <t>Toyota,Convertible</t>
  </si>
  <si>
    <t>Toyota,Coupe</t>
  </si>
  <si>
    <t>Tesla,Truck</t>
  </si>
  <si>
    <t>Alice Johnson</t>
  </si>
  <si>
    <t>Nissan,Minivan</t>
  </si>
  <si>
    <t>Volkswagen,Convertible</t>
  </si>
  <si>
    <t>Audi,SUV</t>
  </si>
  <si>
    <t>Tesla,Hatchback</t>
  </si>
  <si>
    <t>Hyundai,SUV</t>
  </si>
  <si>
    <t>Chevrolet,Coupe</t>
  </si>
  <si>
    <t>Toyota,SUV</t>
  </si>
  <si>
    <t>Honda,Minivan</t>
  </si>
  <si>
    <t>Audi,Minivan</t>
  </si>
  <si>
    <t>BMW,Coupe</t>
  </si>
  <si>
    <t>Chevrolet,Sedan</t>
  </si>
  <si>
    <t>Honda,Truck</t>
  </si>
  <si>
    <t>Ford,Coupe</t>
  </si>
  <si>
    <t>BMW,Hatchback</t>
  </si>
  <si>
    <t>BMW,Minivan</t>
  </si>
  <si>
    <t>Volkswagen,Minivan</t>
  </si>
  <si>
    <t>Chevrolet,Hatchback</t>
  </si>
  <si>
    <t>Hyundai,Coupe</t>
  </si>
  <si>
    <t>Nissan,Sedan</t>
  </si>
  <si>
    <t>Ford,SUV</t>
  </si>
  <si>
    <t>Audi,Convertible</t>
  </si>
  <si>
    <t>Ford,Convertible</t>
  </si>
  <si>
    <t>Nissan,Truck</t>
  </si>
  <si>
    <t>Chevrolet,Minivan</t>
  </si>
  <si>
    <t>Volkswagen,Sedan</t>
  </si>
  <si>
    <t>Tesla,Coupe</t>
  </si>
  <si>
    <t>Ford,Sedan</t>
  </si>
  <si>
    <t>Tesla,SUV</t>
  </si>
  <si>
    <t>BMW,Sedan</t>
  </si>
  <si>
    <t>Honda,Coupe</t>
  </si>
  <si>
    <t>BMW,Truck</t>
  </si>
  <si>
    <t>Chevrolet,Convertible</t>
  </si>
  <si>
    <t>Volkswagen,Coupe</t>
  </si>
  <si>
    <t>Honda,Hatchback</t>
  </si>
  <si>
    <t>Hyundai,Minivan</t>
  </si>
  <si>
    <t>Audi,Hatchback</t>
  </si>
  <si>
    <t>Nissan,Convertible</t>
  </si>
  <si>
    <t>Toyota,Minivan</t>
  </si>
  <si>
    <t>BMW,SUV</t>
  </si>
  <si>
    <t>Hyundai,Hatchback</t>
  </si>
  <si>
    <t>Audi,Truck</t>
  </si>
  <si>
    <t>Tesla,Sedan</t>
  </si>
  <si>
    <t>Nissan,Hatchback</t>
  </si>
  <si>
    <t>Audi,Sedan</t>
  </si>
  <si>
    <t>Honda,Sedan</t>
  </si>
  <si>
    <t>Hyundai,Truck</t>
  </si>
  <si>
    <t>Toyota,Sedan</t>
  </si>
  <si>
    <t>Chevrolet,SUV</t>
  </si>
  <si>
    <t>Nissan,SUV</t>
  </si>
  <si>
    <t>Hyundai,Convertible</t>
  </si>
  <si>
    <t>Toyota,Truck</t>
  </si>
  <si>
    <t>Volkswagen,Truck</t>
  </si>
  <si>
    <t>Honda,SUV</t>
  </si>
  <si>
    <t>BMW,Convertible</t>
  </si>
  <si>
    <t>Volkswagen,Hatchback</t>
  </si>
  <si>
    <t>Hyundai,Sedan</t>
  </si>
  <si>
    <t>Commission</t>
  </si>
  <si>
    <t>Sales Priority</t>
  </si>
  <si>
    <t>Elecric Bonus</t>
  </si>
  <si>
    <t>Description</t>
  </si>
  <si>
    <t>Result</t>
  </si>
  <si>
    <t>Cars sold by Diana Ross</t>
  </si>
  <si>
    <t>Car Brand</t>
  </si>
  <si>
    <t>Car Model</t>
  </si>
  <si>
    <t>Sum of Sale Price</t>
  </si>
  <si>
    <t>Average of Avg Revenue per Car</t>
  </si>
  <si>
    <t>Audi</t>
  </si>
  <si>
    <t>BMW</t>
  </si>
  <si>
    <t>Chevrolet</t>
  </si>
  <si>
    <t>Ford</t>
  </si>
  <si>
    <t>Honda</t>
  </si>
  <si>
    <t>Hyundai</t>
  </si>
  <si>
    <t>Nissan</t>
  </si>
  <si>
    <t>Tesla</t>
  </si>
  <si>
    <t>Toyota</t>
  </si>
  <si>
    <t>Volkswagen</t>
  </si>
  <si>
    <t>Grand Total</t>
  </si>
  <si>
    <t/>
  </si>
  <si>
    <t>Total Sum of Sale ID</t>
  </si>
  <si>
    <t>Total Sum of Sale Price</t>
  </si>
  <si>
    <t>Sum of Sale ID</t>
  </si>
  <si>
    <t>Top Performer After Filtering: Alice Johnson</t>
  </si>
  <si>
    <t>PIVOT TABLE SUMMARIES FOR VISUALIZATION</t>
  </si>
  <si>
    <t>Total Revenue by Car Brand (Sorted Descending)</t>
  </si>
  <si>
    <t>Count of Sales by Fuel Type</t>
  </si>
  <si>
    <t>Average Sale Price by Fuel Type</t>
  </si>
  <si>
    <t>Average of Sale Price</t>
  </si>
  <si>
    <t>Top 5 Salespeople by Cars Sold</t>
  </si>
  <si>
    <t>EXECUTIVE DASHBOARD</t>
  </si>
  <si>
    <t xml:space="preserve"> Car Model</t>
  </si>
  <si>
    <t>Truck</t>
  </si>
  <si>
    <t>Hatchback</t>
  </si>
  <si>
    <t>Minivan</t>
  </si>
  <si>
    <t>Convertible</t>
  </si>
  <si>
    <t>Coupe</t>
  </si>
  <si>
    <t>SUV</t>
  </si>
  <si>
    <t>Sedan</t>
  </si>
  <si>
    <t>Total Cars Sold</t>
  </si>
  <si>
    <t>Total Revenue</t>
  </si>
  <si>
    <t>Total Car sold</t>
  </si>
  <si>
    <t>🚗 CAR SALES ANALYTICS DASHBOARD</t>
  </si>
  <si>
    <t>Prepared by: Judith Obiefuna</t>
  </si>
  <si>
    <t>Data Analyst Portfolio Project</t>
  </si>
  <si>
    <r>
      <rPr>
        <b/>
        <sz val="14"/>
        <color theme="0"/>
        <rFont val="Aptos Display"/>
        <family val="2"/>
        <scheme val="major"/>
      </rPr>
      <t>TOTAL REVENUE</t>
    </r>
    <r>
      <rPr>
        <b/>
        <sz val="16"/>
        <color theme="0"/>
        <rFont val="Aptos Display"/>
        <family val="2"/>
        <scheme val="major"/>
      </rPr>
      <t xml:space="preserve">
63,439,000</t>
    </r>
  </si>
  <si>
    <t>TOTAL CARS  
25157</t>
  </si>
  <si>
    <t>AVERAGE SALES PRICE
63,439,000</t>
  </si>
  <si>
    <t>CAR BRANDS
9</t>
  </si>
  <si>
    <r>
      <rPr>
        <b/>
        <sz val="14"/>
        <color theme="0"/>
        <rFont val="Aptos Display"/>
        <family val="2"/>
        <scheme val="major"/>
      </rPr>
      <t xml:space="preserve">SALESPERSON
</t>
    </r>
    <r>
      <rPr>
        <b/>
        <sz val="16"/>
        <color theme="0"/>
        <rFont val="Aptos Display"/>
        <family val="2"/>
        <scheme val="major"/>
      </rPr>
      <t>10</t>
    </r>
  </si>
  <si>
    <t>FUEL TYPE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</si>
</sst>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quot;₦&quot;#,##0"/>
  </numFmts>
  <fonts count="25">
    <font>
      <sz val="11"/>
      <color theme="1"/>
      <name val="Aptos Narrow"/>
      <family val="2"/>
      <scheme val="minor"/>
    </font>
    <font>
      <b/>
      <sz val="11"/>
      <color theme="1"/>
      <name val="Aptos Narrow"/>
    </font>
    <font>
      <sz val="11"/>
      <color theme="1"/>
      <name val="Aptos Narrow"/>
      <scheme val="minor"/>
    </font>
    <font>
      <sz val="11"/>
      <color theme="1"/>
      <name val="Aptos Narrow"/>
    </font>
    <font>
      <b/>
      <sz val="11"/>
      <color theme="1"/>
      <name val="Aptos Narrow"/>
      <family val="2"/>
      <scheme val="minor"/>
    </font>
    <font>
      <b/>
      <sz val="20"/>
      <color theme="1"/>
      <name val="Times New Roman"/>
      <family val="1"/>
    </font>
    <font>
      <sz val="8"/>
      <name val="Aptos Narrow"/>
      <family val="2"/>
      <scheme val="minor"/>
    </font>
    <font>
      <sz val="11"/>
      <color theme="1"/>
      <name val="Times New Roman"/>
      <family val="1"/>
    </font>
    <font>
      <sz val="14"/>
      <color theme="1"/>
      <name val="Times New Roman"/>
      <family val="1"/>
    </font>
    <font>
      <sz val="16"/>
      <color theme="1"/>
      <name val="Times New Roman"/>
      <family val="1"/>
    </font>
    <font>
      <b/>
      <sz val="12"/>
      <color theme="1"/>
      <name val="Times New Roman"/>
      <family val="1"/>
    </font>
    <font>
      <b/>
      <sz val="13.5"/>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
      <b/>
      <sz val="12"/>
      <color theme="1"/>
      <name val="Aptos Narrow"/>
      <family val="2"/>
      <scheme val="minor"/>
    </font>
    <font>
      <b/>
      <sz val="18"/>
      <color theme="1" tint="4.9989318521683403E-2"/>
      <name val="Times New Roman"/>
      <family val="1"/>
    </font>
    <font>
      <b/>
      <sz val="16"/>
      <color theme="1" tint="4.9989318521683403E-2"/>
      <name val="Times New Roman"/>
      <family val="1"/>
    </font>
    <font>
      <sz val="16"/>
      <color rgb="FFC00000"/>
      <name val="Times New Roman"/>
      <family val="1"/>
    </font>
    <font>
      <sz val="11"/>
      <color theme="1"/>
      <name val="Aptos Narrow"/>
      <family val="2"/>
      <scheme val="minor"/>
    </font>
    <font>
      <sz val="11"/>
      <color theme="0"/>
      <name val="Aptos Narrow"/>
      <family val="2"/>
      <scheme val="minor"/>
    </font>
    <font>
      <b/>
      <sz val="20"/>
      <color theme="0"/>
      <name val="Aptos Display"/>
      <family val="2"/>
      <scheme val="major"/>
    </font>
    <font>
      <i/>
      <sz val="11"/>
      <color theme="1" tint="0.249977111117893"/>
      <name val="Aptos Narrow"/>
      <family val="2"/>
      <scheme val="minor"/>
    </font>
    <font>
      <b/>
      <sz val="16"/>
      <color theme="0"/>
      <name val="Aptos Display"/>
      <family val="2"/>
      <scheme val="major"/>
    </font>
    <font>
      <b/>
      <sz val="14"/>
      <color theme="0"/>
      <name val="Aptos Display"/>
      <family val="2"/>
      <scheme val="maj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44" fontId="19" fillId="0" borderId="0" applyFont="0" applyFill="0" applyBorder="0" applyAlignment="0" applyProtection="0"/>
  </cellStyleXfs>
  <cellXfs count="44">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9" fontId="0" fillId="0" borderId="0" xfId="0" applyNumberFormat="1"/>
    <xf numFmtId="0" fontId="8" fillId="0" borderId="0" xfId="0" applyFont="1"/>
    <xf numFmtId="0" fontId="9" fillId="0" borderId="0" xfId="0" applyFont="1"/>
    <xf numFmtId="0" fontId="10" fillId="0" borderId="0" xfId="0" applyFont="1"/>
    <xf numFmtId="0" fontId="0" fillId="0" borderId="0" xfId="0" applyAlignment="1">
      <alignment vertical="center"/>
    </xf>
    <xf numFmtId="0" fontId="11" fillId="0" borderId="0" xfId="0" applyFont="1" applyAlignment="1">
      <alignment vertical="center"/>
    </xf>
    <xf numFmtId="0" fontId="4" fillId="0" borderId="0" xfId="0" applyFont="1"/>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applyAlignment="1">
      <alignment horizontal="center" vertical="center" wrapText="1"/>
    </xf>
    <xf numFmtId="0" fontId="0" fillId="0" borderId="0" xfId="0" applyAlignment="1">
      <alignment vertical="center" wrapText="1"/>
    </xf>
    <xf numFmtId="0" fontId="15" fillId="0" borderId="0" xfId="0" applyFont="1" applyAlignment="1">
      <alignment vertical="center"/>
    </xf>
    <xf numFmtId="0" fontId="0" fillId="0" borderId="0" xfId="0" applyAlignment="1">
      <alignment horizontal="center"/>
    </xf>
    <xf numFmtId="0" fontId="16" fillId="0" borderId="0" xfId="0" applyFont="1" applyAlignment="1">
      <alignment horizontal="center"/>
    </xf>
    <xf numFmtId="0" fontId="7" fillId="0" borderId="0" xfId="0" applyFont="1" applyAlignment="1">
      <alignment horizontal="center"/>
    </xf>
    <xf numFmtId="0" fontId="9" fillId="0" borderId="0" xfId="0" applyFont="1" applyAlignment="1">
      <alignment horizontal="distributed" textRotation="255"/>
    </xf>
    <xf numFmtId="0" fontId="8" fillId="0" borderId="0" xfId="0" pivotButton="1" applyFont="1"/>
    <xf numFmtId="0" fontId="8" fillId="0" borderId="0" xfId="0" applyFont="1" applyAlignment="1">
      <alignment horizontal="left"/>
    </xf>
    <xf numFmtId="164" fontId="8" fillId="0" borderId="0" xfId="0" applyNumberFormat="1" applyFont="1"/>
    <xf numFmtId="164" fontId="9" fillId="0" borderId="0" xfId="0" applyNumberFormat="1" applyFont="1"/>
    <xf numFmtId="0" fontId="9" fillId="0" borderId="0" xfId="0" pivotButton="1" applyFont="1"/>
    <xf numFmtId="0" fontId="9" fillId="0" borderId="0" xfId="0" applyFont="1" applyAlignment="1">
      <alignment horizontal="left"/>
    </xf>
    <xf numFmtId="0" fontId="18" fillId="0" borderId="0" xfId="0" applyFont="1" applyAlignment="1">
      <alignment horizontal="center"/>
    </xf>
    <xf numFmtId="0" fontId="17" fillId="0" borderId="0" xfId="0" applyFon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21" fillId="2" borderId="0" xfId="0" applyFont="1" applyFill="1" applyAlignment="1">
      <alignment horizontal="center"/>
    </xf>
    <xf numFmtId="0" fontId="20" fillId="2" borderId="0" xfId="0" applyFont="1" applyFill="1" applyAlignment="1">
      <alignment horizontal="center"/>
    </xf>
    <xf numFmtId="0" fontId="22" fillId="0" borderId="0" xfId="0" applyFont="1" applyAlignment="1">
      <alignment horizontal="center"/>
    </xf>
    <xf numFmtId="0" fontId="23" fillId="2" borderId="0" xfId="0" applyFont="1" applyFill="1" applyAlignment="1">
      <alignment horizontal="center" wrapText="1"/>
    </xf>
    <xf numFmtId="165" fontId="24" fillId="2" borderId="0" xfId="0" applyNumberFormat="1" applyFont="1" applyFill="1" applyAlignment="1">
      <alignment horizontal="center" wrapText="1"/>
    </xf>
    <xf numFmtId="165" fontId="20" fillId="2" borderId="0" xfId="0" applyNumberFormat="1" applyFont="1" applyFill="1" applyAlignment="1">
      <alignment horizontal="center"/>
    </xf>
    <xf numFmtId="165" fontId="23" fillId="2" borderId="0" xfId="1" applyNumberFormat="1" applyFont="1" applyFill="1" applyAlignment="1">
      <alignment horizontal="center" wrapText="1"/>
    </xf>
    <xf numFmtId="165" fontId="23" fillId="2" borderId="0" xfId="1" applyNumberFormat="1" applyFont="1" applyFill="1" applyAlignment="1">
      <alignment horizontal="center"/>
    </xf>
  </cellXfs>
  <cellStyles count="2">
    <cellStyle name="Currency" xfId="1" builtinId="4"/>
    <cellStyle name="Normal" xfId="0" builtinId="0"/>
  </cellStyles>
  <dxfs count="78">
    <dxf>
      <font>
        <color rgb="FF9C0006"/>
      </font>
      <fill>
        <patternFill>
          <bgColor rgb="FFFFC7CE"/>
        </patternFill>
      </fill>
    </dxf>
    <dxf>
      <font>
        <color rgb="FF9C0006"/>
      </font>
      <fill>
        <patternFill>
          <bgColor rgb="FFFFC7CE"/>
        </patternFill>
      </fill>
    </dxf>
    <dxf>
      <fill>
        <patternFill>
          <bgColor rgb="FFFF0000"/>
        </patternFill>
      </fill>
    </dxf>
    <dxf>
      <fill>
        <patternFill>
          <bgColor theme="6"/>
        </patternFill>
      </fill>
    </dxf>
    <dxf>
      <font>
        <b val="0"/>
        <i val="0"/>
        <strike val="0"/>
        <condense val="0"/>
        <extend val="0"/>
        <outline val="0"/>
        <shadow val="0"/>
        <u val="none"/>
        <vertAlign val="baseline"/>
        <sz val="11"/>
        <color theme="1"/>
        <name val="Aptos Narrow"/>
        <scheme val="minor"/>
      </font>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name val="Times New Roman"/>
        <family val="1"/>
        <scheme val="none"/>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1"/>
        <name val="Aptos Narrow"/>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j-lt"/>
              </a:rPr>
              <a:t>Total Cars Sold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Tables'!$A$2:$A$12</c:f>
              <c:strCache>
                <c:ptCount val="10"/>
                <c:pt idx="0">
                  <c:v>Audi</c:v>
                </c:pt>
                <c:pt idx="1">
                  <c:v>BMW</c:v>
                </c:pt>
                <c:pt idx="2">
                  <c:v>Chevrolet</c:v>
                </c:pt>
                <c:pt idx="3">
                  <c:v>Ford</c:v>
                </c:pt>
                <c:pt idx="4">
                  <c:v>Honda</c:v>
                </c:pt>
                <c:pt idx="5">
                  <c:v>Hyundai</c:v>
                </c:pt>
                <c:pt idx="6">
                  <c:v>Nissan</c:v>
                </c:pt>
                <c:pt idx="7">
                  <c:v>Tesla</c:v>
                </c:pt>
                <c:pt idx="8">
                  <c:v>Toyota</c:v>
                </c:pt>
                <c:pt idx="9">
                  <c:v>Volkswagen</c:v>
                </c:pt>
              </c:strCache>
            </c:strRef>
          </c:cat>
          <c:val>
            <c:numRef>
              <c:f>'Pivot Tables'!$B$2:$B$12</c:f>
              <c:numCache>
                <c:formatCode>0</c:formatCode>
                <c:ptCount val="10"/>
                <c:pt idx="0">
                  <c:v>2421</c:v>
                </c:pt>
                <c:pt idx="1">
                  <c:v>1985</c:v>
                </c:pt>
                <c:pt idx="2">
                  <c:v>3060</c:v>
                </c:pt>
                <c:pt idx="3">
                  <c:v>2598</c:v>
                </c:pt>
                <c:pt idx="4">
                  <c:v>2045</c:v>
                </c:pt>
                <c:pt idx="5">
                  <c:v>2660</c:v>
                </c:pt>
                <c:pt idx="6">
                  <c:v>2651</c:v>
                </c:pt>
                <c:pt idx="7">
                  <c:v>2985</c:v>
                </c:pt>
                <c:pt idx="8">
                  <c:v>2337</c:v>
                </c:pt>
                <c:pt idx="9">
                  <c:v>2415</c:v>
                </c:pt>
              </c:numCache>
            </c:numRef>
          </c:val>
          <c:extLst>
            <c:ext xmlns:c16="http://schemas.microsoft.com/office/drawing/2014/chart" uri="{C3380CC4-5D6E-409C-BE32-E72D297353CC}">
              <c16:uniqueId val="{00000000-A829-449C-9DCD-70FD9980B448}"/>
            </c:ext>
          </c:extLst>
        </c:ser>
        <c:dLbls>
          <c:showLegendKey val="0"/>
          <c:showVal val="1"/>
          <c:showCatName val="0"/>
          <c:showSerName val="0"/>
          <c:showPercent val="0"/>
          <c:showBubbleSize val="0"/>
        </c:dLbls>
        <c:gapWidth val="150"/>
        <c:shape val="box"/>
        <c:axId val="1982279264"/>
        <c:axId val="1982279744"/>
        <c:axId val="0"/>
      </c:bar3DChart>
      <c:catAx>
        <c:axId val="1982279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mj-lt"/>
                  </a:rPr>
                  <a:t>Car</a:t>
                </a:r>
                <a:r>
                  <a:rPr lang="en-US" sz="1200" b="1" baseline="0">
                    <a:latin typeface="+mj-lt"/>
                  </a:rPr>
                  <a:t> Brand</a:t>
                </a:r>
              </a:p>
              <a:p>
                <a:pPr>
                  <a:defRPr/>
                </a:pP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9744"/>
        <c:crosses val="autoZero"/>
        <c:auto val="1"/>
        <c:lblAlgn val="ctr"/>
        <c:lblOffset val="100"/>
        <c:noMultiLvlLbl val="0"/>
      </c:catAx>
      <c:valAx>
        <c:axId val="198227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mj-lt"/>
                  </a:rPr>
                  <a:t>Total</a:t>
                </a:r>
                <a:r>
                  <a:rPr lang="en-US" sz="1100" b="1" baseline="0">
                    <a:latin typeface="+mj-lt"/>
                  </a:rPr>
                  <a:t> Car Sold</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Generated by Salesperson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Tables'!$A$16:$A$24</c:f>
              <c:strCache>
                <c:ptCount val="8"/>
                <c:pt idx="0">
                  <c:v>Alice Johnson</c:v>
                </c:pt>
                <c:pt idx="1">
                  <c:v>Bob Smith</c:v>
                </c:pt>
                <c:pt idx="2">
                  <c:v>Charlie Evans</c:v>
                </c:pt>
                <c:pt idx="3">
                  <c:v>Diana Ross</c:v>
                </c:pt>
                <c:pt idx="4">
                  <c:v>Ethan Clark</c:v>
                </c:pt>
                <c:pt idx="5">
                  <c:v>Fiona Brown</c:v>
                </c:pt>
                <c:pt idx="6">
                  <c:v>George Martin</c:v>
                </c:pt>
                <c:pt idx="7">
                  <c:v>Hannah Lee</c:v>
                </c:pt>
              </c:strCache>
            </c:strRef>
          </c:cat>
          <c:val>
            <c:numRef>
              <c:f>'Pivot Tables'!$B$16:$B$24</c:f>
              <c:numCache>
                <c:formatCode>"₦"#,##0</c:formatCode>
                <c:ptCount val="8"/>
                <c:pt idx="0">
                  <c:v>119</c:v>
                </c:pt>
                <c:pt idx="1">
                  <c:v>115</c:v>
                </c:pt>
                <c:pt idx="2">
                  <c:v>130</c:v>
                </c:pt>
                <c:pt idx="3">
                  <c:v>129</c:v>
                </c:pt>
                <c:pt idx="4">
                  <c:v>127</c:v>
                </c:pt>
                <c:pt idx="5">
                  <c:v>125</c:v>
                </c:pt>
                <c:pt idx="6">
                  <c:v>127</c:v>
                </c:pt>
                <c:pt idx="7">
                  <c:v>128</c:v>
                </c:pt>
              </c:numCache>
            </c:numRef>
          </c:val>
          <c:extLst>
            <c:ext xmlns:c16="http://schemas.microsoft.com/office/drawing/2014/chart" uri="{C3380CC4-5D6E-409C-BE32-E72D297353CC}">
              <c16:uniqueId val="{00000000-FE21-43D4-8ABA-3726DF31B52C}"/>
            </c:ext>
          </c:extLst>
        </c:ser>
        <c:dLbls>
          <c:showLegendKey val="0"/>
          <c:showVal val="1"/>
          <c:showCatName val="0"/>
          <c:showSerName val="0"/>
          <c:showPercent val="0"/>
          <c:showBubbleSize val="0"/>
        </c:dLbls>
        <c:gapWidth val="150"/>
        <c:shape val="box"/>
        <c:axId val="1387344096"/>
        <c:axId val="1387344576"/>
        <c:axId val="0"/>
      </c:bar3DChart>
      <c:catAx>
        <c:axId val="1387344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b="1">
                    <a:latin typeface="+mj-lt"/>
                  </a:rPr>
                  <a:t>Salesperson</a:t>
                </a:r>
              </a:p>
              <a:p>
                <a:pPr>
                  <a:defRPr/>
                </a:pPr>
                <a:endParaRPr lang="en-US"/>
              </a:p>
            </c:rich>
          </c:tx>
          <c:layout>
            <c:manualLayout>
              <c:xMode val="edge"/>
              <c:yMode val="edge"/>
              <c:x val="0.42335712655719432"/>
              <c:y val="0.81492277856959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44576"/>
        <c:crosses val="autoZero"/>
        <c:auto val="1"/>
        <c:lblAlgn val="ctr"/>
        <c:lblOffset val="100"/>
        <c:noMultiLvlLbl val="0"/>
      </c:catAx>
      <c:valAx>
        <c:axId val="138734457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t>Total</a:t>
                </a:r>
                <a:r>
                  <a:rPr lang="en-US" sz="1050" b="1" baseline="0"/>
                  <a:t> Revenue</a:t>
                </a:r>
              </a:p>
              <a:p>
                <a:pPr>
                  <a:defRPr/>
                </a:pPr>
                <a:r>
                  <a:rPr lang="en-US"/>
                  <a: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Fuel Type</a:t>
            </a:r>
          </a:p>
        </c:rich>
      </c:tx>
      <c:layout>
        <c:manualLayout>
          <c:xMode val="edge"/>
          <c:yMode val="edge"/>
          <c:x val="0.13957747612836738"/>
          <c:y val="0.108002020252200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8124781277340333"/>
          <c:w val="0.77638888888888891"/>
          <c:h val="0.66319663167104115"/>
        </c:manualLayout>
      </c:layout>
      <c:pie3DChart>
        <c:varyColors val="1"/>
        <c:ser>
          <c:idx val="0"/>
          <c:order val="0"/>
          <c:tx>
            <c:strRef>
              <c:f>'Pivot Tables'!$F$15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E7-4B72-908D-E37DD1C892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E7-4B72-908D-E37DD1C892D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E7-4B72-908D-E37DD1C892D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E7-4B72-908D-E37DD1C892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Tables'!$E$16:$E$20</c:f>
              <c:strCache>
                <c:ptCount val="4"/>
                <c:pt idx="0">
                  <c:v>Diesel</c:v>
                </c:pt>
                <c:pt idx="1">
                  <c:v>Electric</c:v>
                </c:pt>
                <c:pt idx="2">
                  <c:v>Gasoline</c:v>
                </c:pt>
                <c:pt idx="3">
                  <c:v>Hybrid</c:v>
                </c:pt>
              </c:strCache>
            </c:strRef>
          </c:cat>
          <c:val>
            <c:numRef>
              <c:f>'Pivot Tables'!$F$16:$F$20</c:f>
              <c:numCache>
                <c:formatCode>0</c:formatCode>
                <c:ptCount val="4"/>
                <c:pt idx="0">
                  <c:v>6243</c:v>
                </c:pt>
                <c:pt idx="1">
                  <c:v>6958</c:v>
                </c:pt>
                <c:pt idx="2">
                  <c:v>5255</c:v>
                </c:pt>
                <c:pt idx="3">
                  <c:v>6701</c:v>
                </c:pt>
              </c:numCache>
            </c:numRef>
          </c:val>
          <c:extLst>
            <c:ext xmlns:c16="http://schemas.microsoft.com/office/drawing/2014/chart" uri="{C3380CC4-5D6E-409C-BE32-E72D297353CC}">
              <c16:uniqueId val="{00000008-D2E7-4B72-908D-E37DD1C892D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Tables!PivotTable5</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Car Color</a:t>
            </a:r>
          </a:p>
        </c:rich>
      </c:tx>
      <c:layout>
        <c:manualLayout>
          <c:xMode val="edge"/>
          <c:yMode val="edge"/>
          <c:x val="0.14545352052143093"/>
          <c:y val="0.1200828157349896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Tables'!$B$27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16B-4AE3-BB5F-B6FCC23724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16B-4AE3-BB5F-B6FCC23724A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16B-4AE3-BB5F-B6FCC23724A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16B-4AE3-BB5F-B6FCC23724A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16B-4AE3-BB5F-B6FCC23724A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16B-4AE3-BB5F-B6FCC23724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Tables'!$A$28:$A$34</c:f>
              <c:strCache>
                <c:ptCount val="6"/>
                <c:pt idx="0">
                  <c:v>Red</c:v>
                </c:pt>
                <c:pt idx="1">
                  <c:v>Gray</c:v>
                </c:pt>
                <c:pt idx="2">
                  <c:v>Black</c:v>
                </c:pt>
                <c:pt idx="3">
                  <c:v>White</c:v>
                </c:pt>
                <c:pt idx="4">
                  <c:v>Silver</c:v>
                </c:pt>
                <c:pt idx="5">
                  <c:v>Blue</c:v>
                </c:pt>
              </c:strCache>
            </c:strRef>
          </c:cat>
          <c:val>
            <c:numRef>
              <c:f>'Pivot Tables'!$B$28:$B$34</c:f>
              <c:numCache>
                <c:formatCode>0</c:formatCode>
                <c:ptCount val="6"/>
                <c:pt idx="0">
                  <c:v>4519</c:v>
                </c:pt>
                <c:pt idx="1">
                  <c:v>4518</c:v>
                </c:pt>
                <c:pt idx="2">
                  <c:v>4285</c:v>
                </c:pt>
                <c:pt idx="3">
                  <c:v>3999</c:v>
                </c:pt>
                <c:pt idx="4">
                  <c:v>3944</c:v>
                </c:pt>
                <c:pt idx="5">
                  <c:v>3892</c:v>
                </c:pt>
              </c:numCache>
            </c:numRef>
          </c:val>
          <c:extLst>
            <c:ext xmlns:c16="http://schemas.microsoft.com/office/drawing/2014/chart" uri="{C3380CC4-5D6E-409C-BE32-E72D297353CC}">
              <c16:uniqueId val="{0000000C-D16B-4AE3-BB5F-B6FCC23724A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Top-Selling Car Models</a:t>
            </a:r>
          </a:p>
        </c:rich>
      </c:tx>
      <c:layout>
        <c:manualLayout>
          <c:xMode val="edge"/>
          <c:yMode val="edge"/>
          <c:x val="0.20078097857312313"/>
          <c:y val="7.3664801333795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Tables'!$F$23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Tables'!$E$24:$E$31</c:f>
              <c:strCache>
                <c:ptCount val="7"/>
                <c:pt idx="0">
                  <c:v>Convertible</c:v>
                </c:pt>
                <c:pt idx="1">
                  <c:v>Coupe</c:v>
                </c:pt>
                <c:pt idx="2">
                  <c:v>Hatchback</c:v>
                </c:pt>
                <c:pt idx="3">
                  <c:v>Minivan</c:v>
                </c:pt>
                <c:pt idx="4">
                  <c:v>Sedan</c:v>
                </c:pt>
                <c:pt idx="5">
                  <c:v>SUV</c:v>
                </c:pt>
                <c:pt idx="6">
                  <c:v>Truck</c:v>
                </c:pt>
              </c:strCache>
            </c:strRef>
          </c:cat>
          <c:val>
            <c:numRef>
              <c:f>'Pivot Tables'!$F$24:$F$31</c:f>
              <c:numCache>
                <c:formatCode>0</c:formatCode>
                <c:ptCount val="7"/>
                <c:pt idx="0">
                  <c:v>3475</c:v>
                </c:pt>
                <c:pt idx="1">
                  <c:v>3732</c:v>
                </c:pt>
                <c:pt idx="2">
                  <c:v>3938</c:v>
                </c:pt>
                <c:pt idx="3">
                  <c:v>3991</c:v>
                </c:pt>
                <c:pt idx="4">
                  <c:v>3700</c:v>
                </c:pt>
                <c:pt idx="5">
                  <c:v>2916</c:v>
                </c:pt>
                <c:pt idx="6">
                  <c:v>3405</c:v>
                </c:pt>
              </c:numCache>
            </c:numRef>
          </c:val>
          <c:extLst>
            <c:ext xmlns:c16="http://schemas.microsoft.com/office/drawing/2014/chart" uri="{C3380CC4-5D6E-409C-BE32-E72D297353CC}">
              <c16:uniqueId val="{00000000-A709-4C6D-BC00-8681957ADACB}"/>
            </c:ext>
          </c:extLst>
        </c:ser>
        <c:dLbls>
          <c:showLegendKey val="0"/>
          <c:showVal val="1"/>
          <c:showCatName val="0"/>
          <c:showSerName val="0"/>
          <c:showPercent val="0"/>
          <c:showBubbleSize val="0"/>
        </c:dLbls>
        <c:gapWidth val="150"/>
        <c:shape val="box"/>
        <c:axId val="1387339488"/>
        <c:axId val="1387339968"/>
        <c:axId val="0"/>
      </c:bar3DChart>
      <c:catAx>
        <c:axId val="138733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39968"/>
        <c:crosses val="autoZero"/>
        <c:auto val="1"/>
        <c:lblAlgn val="ctr"/>
        <c:lblOffset val="100"/>
        <c:noMultiLvlLbl val="0"/>
      </c:catAx>
      <c:valAx>
        <c:axId val="13873399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3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 Sales Dashboard.xlsx]Question 12!PivotTable9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Total Revenue by Car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12'!$A$4:$A$14</c:f>
              <c:strCache>
                <c:ptCount val="10"/>
                <c:pt idx="0">
                  <c:v>Chevrolet</c:v>
                </c:pt>
                <c:pt idx="1">
                  <c:v>Tesla</c:v>
                </c:pt>
                <c:pt idx="2">
                  <c:v>Ford</c:v>
                </c:pt>
                <c:pt idx="3">
                  <c:v>Nissan</c:v>
                </c:pt>
                <c:pt idx="4">
                  <c:v>Audi</c:v>
                </c:pt>
                <c:pt idx="5">
                  <c:v>Hyundai</c:v>
                </c:pt>
                <c:pt idx="6">
                  <c:v>Volkswagen</c:v>
                </c:pt>
                <c:pt idx="7">
                  <c:v>Toyota</c:v>
                </c:pt>
                <c:pt idx="8">
                  <c:v>Honda</c:v>
                </c:pt>
                <c:pt idx="9">
                  <c:v>BMW</c:v>
                </c:pt>
              </c:strCache>
            </c:strRef>
          </c:cat>
          <c:val>
            <c:numRef>
              <c:f>'Question 12'!$B$4:$B$14</c:f>
              <c:numCache>
                <c:formatCode>General</c:formatCode>
                <c:ptCount val="10"/>
                <c:pt idx="0">
                  <c:v>7702367</c:v>
                </c:pt>
                <c:pt idx="1">
                  <c:v>7347100</c:v>
                </c:pt>
                <c:pt idx="2">
                  <c:v>6792216</c:v>
                </c:pt>
                <c:pt idx="3">
                  <c:v>6543619</c:v>
                </c:pt>
                <c:pt idx="4">
                  <c:v>6408278</c:v>
                </c:pt>
                <c:pt idx="5">
                  <c:v>6366281</c:v>
                </c:pt>
                <c:pt idx="6">
                  <c:v>6153923</c:v>
                </c:pt>
                <c:pt idx="7">
                  <c:v>5870734</c:v>
                </c:pt>
                <c:pt idx="8">
                  <c:v>5327273</c:v>
                </c:pt>
                <c:pt idx="9">
                  <c:v>5233878</c:v>
                </c:pt>
              </c:numCache>
            </c:numRef>
          </c:val>
          <c:extLst>
            <c:ext xmlns:c16="http://schemas.microsoft.com/office/drawing/2014/chart" uri="{C3380CC4-5D6E-409C-BE32-E72D297353CC}">
              <c16:uniqueId val="{00000000-BF8F-47AF-A6B1-FD6A9E04FFE3}"/>
            </c:ext>
          </c:extLst>
        </c:ser>
        <c:dLbls>
          <c:showLegendKey val="0"/>
          <c:showVal val="0"/>
          <c:showCatName val="0"/>
          <c:showSerName val="0"/>
          <c:showPercent val="0"/>
          <c:showBubbleSize val="0"/>
        </c:dLbls>
        <c:gapWidth val="100"/>
        <c:overlap val="-24"/>
        <c:axId val="50456383"/>
        <c:axId val="1120151519"/>
      </c:barChart>
      <c:catAx>
        <c:axId val="5045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151519"/>
        <c:crosses val="autoZero"/>
        <c:auto val="1"/>
        <c:lblAlgn val="ctr"/>
        <c:lblOffset val="100"/>
        <c:noMultiLvlLbl val="0"/>
      </c:catAx>
      <c:valAx>
        <c:axId val="1120151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5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Dashboard.xlsx]Question 12!PivotTable10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Sales by Fuel Type</a:t>
            </a:r>
          </a:p>
        </c:rich>
      </c:tx>
      <c:layout>
        <c:manualLayout>
          <c:xMode val="edge"/>
          <c:yMode val="edge"/>
          <c:x val="0.22456233595800526"/>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 12'!$H$3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39-4363-8AB9-D1BEB8FED07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39-4363-8AB9-D1BEB8FED07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39-4363-8AB9-D1BEB8FED079}"/>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39-4363-8AB9-D1BEB8FED0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 12'!$G$4:$G$8</c:f>
              <c:strCache>
                <c:ptCount val="4"/>
                <c:pt idx="0">
                  <c:v>Diesel</c:v>
                </c:pt>
                <c:pt idx="1">
                  <c:v>Electric</c:v>
                </c:pt>
                <c:pt idx="2">
                  <c:v>Gasoline</c:v>
                </c:pt>
                <c:pt idx="3">
                  <c:v>Hybrid</c:v>
                </c:pt>
              </c:strCache>
            </c:strRef>
          </c:cat>
          <c:val>
            <c:numRef>
              <c:f>'Question 12'!$H$4:$H$8</c:f>
              <c:numCache>
                <c:formatCode>General</c:formatCode>
                <c:ptCount val="4"/>
                <c:pt idx="0">
                  <c:v>121020</c:v>
                </c:pt>
                <c:pt idx="1">
                  <c:v>127107</c:v>
                </c:pt>
                <c:pt idx="2">
                  <c:v>116402</c:v>
                </c:pt>
                <c:pt idx="3">
                  <c:v>135971</c:v>
                </c:pt>
              </c:numCache>
            </c:numRef>
          </c:val>
          <c:extLst>
            <c:ext xmlns:c16="http://schemas.microsoft.com/office/drawing/2014/chart" uri="{C3380CC4-5D6E-409C-BE32-E72D297353CC}">
              <c16:uniqueId val="{00000008-8A39-4363-8AB9-D1BEB8FED0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Dashboard.xlsx]Question 12!PivotTable11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Average Sale Price by Fuel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12'!$L$3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12'!$K$4:$K$8</c:f>
              <c:strCache>
                <c:ptCount val="4"/>
                <c:pt idx="0">
                  <c:v>Diesel</c:v>
                </c:pt>
                <c:pt idx="1">
                  <c:v>Electric</c:v>
                </c:pt>
                <c:pt idx="2">
                  <c:v>Gasoline</c:v>
                </c:pt>
                <c:pt idx="3">
                  <c:v>Hybrid</c:v>
                </c:pt>
              </c:strCache>
            </c:strRef>
          </c:cat>
          <c:val>
            <c:numRef>
              <c:f>'Question 12'!$L$4:$L$8</c:f>
              <c:numCache>
                <c:formatCode>"₦"#,##0.00</c:formatCode>
                <c:ptCount val="4"/>
                <c:pt idx="0">
                  <c:v>63472.568464730291</c:v>
                </c:pt>
                <c:pt idx="1">
                  <c:v>62910.180076628356</c:v>
                </c:pt>
                <c:pt idx="2">
                  <c:v>66221.153846153844</c:v>
                </c:pt>
                <c:pt idx="3">
                  <c:v>62626.791666666664</c:v>
                </c:pt>
              </c:numCache>
            </c:numRef>
          </c:val>
          <c:extLst>
            <c:ext xmlns:c16="http://schemas.microsoft.com/office/drawing/2014/chart" uri="{C3380CC4-5D6E-409C-BE32-E72D297353CC}">
              <c16:uniqueId val="{00000000-4EBB-4B7B-803F-0467FDCEAD51}"/>
            </c:ext>
          </c:extLst>
        </c:ser>
        <c:dLbls>
          <c:showLegendKey val="0"/>
          <c:showVal val="0"/>
          <c:showCatName val="0"/>
          <c:showSerName val="0"/>
          <c:showPercent val="0"/>
          <c:showBubbleSize val="0"/>
        </c:dLbls>
        <c:gapWidth val="100"/>
        <c:overlap val="-24"/>
        <c:axId val="61458895"/>
        <c:axId val="1119917919"/>
      </c:barChart>
      <c:catAx>
        <c:axId val="61458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917919"/>
        <c:crosses val="autoZero"/>
        <c:auto val="1"/>
        <c:lblAlgn val="ctr"/>
        <c:lblOffset val="100"/>
        <c:noMultiLvlLbl val="0"/>
      </c:catAx>
      <c:valAx>
        <c:axId val="111991791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Dashboard.xlsx]Question 12!PivotTable12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Top 5 Salespeople by Cars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12'!$B$20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12'!$A$21:$A$26</c:f>
              <c:strCache>
                <c:ptCount val="5"/>
                <c:pt idx="0">
                  <c:v>Charlie Evans</c:v>
                </c:pt>
                <c:pt idx="1">
                  <c:v>Hannah Lee</c:v>
                </c:pt>
                <c:pt idx="2">
                  <c:v>Alice Johnson</c:v>
                </c:pt>
                <c:pt idx="3">
                  <c:v>Diana Ross</c:v>
                </c:pt>
                <c:pt idx="4">
                  <c:v>George Martin</c:v>
                </c:pt>
              </c:strCache>
            </c:strRef>
          </c:cat>
          <c:val>
            <c:numRef>
              <c:f>'Question 12'!$B$21:$B$26</c:f>
              <c:numCache>
                <c:formatCode>General</c:formatCode>
                <c:ptCount val="5"/>
                <c:pt idx="0">
                  <c:v>69965</c:v>
                </c:pt>
                <c:pt idx="1">
                  <c:v>65362</c:v>
                </c:pt>
                <c:pt idx="2">
                  <c:v>63361</c:v>
                </c:pt>
                <c:pt idx="3">
                  <c:v>63357</c:v>
                </c:pt>
                <c:pt idx="4">
                  <c:v>61718</c:v>
                </c:pt>
              </c:numCache>
            </c:numRef>
          </c:val>
          <c:extLst>
            <c:ext xmlns:c16="http://schemas.microsoft.com/office/drawing/2014/chart" uri="{C3380CC4-5D6E-409C-BE32-E72D297353CC}">
              <c16:uniqueId val="{00000000-9687-416A-877F-123288326DEA}"/>
            </c:ext>
          </c:extLst>
        </c:ser>
        <c:dLbls>
          <c:showLegendKey val="0"/>
          <c:showVal val="0"/>
          <c:showCatName val="0"/>
          <c:showSerName val="0"/>
          <c:showPercent val="0"/>
          <c:showBubbleSize val="0"/>
        </c:dLbls>
        <c:gapWidth val="100"/>
        <c:overlap val="-24"/>
        <c:axId val="1126165151"/>
        <c:axId val="59860975"/>
      </c:barChart>
      <c:catAx>
        <c:axId val="1126165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60975"/>
        <c:crosses val="autoZero"/>
        <c:auto val="1"/>
        <c:lblAlgn val="ctr"/>
        <c:lblOffset val="100"/>
        <c:noMultiLvlLbl val="0"/>
      </c:catAx>
      <c:valAx>
        <c:axId val="59860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6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18</xdr:row>
      <xdr:rowOff>142875</xdr:rowOff>
    </xdr:from>
    <xdr:to>
      <xdr:col>6</xdr:col>
      <xdr:colOff>409575</xdr:colOff>
      <xdr:row>32</xdr:row>
      <xdr:rowOff>142875</xdr:rowOff>
    </xdr:to>
    <mc:AlternateContent xmlns:mc="http://schemas.openxmlformats.org/markup-compatibility/2006">
      <mc:Choice xmlns:a14="http://schemas.microsoft.com/office/drawing/2010/main" Requires="a14">
        <xdr:graphicFrame macro="">
          <xdr:nvGraphicFramePr>
            <xdr:cNvPr id="7" name="Car Brand">
              <a:extLst>
                <a:ext uri="{FF2B5EF4-FFF2-40B4-BE49-F238E27FC236}">
                  <a16:creationId xmlns:a16="http://schemas.microsoft.com/office/drawing/2014/main" id="{B3B5081D-0CA2-2861-F3D1-D024DA31EAE2}"/>
                </a:ext>
              </a:extLst>
            </xdr:cNvPr>
            <xdr:cNvGraphicFramePr/>
          </xdr:nvGraphicFramePr>
          <xdr:xfrm>
            <a:off x="0" y="0"/>
            <a:ext cx="0" cy="0"/>
          </xdr:xfrm>
          <a:graphic>
            <a:graphicData uri="http://schemas.microsoft.com/office/drawing/2010/slicer">
              <sle:slicer xmlns:sle="http://schemas.microsoft.com/office/drawing/2010/slicer" name="Car Brand"/>
            </a:graphicData>
          </a:graphic>
        </xdr:graphicFrame>
      </mc:Choice>
      <mc:Fallback>
        <xdr:sp macro="" textlink="">
          <xdr:nvSpPr>
            <xdr:cNvPr id="0" name=""/>
            <xdr:cNvSpPr>
              <a:spLocks noTextEdit="1"/>
            </xdr:cNvSpPr>
          </xdr:nvSpPr>
          <xdr:spPr>
            <a:xfrm>
              <a:off x="3619500" y="3571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885825</xdr:colOff>
      <xdr:row>32</xdr:row>
      <xdr:rowOff>66675</xdr:rowOff>
    </xdr:from>
    <xdr:to>
      <xdr:col>8</xdr:col>
      <xdr:colOff>600075</xdr:colOff>
      <xdr:row>46</xdr:row>
      <xdr:rowOff>66675</xdr:rowOff>
    </xdr:to>
    <mc:AlternateContent xmlns:mc="http://schemas.openxmlformats.org/markup-compatibility/2006">
      <mc:Choice xmlns:a14="http://schemas.microsoft.com/office/drawing/2010/main" Requires="a14">
        <xdr:graphicFrame macro="">
          <xdr:nvGraphicFramePr>
            <xdr:cNvPr id="8" name=" Car Model">
              <a:extLst>
                <a:ext uri="{FF2B5EF4-FFF2-40B4-BE49-F238E27FC236}">
                  <a16:creationId xmlns:a16="http://schemas.microsoft.com/office/drawing/2014/main" id="{8300BCAE-AE1F-8AD1-4CE4-FF0279E0238E}"/>
                </a:ext>
              </a:extLst>
            </xdr:cNvPr>
            <xdr:cNvGraphicFramePr/>
          </xdr:nvGraphicFramePr>
          <xdr:xfrm>
            <a:off x="0" y="0"/>
            <a:ext cx="0" cy="0"/>
          </xdr:xfrm>
          <a:graphic>
            <a:graphicData uri="http://schemas.microsoft.com/office/drawing/2010/slicer">
              <sle:slicer xmlns:sle="http://schemas.microsoft.com/office/drawing/2010/slicer" name=" Car Model"/>
            </a:graphicData>
          </a:graphic>
        </xdr:graphicFrame>
      </mc:Choice>
      <mc:Fallback>
        <xdr:sp macro="" textlink="">
          <xdr:nvSpPr>
            <xdr:cNvPr id="0" name=""/>
            <xdr:cNvSpPr>
              <a:spLocks noTextEdit="1"/>
            </xdr:cNvSpPr>
          </xdr:nvSpPr>
          <xdr:spPr>
            <a:xfrm>
              <a:off x="5029200" y="6162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38</xdr:row>
      <xdr:rowOff>38100</xdr:rowOff>
    </xdr:from>
    <xdr:to>
      <xdr:col>5</xdr:col>
      <xdr:colOff>257175</xdr:colOff>
      <xdr:row>47</xdr:row>
      <xdr:rowOff>0</xdr:rowOff>
    </xdr:to>
    <mc:AlternateContent xmlns:mc="http://schemas.openxmlformats.org/markup-compatibility/2006">
      <mc:Choice xmlns:a14="http://schemas.microsoft.com/office/drawing/2010/main" Requires="a14">
        <xdr:graphicFrame macro="">
          <xdr:nvGraphicFramePr>
            <xdr:cNvPr id="9" name="Fuel Type">
              <a:extLst>
                <a:ext uri="{FF2B5EF4-FFF2-40B4-BE49-F238E27FC236}">
                  <a16:creationId xmlns:a16="http://schemas.microsoft.com/office/drawing/2014/main" id="{243D7421-833E-97BE-EE51-BEB299BFD032}"/>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2571750" y="7277100"/>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19</xdr:row>
      <xdr:rowOff>57150</xdr:rowOff>
    </xdr:from>
    <xdr:to>
      <xdr:col>11</xdr:col>
      <xdr:colOff>57150</xdr:colOff>
      <xdr:row>33</xdr:row>
      <xdr:rowOff>57150</xdr:rowOff>
    </xdr:to>
    <mc:AlternateContent xmlns:mc="http://schemas.openxmlformats.org/markup-compatibility/2006">
      <mc:Choice xmlns:a14="http://schemas.microsoft.com/office/drawing/2010/main" Requires="a14">
        <xdr:graphicFrame macro="">
          <xdr:nvGraphicFramePr>
            <xdr:cNvPr id="10" name="Salesperson">
              <a:extLst>
                <a:ext uri="{FF2B5EF4-FFF2-40B4-BE49-F238E27FC236}">
                  <a16:creationId xmlns:a16="http://schemas.microsoft.com/office/drawing/2014/main" id="{C74FF1FB-2CED-0963-6944-745A22E83B4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315075" y="3676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542925</xdr:colOff>
      <xdr:row>22</xdr:row>
      <xdr:rowOff>114300</xdr:rowOff>
    </xdr:from>
    <xdr:to>
      <xdr:col>13</xdr:col>
      <xdr:colOff>542925</xdr:colOff>
      <xdr:row>33</xdr:row>
      <xdr:rowOff>104775</xdr:rowOff>
    </xdr:to>
    <mc:AlternateContent xmlns:mc="http://schemas.openxmlformats.org/markup-compatibility/2006">
      <mc:Choice xmlns:a14="http://schemas.microsoft.com/office/drawing/2010/main" Requires="a14">
        <xdr:graphicFrame macro="">
          <xdr:nvGraphicFramePr>
            <xdr:cNvPr id="11" name="Car Color">
              <a:extLst>
                <a:ext uri="{FF2B5EF4-FFF2-40B4-BE49-F238E27FC236}">
                  <a16:creationId xmlns:a16="http://schemas.microsoft.com/office/drawing/2014/main" id="{C65C6061-B7E9-E7C2-3885-A533BC8E9356}"/>
                </a:ext>
              </a:extLst>
            </xdr:cNvPr>
            <xdr:cNvGraphicFramePr/>
          </xdr:nvGraphicFramePr>
          <xdr:xfrm>
            <a:off x="0" y="0"/>
            <a:ext cx="0" cy="0"/>
          </xdr:xfrm>
          <a:graphic>
            <a:graphicData uri="http://schemas.microsoft.com/office/drawing/2010/slicer">
              <sle:slicer xmlns:sle="http://schemas.microsoft.com/office/drawing/2010/slicer" name="Car Color"/>
            </a:graphicData>
          </a:graphic>
        </xdr:graphicFrame>
      </mc:Choice>
      <mc:Fallback>
        <xdr:sp macro="" textlink="">
          <xdr:nvSpPr>
            <xdr:cNvPr id="0" name=""/>
            <xdr:cNvSpPr>
              <a:spLocks noTextEdit="1"/>
            </xdr:cNvSpPr>
          </xdr:nvSpPr>
          <xdr:spPr>
            <a:xfrm>
              <a:off x="8020050" y="4305300"/>
              <a:ext cx="1828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11</xdr:row>
      <xdr:rowOff>19050</xdr:rowOff>
    </xdr:from>
    <xdr:to>
      <xdr:col>5</xdr:col>
      <xdr:colOff>66675</xdr:colOff>
      <xdr:row>28</xdr:row>
      <xdr:rowOff>0</xdr:rowOff>
    </xdr:to>
    <xdr:graphicFrame macro="">
      <xdr:nvGraphicFramePr>
        <xdr:cNvPr id="2" name="Chart 1">
          <a:extLst>
            <a:ext uri="{FF2B5EF4-FFF2-40B4-BE49-F238E27FC236}">
              <a16:creationId xmlns:a16="http://schemas.microsoft.com/office/drawing/2014/main" id="{5BC1A983-368E-FB29-ED6D-C65560072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157162</xdr:colOff>
      <xdr:row>11</xdr:row>
      <xdr:rowOff>28574</xdr:rowOff>
    </xdr:from>
    <xdr:to>
      <xdr:col>9</xdr:col>
      <xdr:colOff>352425</xdr:colOff>
      <xdr:row>27</xdr:row>
      <xdr:rowOff>190499</xdr:rowOff>
    </xdr:to>
    <xdr:graphicFrame macro="">
      <xdr:nvGraphicFramePr>
        <xdr:cNvPr id="3" name="Chart 2">
          <a:extLst>
            <a:ext uri="{FF2B5EF4-FFF2-40B4-BE49-F238E27FC236}">
              <a16:creationId xmlns:a16="http://schemas.microsoft.com/office/drawing/2014/main" id="{3D6655F4-5379-3203-8EFD-FDA046D10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28</xdr:row>
      <xdr:rowOff>190499</xdr:rowOff>
    </xdr:from>
    <xdr:to>
      <xdr:col>5</xdr:col>
      <xdr:colOff>66676</xdr:colOff>
      <xdr:row>44</xdr:row>
      <xdr:rowOff>161924</xdr:rowOff>
    </xdr:to>
    <xdr:graphicFrame macro="">
      <xdr:nvGraphicFramePr>
        <xdr:cNvPr id="4" name="Chart 3">
          <a:extLst>
            <a:ext uri="{FF2B5EF4-FFF2-40B4-BE49-F238E27FC236}">
              <a16:creationId xmlns:a16="http://schemas.microsoft.com/office/drawing/2014/main" id="{30976119-DBAC-7BBE-0105-CEE8D3C78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147638</xdr:colOff>
      <xdr:row>28</xdr:row>
      <xdr:rowOff>142875</xdr:rowOff>
    </xdr:from>
    <xdr:to>
      <xdr:col>9</xdr:col>
      <xdr:colOff>352426</xdr:colOff>
      <xdr:row>44</xdr:row>
      <xdr:rowOff>161925</xdr:rowOff>
    </xdr:to>
    <xdr:graphicFrame macro="">
      <xdr:nvGraphicFramePr>
        <xdr:cNvPr id="5" name="Chart 4">
          <a:extLst>
            <a:ext uri="{FF2B5EF4-FFF2-40B4-BE49-F238E27FC236}">
              <a16:creationId xmlns:a16="http://schemas.microsoft.com/office/drawing/2014/main" id="{EB91DB64-B3AC-60EB-622F-AAB317A15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461962</xdr:colOff>
      <xdr:row>28</xdr:row>
      <xdr:rowOff>142875</xdr:rowOff>
    </xdr:from>
    <xdr:to>
      <xdr:col>15</xdr:col>
      <xdr:colOff>361950</xdr:colOff>
      <xdr:row>44</xdr:row>
      <xdr:rowOff>123825</xdr:rowOff>
    </xdr:to>
    <xdr:graphicFrame macro="">
      <xdr:nvGraphicFramePr>
        <xdr:cNvPr id="6" name="Chart 5">
          <a:extLst>
            <a:ext uri="{FF2B5EF4-FFF2-40B4-BE49-F238E27FC236}">
              <a16:creationId xmlns:a16="http://schemas.microsoft.com/office/drawing/2014/main" id="{481A9DB3-1611-2B90-36EE-7F18ABAAD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504826</xdr:colOff>
      <xdr:row>11</xdr:row>
      <xdr:rowOff>66675</xdr:rowOff>
    </xdr:from>
    <xdr:to>
      <xdr:col>12</xdr:col>
      <xdr:colOff>428626</xdr:colOff>
      <xdr:row>17</xdr:row>
      <xdr:rowOff>180975</xdr:rowOff>
    </xdr:to>
    <mc:AlternateContent xmlns:mc="http://schemas.openxmlformats.org/markup-compatibility/2006">
      <mc:Choice xmlns:a14="http://schemas.microsoft.com/office/drawing/2010/main" Requires="a14">
        <xdr:graphicFrame macro="">
          <xdr:nvGraphicFramePr>
            <xdr:cNvPr id="7" name="Fuel Type 1">
              <a:extLst>
                <a:ext uri="{FF2B5EF4-FFF2-40B4-BE49-F238E27FC236}">
                  <a16:creationId xmlns:a16="http://schemas.microsoft.com/office/drawing/2014/main" id="{8ADD3A63-8212-4AA7-A4AF-88098E46B6F1}"/>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7493795" y="2162175"/>
              <a:ext cx="1745456"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542925</xdr:colOff>
      <xdr:row>11</xdr:row>
      <xdr:rowOff>66676</xdr:rowOff>
    </xdr:from>
    <xdr:to>
      <xdr:col>15</xdr:col>
      <xdr:colOff>542925</xdr:colOff>
      <xdr:row>17</xdr:row>
      <xdr:rowOff>180976</xdr:rowOff>
    </xdr:to>
    <mc:AlternateContent xmlns:mc="http://schemas.openxmlformats.org/markup-compatibility/2006">
      <mc:Choice xmlns:a14="http://schemas.microsoft.com/office/drawing/2010/main" Requires="a14">
        <xdr:graphicFrame macro="">
          <xdr:nvGraphicFramePr>
            <xdr:cNvPr id="8" name="Car Color 1">
              <a:extLst>
                <a:ext uri="{FF2B5EF4-FFF2-40B4-BE49-F238E27FC236}">
                  <a16:creationId xmlns:a16="http://schemas.microsoft.com/office/drawing/2014/main" id="{B6B5786C-B965-48AB-97D7-0A609E6F0608}"/>
                </a:ext>
              </a:extLst>
            </xdr:cNvPr>
            <xdr:cNvGraphicFramePr/>
          </xdr:nvGraphicFramePr>
          <xdr:xfrm>
            <a:off x="0" y="0"/>
            <a:ext cx="0" cy="0"/>
          </xdr:xfrm>
          <a:graphic>
            <a:graphicData uri="http://schemas.microsoft.com/office/drawing/2010/slicer">
              <sle:slicer xmlns:sle="http://schemas.microsoft.com/office/drawing/2010/slicer" name="Car Color 1"/>
            </a:graphicData>
          </a:graphic>
        </xdr:graphicFrame>
      </mc:Choice>
      <mc:Fallback>
        <xdr:sp macro="" textlink="">
          <xdr:nvSpPr>
            <xdr:cNvPr id="0" name=""/>
            <xdr:cNvSpPr>
              <a:spLocks noTextEdit="1"/>
            </xdr:cNvSpPr>
          </xdr:nvSpPr>
          <xdr:spPr>
            <a:xfrm>
              <a:off x="9353550" y="2162176"/>
              <a:ext cx="1821656"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476250</xdr:colOff>
      <xdr:row>18</xdr:row>
      <xdr:rowOff>104774</xdr:rowOff>
    </xdr:from>
    <xdr:to>
      <xdr:col>12</xdr:col>
      <xdr:colOff>361950</xdr:colOff>
      <xdr:row>26</xdr:row>
      <xdr:rowOff>114299</xdr:rowOff>
    </xdr:to>
    <mc:AlternateContent xmlns:mc="http://schemas.openxmlformats.org/markup-compatibility/2006">
      <mc:Choice xmlns:a14="http://schemas.microsoft.com/office/drawing/2010/main" Requires="a14">
        <xdr:graphicFrame macro="">
          <xdr:nvGraphicFramePr>
            <xdr:cNvPr id="9" name="Salesperson 1">
              <a:extLst>
                <a:ext uri="{FF2B5EF4-FFF2-40B4-BE49-F238E27FC236}">
                  <a16:creationId xmlns:a16="http://schemas.microsoft.com/office/drawing/2014/main" id="{32553216-F656-43B4-9FC2-BB9EEABE881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7465219" y="3533774"/>
              <a:ext cx="1707356"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523874</xdr:colOff>
      <xdr:row>18</xdr:row>
      <xdr:rowOff>133349</xdr:rowOff>
    </xdr:from>
    <xdr:to>
      <xdr:col>15</xdr:col>
      <xdr:colOff>533399</xdr:colOff>
      <xdr:row>26</xdr:row>
      <xdr:rowOff>142874</xdr:rowOff>
    </xdr:to>
    <mc:AlternateContent xmlns:mc="http://schemas.openxmlformats.org/markup-compatibility/2006">
      <mc:Choice xmlns:a14="http://schemas.microsoft.com/office/drawing/2010/main" Requires="a14">
        <xdr:graphicFrame macro="">
          <xdr:nvGraphicFramePr>
            <xdr:cNvPr id="10" name=" Car Model 1">
              <a:extLst>
                <a:ext uri="{FF2B5EF4-FFF2-40B4-BE49-F238E27FC236}">
                  <a16:creationId xmlns:a16="http://schemas.microsoft.com/office/drawing/2014/main" id="{F48CD40C-D166-40FA-B714-5B11523778E5}"/>
                </a:ext>
              </a:extLst>
            </xdr:cNvPr>
            <xdr:cNvGraphicFramePr/>
          </xdr:nvGraphicFramePr>
          <xdr:xfrm>
            <a:off x="0" y="0"/>
            <a:ext cx="0" cy="0"/>
          </xdr:xfrm>
          <a:graphic>
            <a:graphicData uri="http://schemas.microsoft.com/office/drawing/2010/slicer">
              <sle:slicer xmlns:sle="http://schemas.microsoft.com/office/drawing/2010/slicer" name=" Car Model 1"/>
            </a:graphicData>
          </a:graphic>
        </xdr:graphicFrame>
      </mc:Choice>
      <mc:Fallback>
        <xdr:sp macro="" textlink="">
          <xdr:nvSpPr>
            <xdr:cNvPr id="0" name=""/>
            <xdr:cNvSpPr>
              <a:spLocks noTextEdit="1"/>
            </xdr:cNvSpPr>
          </xdr:nvSpPr>
          <xdr:spPr>
            <a:xfrm>
              <a:off x="9334499" y="3562349"/>
              <a:ext cx="1831181"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xdr:row>
      <xdr:rowOff>28574</xdr:rowOff>
    </xdr:from>
    <xdr:to>
      <xdr:col>15</xdr:col>
      <xdr:colOff>285750</xdr:colOff>
      <xdr:row>10</xdr:row>
      <xdr:rowOff>114300</xdr:rowOff>
    </xdr:to>
    <mc:AlternateContent xmlns:mc="http://schemas.openxmlformats.org/markup-compatibility/2006">
      <mc:Choice xmlns:a14="http://schemas.microsoft.com/office/drawing/2010/main" Requires="a14">
        <xdr:graphicFrame macro="">
          <xdr:nvGraphicFramePr>
            <xdr:cNvPr id="11" name="Car Brand 1">
              <a:extLst>
                <a:ext uri="{FF2B5EF4-FFF2-40B4-BE49-F238E27FC236}">
                  <a16:creationId xmlns:a16="http://schemas.microsoft.com/office/drawing/2014/main" id="{5AC3D055-0931-44AE-9669-1A0D55ABF0E7}"/>
                </a:ext>
              </a:extLst>
            </xdr:cNvPr>
            <xdr:cNvGraphicFramePr/>
          </xdr:nvGraphicFramePr>
          <xdr:xfrm>
            <a:off x="0" y="0"/>
            <a:ext cx="0" cy="0"/>
          </xdr:xfrm>
          <a:graphic>
            <a:graphicData uri="http://schemas.microsoft.com/office/drawing/2010/slicer">
              <sle:slicer xmlns:sle="http://schemas.microsoft.com/office/drawing/2010/slicer" name="Car Brand 1"/>
            </a:graphicData>
          </a:graphic>
        </xdr:graphicFrame>
      </mc:Choice>
      <mc:Fallback>
        <xdr:sp macro="" textlink="">
          <xdr:nvSpPr>
            <xdr:cNvPr id="0" name=""/>
            <xdr:cNvSpPr>
              <a:spLocks noTextEdit="1"/>
            </xdr:cNvSpPr>
          </xdr:nvSpPr>
          <xdr:spPr>
            <a:xfrm>
              <a:off x="9191625" y="219074"/>
              <a:ext cx="1726406" cy="180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514350</xdr:colOff>
      <xdr:row>46</xdr:row>
      <xdr:rowOff>104775</xdr:rowOff>
    </xdr:from>
    <xdr:to>
      <xdr:col>11</xdr:col>
      <xdr:colOff>190500</xdr:colOff>
      <xdr:row>59</xdr:row>
      <xdr:rowOff>85725</xdr:rowOff>
    </xdr:to>
    <xdr:sp macro="" textlink="">
      <xdr:nvSpPr>
        <xdr:cNvPr id="12" name="TextBox 11">
          <a:extLst>
            <a:ext uri="{FF2B5EF4-FFF2-40B4-BE49-F238E27FC236}">
              <a16:creationId xmlns:a16="http://schemas.microsoft.com/office/drawing/2014/main" id="{FB872095-1511-BA3B-A0AD-56062838CAFD}"/>
            </a:ext>
          </a:extLst>
        </xdr:cNvPr>
        <xdr:cNvSpPr txBox="1"/>
      </xdr:nvSpPr>
      <xdr:spPr>
        <a:xfrm>
          <a:off x="2952750" y="8867775"/>
          <a:ext cx="39433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b="1"/>
            <a:t>Business Insights</a:t>
          </a:r>
        </a:p>
        <a:p>
          <a:endParaRPr lang="en-US" sz="1100"/>
        </a:p>
        <a:p>
          <a:r>
            <a:rPr lang="en-US" sz="1100"/>
            <a:t>• Highest Revenue Brand: </a:t>
          </a:r>
          <a:r>
            <a:rPr lang="en-US" sz="1200" b="1"/>
            <a:t>Toyota</a:t>
          </a:r>
        </a:p>
        <a:p>
          <a:endParaRPr lang="en-US" sz="1100"/>
        </a:p>
        <a:p>
          <a:r>
            <a:rPr lang="en-US" sz="1100"/>
            <a:t>• Top Salesperson</a:t>
          </a:r>
          <a:r>
            <a:rPr lang="en-US" sz="1200" b="1"/>
            <a:t>: Bob Smith</a:t>
          </a:r>
        </a:p>
        <a:p>
          <a:endParaRPr lang="en-US" sz="1100"/>
        </a:p>
        <a:p>
          <a:r>
            <a:rPr lang="en-US" sz="1100"/>
            <a:t>• Most Popular Fuel Type: </a:t>
          </a:r>
          <a:r>
            <a:rPr lang="en-US" sz="1200" b="1"/>
            <a:t>Gasoline</a:t>
          </a:r>
        </a:p>
        <a:p>
          <a:endParaRPr lang="en-US" sz="1100"/>
        </a:p>
        <a:p>
          <a:r>
            <a:rPr lang="en-US" sz="1100"/>
            <a:t>• Most Popular Color: </a:t>
          </a:r>
          <a:r>
            <a:rPr lang="en-US" sz="1200" b="1"/>
            <a:t>Black</a:t>
          </a:r>
        </a:p>
        <a:p>
          <a:endParaRPr lang="en-US" sz="1100"/>
        </a:p>
        <a:p>
          <a:r>
            <a:rPr lang="en-US" sz="1100"/>
            <a:t>• Best Selling Model: </a:t>
          </a:r>
          <a:r>
            <a:rPr lang="en-US" sz="1200" b="1"/>
            <a:t>SUV</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838200</xdr:colOff>
      <xdr:row>1002</xdr:row>
      <xdr:rowOff>142874</xdr:rowOff>
    </xdr:from>
    <xdr:ext cx="4019549" cy="1514475"/>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400425" y="181489349"/>
          <a:ext cx="4019549" cy="1514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2</xdr:col>
      <xdr:colOff>876299</xdr:colOff>
      <xdr:row>1003</xdr:row>
      <xdr:rowOff>28575</xdr:rowOff>
    </xdr:from>
    <xdr:to>
      <xdr:col>5</xdr:col>
      <xdr:colOff>361949</xdr:colOff>
      <xdr:row>1007</xdr:row>
      <xdr:rowOff>171449</xdr:rowOff>
    </xdr:to>
    <xdr:sp macro="" textlink="">
      <xdr:nvSpPr>
        <xdr:cNvPr id="2049" name="Text Box 1">
          <a:extLst>
            <a:ext uri="{FF2B5EF4-FFF2-40B4-BE49-F238E27FC236}">
              <a16:creationId xmlns:a16="http://schemas.microsoft.com/office/drawing/2014/main" id="{00000000-0008-0000-0100-000001080000}"/>
            </a:ext>
          </a:extLst>
        </xdr:cNvPr>
        <xdr:cNvSpPr txBox="1">
          <a:spLocks noChangeArrowheads="1"/>
        </xdr:cNvSpPr>
      </xdr:nvSpPr>
      <xdr:spPr bwMode="auto">
        <a:xfrm>
          <a:off x="3438524" y="181556025"/>
          <a:ext cx="4314825" cy="1009649"/>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Data validation was applied to the Sale Price column to ensure that only positive values greater than zero can be entered. This improves data accuracy and prevents invalid entries.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3</xdr:col>
      <xdr:colOff>1047750</xdr:colOff>
      <xdr:row>1006</xdr:row>
      <xdr:rowOff>76199</xdr:rowOff>
    </xdr:from>
    <xdr:ext cx="2800350" cy="1057275"/>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4524375" y="182146574"/>
          <a:ext cx="2800350" cy="1057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3</xdr:col>
      <xdr:colOff>361951</xdr:colOff>
      <xdr:row>1005</xdr:row>
      <xdr:rowOff>9525</xdr:rowOff>
    </xdr:from>
    <xdr:to>
      <xdr:col>7</xdr:col>
      <xdr:colOff>333375</xdr:colOff>
      <xdr:row>1010</xdr:row>
      <xdr:rowOff>114300</xdr:rowOff>
    </xdr:to>
    <xdr:sp macro="" textlink="">
      <xdr:nvSpPr>
        <xdr:cNvPr id="3073" name="Text Box 1">
          <a:extLst>
            <a:ext uri="{FF2B5EF4-FFF2-40B4-BE49-F238E27FC236}">
              <a16:creationId xmlns:a16="http://schemas.microsoft.com/office/drawing/2014/main" id="{00000000-0008-0000-0200-0000010C0000}"/>
            </a:ext>
          </a:extLst>
        </xdr:cNvPr>
        <xdr:cNvSpPr txBox="1">
          <a:spLocks noChangeArrowheads="1"/>
        </xdr:cNvSpPr>
      </xdr:nvSpPr>
      <xdr:spPr bwMode="auto">
        <a:xfrm>
          <a:off x="3838576" y="181898925"/>
          <a:ext cx="5114924" cy="10096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Conditional formatting was applied to highlight high-value sales (greater than or equal to $50,000) in green and electric vehicles sold below $30,000 in red. This makes important records easier to identify.</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742950</xdr:colOff>
      <xdr:row>1004</xdr:row>
      <xdr:rowOff>114299</xdr:rowOff>
    </xdr:from>
    <xdr:ext cx="4819650" cy="933451"/>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238500" y="181822724"/>
          <a:ext cx="4819650" cy="933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latin typeface="Times New Roman" panose="02020603050405020304" pitchFamily="18" charset="0"/>
              <a:cs typeface="Times New Roman" panose="02020603050405020304" pitchFamily="18" charset="0"/>
            </a:rPr>
            <a:t>A commission column was created using a rate of 5% of the sale price. The formula used was =E2*5%.</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247651</xdr:colOff>
      <xdr:row>1004</xdr:row>
      <xdr:rowOff>66675</xdr:rowOff>
    </xdr:from>
    <xdr:ext cx="4819650" cy="952500"/>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3305176" y="181775100"/>
          <a:ext cx="4819650"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latin typeface="Times New Roman" panose="02020603050405020304" pitchFamily="18" charset="0"/>
              <a:cs typeface="Times New Roman" panose="02020603050405020304" pitchFamily="18" charset="0"/>
            </a:rPr>
            <a:t>Sales were classified into Urgent, Review, and Standard categories based on fuel type and sale price using nested IF functions.</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6</xdr:col>
      <xdr:colOff>838200</xdr:colOff>
      <xdr:row>3</xdr:row>
      <xdr:rowOff>0</xdr:rowOff>
    </xdr:from>
    <xdr:ext cx="4000499" cy="1390650"/>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8143875" y="552450"/>
          <a:ext cx="4000499" cy="139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latin typeface="Times New Roman" panose="02020603050405020304" pitchFamily="18" charset="0"/>
              <a:cs typeface="Times New Roman" panose="02020603050405020304" pitchFamily="18" charset="0"/>
            </a:rPr>
            <a:t>An electric vehicle bonus was calculated using an absolute reference ($Z$1) containing the bonus rate of 5%. This ensures that the same bonus percentage is used throughout the worksheet.</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7</xdr:col>
      <xdr:colOff>381001</xdr:colOff>
      <xdr:row>8</xdr:row>
      <xdr:rowOff>114300</xdr:rowOff>
    </xdr:from>
    <xdr:ext cx="4686299" cy="1154162"/>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020176" y="1571625"/>
          <a:ext cx="4686299" cy="1154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latin typeface="Times New Roman" panose="02020603050405020304" pitchFamily="18" charset="0"/>
              <a:cs typeface="Times New Roman" panose="02020603050405020304" pitchFamily="18" charset="0"/>
            </a:rPr>
            <a:t>The COUNTIF function was used to determine the number of cars sold by Diana</a:t>
          </a:r>
          <a:r>
            <a:rPr lang="en-US" sz="1800" b="1" baseline="0">
              <a:latin typeface="Times New Roman" panose="02020603050405020304" pitchFamily="18" charset="0"/>
              <a:cs typeface="Times New Roman" panose="02020603050405020304" pitchFamily="18" charset="0"/>
            </a:rPr>
            <a:t> Ross</a:t>
          </a:r>
          <a:r>
            <a:rPr lang="en-US" sz="1800" b="1">
              <a:latin typeface="Times New Roman" panose="02020603050405020304" pitchFamily="18" charset="0"/>
              <a:cs typeface="Times New Roman" panose="02020603050405020304" pitchFamily="18" charset="0"/>
            </a:rPr>
            <a:t>. The formula counts all records where the salesperson's name is Diana Ross.</a:t>
          </a:r>
        </a:p>
      </xdr:txBody>
    </xdr:sp>
    <xdr:clientData/>
  </xdr:one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294</xdr:row>
          <xdr:rowOff>0</xdr:rowOff>
        </xdr:from>
        <xdr:to>
          <xdr:col>4</xdr:col>
          <xdr:colOff>161925</xdr:colOff>
          <xdr:row>299</xdr:row>
          <xdr:rowOff>9525</xdr:rowOff>
        </xdr:to>
        <xdr:sp macro="" textlink="">
          <xdr:nvSpPr>
            <xdr:cNvPr id="12289" name="Control 1" hidden="1">
              <a:extLst>
                <a:ext uri="{63B3BB69-23CF-44E3-9099-C40C66FF867C}">
                  <a14:compatExt spid="_x0000_s12289"/>
                </a:ext>
                <a:ext uri="{FF2B5EF4-FFF2-40B4-BE49-F238E27FC236}">
                  <a16:creationId xmlns:a16="http://schemas.microsoft.com/office/drawing/2014/main" id="{00000000-0008-0000-0B00-0000013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oneCellAnchor>
    <xdr:from>
      <xdr:col>1</xdr:col>
      <xdr:colOff>342900</xdr:colOff>
      <xdr:row>0</xdr:row>
      <xdr:rowOff>209548</xdr:rowOff>
    </xdr:from>
    <xdr:ext cx="9382125" cy="6019801"/>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028700" y="209548"/>
          <a:ext cx="9382125" cy="6019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baseline="0">
              <a:latin typeface="Times New Roman" panose="02020603050405020304" pitchFamily="18" charset="0"/>
              <a:cs typeface="Times New Roman" panose="02020603050405020304" pitchFamily="18" charset="0"/>
            </a:rPr>
            <a:t>                                                                                                             </a:t>
          </a:r>
          <a:r>
            <a:rPr lang="en-US" sz="2000" b="1">
              <a:latin typeface="Times New Roman" panose="02020603050405020304" pitchFamily="18" charset="0"/>
              <a:cs typeface="Times New Roman" panose="02020603050405020304" pitchFamily="18" charset="0"/>
            </a:rPr>
            <a:t>Chart Selection and Justification</a:t>
          </a:r>
          <a:endParaRPr lang="en-US" sz="1400" b="1">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1. Total Revenue by Car Brand – Column Chart</a:t>
          </a:r>
        </a:p>
        <a:p>
          <a:r>
            <a:rPr lang="en-US" sz="1800">
              <a:latin typeface="Times New Roman" panose="02020603050405020304" pitchFamily="18" charset="0"/>
              <a:cs typeface="Times New Roman" panose="02020603050405020304" pitchFamily="18" charset="0"/>
            </a:rPr>
            <a:t>A </a:t>
          </a:r>
          <a:r>
            <a:rPr lang="en-US" sz="1800" b="1">
              <a:latin typeface="Times New Roman" panose="02020603050405020304" pitchFamily="18" charset="0"/>
              <a:cs typeface="Times New Roman" panose="02020603050405020304" pitchFamily="18" charset="0"/>
            </a:rPr>
            <a:t>Column Chart</a:t>
          </a:r>
          <a:r>
            <a:rPr lang="en-US" sz="1800">
              <a:latin typeface="Times New Roman" panose="02020603050405020304" pitchFamily="18" charset="0"/>
              <a:cs typeface="Times New Roman" panose="02020603050405020304" pitchFamily="18" charset="0"/>
            </a:rPr>
            <a:t> is the most appropriate chart for displaying total revenue by car brand because it allows easy comparison of revenue values across multiple brands. The height of each column clearly shows which brands generate the highest and lowest revenues, making trends and differences easy to identify.</a:t>
          </a:r>
        </a:p>
        <a:p>
          <a:endParaRPr lang="en-US" sz="1800">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2. Average Sale Price by Fuel Type – Bar Chart</a:t>
          </a:r>
        </a:p>
        <a:p>
          <a:r>
            <a:rPr lang="en-US" sz="1800">
              <a:latin typeface="Times New Roman" panose="02020603050405020304" pitchFamily="18" charset="0"/>
              <a:cs typeface="Times New Roman" panose="02020603050405020304" pitchFamily="18" charset="0"/>
            </a:rPr>
            <a:t>A </a:t>
          </a:r>
          <a:r>
            <a:rPr lang="en-US" sz="1800" b="1">
              <a:latin typeface="Times New Roman" panose="02020603050405020304" pitchFamily="18" charset="0"/>
              <a:cs typeface="Times New Roman" panose="02020603050405020304" pitchFamily="18" charset="0"/>
            </a:rPr>
            <a:t>Bar Chart</a:t>
          </a:r>
          <a:r>
            <a:rPr lang="en-US" sz="1800">
              <a:latin typeface="Times New Roman" panose="02020603050405020304" pitchFamily="18" charset="0"/>
              <a:cs typeface="Times New Roman" panose="02020603050405020304" pitchFamily="18" charset="0"/>
            </a:rPr>
            <a:t> is suitable for comparing the average sale prices of different fuel types because it presents category comparisons clearly. It makes it easy to see which fuel type has the highest or lowest average sale price and helps viewers quickly understand the differences among categories.</a:t>
          </a:r>
        </a:p>
        <a:p>
          <a:endParaRPr lang="en-US" sz="1800">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3. Distribution of Sales Across Car Brands – Pie Chart</a:t>
          </a:r>
        </a:p>
        <a:p>
          <a:r>
            <a:rPr lang="en-US" sz="1800">
              <a:latin typeface="Times New Roman" panose="02020603050405020304" pitchFamily="18" charset="0"/>
              <a:cs typeface="Times New Roman" panose="02020603050405020304" pitchFamily="18" charset="0"/>
            </a:rPr>
            <a:t>A </a:t>
          </a:r>
          <a:r>
            <a:rPr lang="en-US" sz="1800" b="1">
              <a:latin typeface="Times New Roman" panose="02020603050405020304" pitchFamily="18" charset="0"/>
              <a:cs typeface="Times New Roman" panose="02020603050405020304" pitchFamily="18" charset="0"/>
            </a:rPr>
            <a:t>Pie Chart</a:t>
          </a:r>
          <a:r>
            <a:rPr lang="en-US" sz="1800">
              <a:latin typeface="Times New Roman" panose="02020603050405020304" pitchFamily="18" charset="0"/>
              <a:cs typeface="Times New Roman" panose="02020603050405020304" pitchFamily="18" charset="0"/>
            </a:rPr>
            <a:t> is appropriate for showing the distribution of sales across car brands because it displays each brand's proportion of total sales. It helps visualize the percentage contribution of each brand to overall sales, making it easy to understand market share and relative performance.</a:t>
          </a:r>
        </a:p>
        <a:p>
          <a:endParaRPr lang="en-US" sz="1800">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Therefore;</a:t>
          </a:r>
        </a:p>
        <a:p>
          <a:r>
            <a:rPr lang="en-US" sz="1800">
              <a:latin typeface="Times New Roman" panose="02020603050405020304" pitchFamily="18" charset="0"/>
              <a:cs typeface="Times New Roman" panose="02020603050405020304" pitchFamily="18" charset="0"/>
            </a:rPr>
            <a:t>The selected chart types were chosen based on the nature of the data and the objective of the analysis. Column and Bar Charts are effective for comparing values across categories, while a Pie Chart is useful for showing proportions and percentage distributions. These visualizations improve data interpretation and support better decision-making.</a:t>
          </a:r>
        </a:p>
        <a:p>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0</xdr:col>
      <xdr:colOff>95250</xdr:colOff>
      <xdr:row>1</xdr:row>
      <xdr:rowOff>119062</xdr:rowOff>
    </xdr:from>
    <xdr:to>
      <xdr:col>6</xdr:col>
      <xdr:colOff>552450</xdr:colOff>
      <xdr:row>16</xdr:row>
      <xdr:rowOff>147637</xdr:rowOff>
    </xdr:to>
    <xdr:graphicFrame macro="">
      <xdr:nvGraphicFramePr>
        <xdr:cNvPr id="2" name="Chart 2">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576262</xdr:colOff>
      <xdr:row>1</xdr:row>
      <xdr:rowOff>71437</xdr:rowOff>
    </xdr:from>
    <xdr:to>
      <xdr:col>17</xdr:col>
      <xdr:colOff>347662</xdr:colOff>
      <xdr:row>16</xdr:row>
      <xdr:rowOff>100012</xdr:rowOff>
    </xdr:to>
    <xdr:graphicFrame macro="">
      <xdr:nvGraphicFramePr>
        <xdr:cNvPr id="3" name="Chart 3">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147637</xdr:colOff>
      <xdr:row>18</xdr:row>
      <xdr:rowOff>166687</xdr:rowOff>
    </xdr:from>
    <xdr:to>
      <xdr:col>6</xdr:col>
      <xdr:colOff>604837</xdr:colOff>
      <xdr:row>34</xdr:row>
      <xdr:rowOff>14287</xdr:rowOff>
    </xdr:to>
    <xdr:graphicFrame macro="">
      <xdr:nvGraphicFramePr>
        <xdr:cNvPr id="4" name="Chart 4">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519112</xdr:colOff>
      <xdr:row>19</xdr:row>
      <xdr:rowOff>90487</xdr:rowOff>
    </xdr:from>
    <xdr:to>
      <xdr:col>17</xdr:col>
      <xdr:colOff>290512</xdr:colOff>
      <xdr:row>34</xdr:row>
      <xdr:rowOff>119062</xdr:rowOff>
    </xdr:to>
    <xdr:graphicFrame macro="">
      <xdr:nvGraphicFramePr>
        <xdr:cNvPr id="5" name="Chart 5">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0</xdr:colOff>
      <xdr:row>36</xdr:row>
      <xdr:rowOff>104775</xdr:rowOff>
    </xdr:from>
    <xdr:ext cx="6162675" cy="2571750"/>
    <xdr:sp macro="" textlink="">
      <xdr:nvSpPr>
        <xdr:cNvPr id="6" name="TextBox 5">
          <a:extLst>
            <a:ext uri="{FF2B5EF4-FFF2-40B4-BE49-F238E27FC236}">
              <a16:creationId xmlns:a16="http://schemas.microsoft.com/office/drawing/2014/main" id="{00000000-0008-0000-0D00-000006000000}"/>
            </a:ext>
            <a:ext uri="{147F2762-F138-4A5C-976F-8EAC2B608ADB}">
              <a16:predDERef xmlns:a16="http://schemas.microsoft.com/office/drawing/2014/main" pred="{00000000-0008-0000-0D00-000005000000}"/>
            </a:ext>
          </a:extLst>
        </xdr:cNvPr>
        <xdr:cNvSpPr txBox="1"/>
      </xdr:nvSpPr>
      <xdr:spPr>
        <a:xfrm>
          <a:off x="3048000" y="6724650"/>
          <a:ext cx="6162675" cy="2571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latin typeface="Times New Roman" panose="02020603050405020304" pitchFamily="18" charset="0"/>
              <a:cs typeface="Times New Roman" panose="02020603050405020304" pitchFamily="18" charset="0"/>
            </a:rPr>
            <a:t>The analysis of AutoStars vehicle sales data reveals differences in performance across car brands, fuel types, and sales personnel. Revenue varies significantly among car brands, with some brands generating substantially higher sales revenue. Sales are distributed across multiple fuel types, while average sale prices differ by vehicle category. The Top 5 Salespeople contributed a significant share of total sales volume, highlighting strong individual performance. These insights can help management make informed decisions regarding inventory planning, marketing strategies, and sales performance management.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0.015740277777" createdVersion="6" refreshedVersion="6" minRefreshableVersion="3" recordCount="1000" xr:uid="{6DCCB352-E5D7-475D-8BC0-C0DD98C1160D}">
  <cacheSource type="worksheet">
    <worksheetSource ref="A1:I1001" sheet="Question 7"/>
  </cacheSource>
  <cacheFields count="10">
    <cacheField name="Sale ID" numFmtId="0">
      <sharedItems containsSemiMixedTypes="0" containsString="0" containsNumber="1" containsInteger="1" minValue="1" maxValue="1000"/>
    </cacheField>
    <cacheField name="Car Brand, Car Model" numFmtId="0">
      <sharedItems/>
    </cacheField>
    <cacheField name="Fuel Type" numFmtId="0">
      <sharedItems count="4">
        <s v="Electric"/>
        <s v="Hybrid"/>
        <s v="Diesel"/>
        <s v="Gasoline"/>
      </sharedItems>
    </cacheField>
    <cacheField name="Qty Sold by Salesperson" numFmtId="0">
      <sharedItems containsSemiMixedTypes="0" containsString="0" containsNumber="1" containsInteger="1" minValue="1" maxValue="50"/>
    </cacheField>
    <cacheField name="Sale Price" numFmtId="0">
      <sharedItems containsSemiMixedTypes="0" containsString="0" containsNumber="1" containsInteger="1" minValue="25018" maxValue="99948"/>
    </cacheField>
    <cacheField name="Salesperson" numFmtId="0">
      <sharedItems count="8">
        <s v="Hannah Lee"/>
        <s v="George Martin"/>
        <s v="Fiona Brown"/>
        <s v="Bob Smith"/>
        <s v="Charlie Evans"/>
        <s v="Ethan Clark"/>
        <s v="Diana Ross"/>
        <s v="Alice Johnson"/>
      </sharedItems>
    </cacheField>
    <cacheField name="Car Color" numFmtId="0">
      <sharedItems/>
    </cacheField>
    <cacheField name="Car Brand" numFmtId="0">
      <sharedItems count="10">
        <s v="Ford"/>
        <s v="Toyota"/>
        <s v="Chevrolet"/>
        <s v="Tesla"/>
        <s v="Honda"/>
        <s v="Nissan"/>
        <s v="Volkswagen"/>
        <s v="Audi"/>
        <s v="Hyundai"/>
        <s v="BMW"/>
      </sharedItems>
    </cacheField>
    <cacheField name="Car Model" numFmtId="0">
      <sharedItems/>
    </cacheField>
    <cacheField name="Avg Revenue per Car" numFmtId="0" formula="'Sale Price'/'Sale ID'"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588791087961" createdVersion="8" refreshedVersion="8" minRefreshableVersion="3" recordCount="1000" xr:uid="{3A8ABAA3-F56C-455B-9257-1A9C18CA78D9}">
  <cacheSource type="worksheet">
    <worksheetSource name="Table2"/>
  </cacheSource>
  <cacheFields count="8">
    <cacheField name="Sale ID" numFmtId="0">
      <sharedItems containsSemiMixedTypes="0" containsString="0" containsNumber="1" containsInteger="1" minValue="1" maxValue="1000"/>
    </cacheField>
    <cacheField name="Car Brand" numFmtId="0">
      <sharedItems count="10">
        <s v="Ford"/>
        <s v="Toyota"/>
        <s v="Chevrolet"/>
        <s v="Tesla"/>
        <s v="Honda"/>
        <s v="Nissan"/>
        <s v="Volkswagen"/>
        <s v="Audi"/>
        <s v="Hyundai"/>
        <s v="BMW"/>
      </sharedItems>
    </cacheField>
    <cacheField name=" Car Model" numFmtId="0">
      <sharedItems count="7">
        <s v="Truck"/>
        <s v="Hatchback"/>
        <s v="Minivan"/>
        <s v="Convertible"/>
        <s v="Coupe"/>
        <s v="SUV"/>
        <s v="Sedan"/>
      </sharedItems>
    </cacheField>
    <cacheField name="Fuel Type" numFmtId="0">
      <sharedItems count="4">
        <s v="Electric"/>
        <s v="Hybrid"/>
        <s v="Diesel"/>
        <s v="Gasoline"/>
      </sharedItems>
    </cacheField>
    <cacheField name="Qty Sold by Salesperson" numFmtId="0">
      <sharedItems containsSemiMixedTypes="0" containsString="0" containsNumber="1" containsInteger="1" minValue="1" maxValue="50"/>
    </cacheField>
    <cacheField name="Sale Price" numFmtId="0">
      <sharedItems containsMixedTypes="1" containsNumber="1" minValue="25018" maxValue="99881"/>
    </cacheField>
    <cacheField name="Salesperson" numFmtId="0">
      <sharedItems count="8">
        <s v="Hannah Lee"/>
        <s v="George Martin"/>
        <s v="Fiona Brown"/>
        <s v="Bob Smith"/>
        <s v="Charlie Evans"/>
        <s v="Ethan Clark"/>
        <s v="Diana Ross"/>
        <s v="Alice Johnson"/>
      </sharedItems>
    </cacheField>
    <cacheField name="Car Color" numFmtId="0">
      <sharedItems count="6">
        <s v="White"/>
        <s v="Red"/>
        <s v="Black"/>
        <s v="Silver"/>
        <s v="Gray"/>
        <s v="Blue"/>
      </sharedItems>
    </cacheField>
  </cacheFields>
  <extLst>
    <ext xmlns:x14="http://schemas.microsoft.com/office/spreadsheetml/2009/9/main" uri="{725AE2AE-9491-48be-B2B4-4EB974FC3084}">
      <x14:pivotCacheDefinition pivotCacheId="190706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Ford,Truck"/>
    <x v="0"/>
    <n v="30"/>
    <n v="77024"/>
    <x v="0"/>
    <s v="White"/>
    <x v="0"/>
    <s v="Truck"/>
  </r>
  <r>
    <n v="2"/>
    <s v="Toyota,Hatchback"/>
    <x v="1"/>
    <n v="15"/>
    <n v="37515"/>
    <x v="1"/>
    <s v="Red"/>
    <x v="1"/>
    <s v="Hatchback"/>
  </r>
  <r>
    <n v="3"/>
    <s v="Chevrolet,Truck"/>
    <x v="2"/>
    <n v="26"/>
    <n v="93173"/>
    <x v="2"/>
    <s v="Black"/>
    <x v="2"/>
    <s v="Truck"/>
  </r>
  <r>
    <n v="4"/>
    <s v="Tesla,Minivan"/>
    <x v="1"/>
    <n v="41"/>
    <n v="79996"/>
    <x v="3"/>
    <s v="Black"/>
    <x v="3"/>
    <s v="Minivan"/>
  </r>
  <r>
    <n v="5"/>
    <s v="Tesla,Convertible"/>
    <x v="3"/>
    <n v="12"/>
    <n v="31822"/>
    <x v="1"/>
    <s v="Silver"/>
    <x v="3"/>
    <s v="Convertible"/>
  </r>
  <r>
    <n v="6"/>
    <s v="Honda,Convertible"/>
    <x v="2"/>
    <n v="12"/>
    <n v="75831"/>
    <x v="4"/>
    <s v="Gray"/>
    <x v="4"/>
    <s v="Convertible"/>
  </r>
  <r>
    <n v="7"/>
    <s v="Ford,Hatchback"/>
    <x v="1"/>
    <n v="41"/>
    <n v="96909"/>
    <x v="5"/>
    <s v="Blue"/>
    <x v="0"/>
    <s v="Hatchback"/>
  </r>
  <r>
    <n v="8"/>
    <s v="Nissan,Coupe"/>
    <x v="0"/>
    <n v="43"/>
    <n v="98569"/>
    <x v="0"/>
    <s v="Red"/>
    <x v="5"/>
    <s v="Coupe"/>
  </r>
  <r>
    <n v="9"/>
    <s v="Ford,Minivan"/>
    <x v="3"/>
    <n v="28"/>
    <n v="78423"/>
    <x v="6"/>
    <s v="Gray"/>
    <x v="0"/>
    <s v="Minivan"/>
  </r>
  <r>
    <n v="10"/>
    <s v="Volkswagen,SUV"/>
    <x v="1"/>
    <n v="26"/>
    <n v="29769"/>
    <x v="3"/>
    <s v="Blue"/>
    <x v="6"/>
    <s v="SUV"/>
  </r>
  <r>
    <n v="11"/>
    <s v="Audi,Coupe"/>
    <x v="3"/>
    <n v="2"/>
    <n v="59644"/>
    <x v="5"/>
    <s v="Gray"/>
    <x v="7"/>
    <s v="Coupe"/>
  </r>
  <r>
    <n v="12"/>
    <s v="Toyota,Convertible"/>
    <x v="1"/>
    <n v="48"/>
    <n v="84311"/>
    <x v="1"/>
    <s v="Black"/>
    <x v="1"/>
    <s v="Convertible"/>
  </r>
  <r>
    <n v="13"/>
    <s v="Toyota,Coupe"/>
    <x v="0"/>
    <n v="40"/>
    <n v="65822"/>
    <x v="5"/>
    <s v="Black"/>
    <x v="1"/>
    <s v="Coupe"/>
  </r>
  <r>
    <n v="14"/>
    <s v="Ford,Truck"/>
    <x v="2"/>
    <n v="13"/>
    <n v="41907"/>
    <x v="6"/>
    <s v="Red"/>
    <x v="0"/>
    <s v="Truck"/>
  </r>
  <r>
    <n v="15"/>
    <s v="Tesla,Truck"/>
    <x v="1"/>
    <n v="29"/>
    <n v="32717"/>
    <x v="7"/>
    <s v="Black"/>
    <x v="3"/>
    <s v="Truck"/>
  </r>
  <r>
    <n v="16"/>
    <s v="Tesla,Convertible"/>
    <x v="3"/>
    <n v="38"/>
    <n v="70228"/>
    <x v="7"/>
    <s v="Black"/>
    <x v="3"/>
    <s v="Convertible"/>
  </r>
  <r>
    <n v="17"/>
    <s v="Nissan,Minivan"/>
    <x v="0"/>
    <n v="28"/>
    <n v="63314"/>
    <x v="3"/>
    <s v="Silver"/>
    <x v="5"/>
    <s v="Minivan"/>
  </r>
  <r>
    <n v="18"/>
    <s v="Volkswagen,Convertible"/>
    <x v="2"/>
    <n v="25"/>
    <n v="58509"/>
    <x v="7"/>
    <s v="Silver"/>
    <x v="6"/>
    <s v="Convertible"/>
  </r>
  <r>
    <n v="19"/>
    <s v="Toyota,Coupe"/>
    <x v="3"/>
    <n v="1"/>
    <n v="46884"/>
    <x v="1"/>
    <s v="Black"/>
    <x v="1"/>
    <s v="Coupe"/>
  </r>
  <r>
    <n v="20"/>
    <s v="Nissan,Coupe"/>
    <x v="0"/>
    <n v="46"/>
    <n v="49657"/>
    <x v="6"/>
    <s v="Red"/>
    <x v="5"/>
    <s v="Coupe"/>
  </r>
  <r>
    <n v="21"/>
    <s v="Tesla,Truck"/>
    <x v="3"/>
    <n v="14"/>
    <n v="78900"/>
    <x v="2"/>
    <s v="Red"/>
    <x v="3"/>
    <s v="Truck"/>
  </r>
  <r>
    <n v="22"/>
    <s v="Nissan,Minivan"/>
    <x v="0"/>
    <n v="14"/>
    <n v="72159"/>
    <x v="1"/>
    <s v="Gray"/>
    <x v="5"/>
    <s v="Minivan"/>
  </r>
  <r>
    <n v="23"/>
    <s v="Audi,SUV"/>
    <x v="2"/>
    <n v="18"/>
    <n v="55875"/>
    <x v="2"/>
    <s v="Black"/>
    <x v="7"/>
    <s v="SUV"/>
  </r>
  <r>
    <n v="24"/>
    <s v="Tesla,Hatchback"/>
    <x v="2"/>
    <n v="49"/>
    <n v="40668"/>
    <x v="3"/>
    <s v="Black"/>
    <x v="3"/>
    <s v="Hatchback"/>
  </r>
  <r>
    <n v="25"/>
    <s v="Hyundai,SUV"/>
    <x v="3"/>
    <n v="46"/>
    <n v="29660"/>
    <x v="4"/>
    <s v="White"/>
    <x v="8"/>
    <s v="SUV"/>
  </r>
  <r>
    <n v="26"/>
    <s v="Volkswagen,Convertible"/>
    <x v="0"/>
    <n v="5"/>
    <n v="40017"/>
    <x v="1"/>
    <s v="Gray"/>
    <x v="6"/>
    <s v="Convertible"/>
  </r>
  <r>
    <n v="27"/>
    <s v="Chevrolet,Coupe"/>
    <x v="1"/>
    <n v="37"/>
    <n v="67150"/>
    <x v="5"/>
    <s v="Silver"/>
    <x v="2"/>
    <s v="Coupe"/>
  </r>
  <r>
    <n v="28"/>
    <s v="Toyota,SUV"/>
    <x v="2"/>
    <n v="7"/>
    <n v="60180"/>
    <x v="5"/>
    <s v="Silver"/>
    <x v="1"/>
    <s v="SUV"/>
  </r>
  <r>
    <n v="29"/>
    <s v="Honda,Minivan"/>
    <x v="1"/>
    <n v="35"/>
    <n v="96396"/>
    <x v="1"/>
    <s v="Red"/>
    <x v="4"/>
    <s v="Minivan"/>
  </r>
  <r>
    <n v="30"/>
    <s v="Audi,Minivan"/>
    <x v="1"/>
    <n v="12"/>
    <n v="96639"/>
    <x v="2"/>
    <s v="Blue"/>
    <x v="7"/>
    <s v="Minivan"/>
  </r>
  <r>
    <n v="31"/>
    <s v="BMW,Coupe"/>
    <x v="3"/>
    <n v="24"/>
    <n v="67390"/>
    <x v="5"/>
    <s v="Blue"/>
    <x v="9"/>
    <s v="Coupe"/>
  </r>
  <r>
    <n v="32"/>
    <s v="Chevrolet,Sedan"/>
    <x v="3"/>
    <n v="21"/>
    <n v="34904"/>
    <x v="1"/>
    <s v="Black"/>
    <x v="2"/>
    <s v="Sedan"/>
  </r>
  <r>
    <n v="33"/>
    <s v="Honda,Truck"/>
    <x v="3"/>
    <n v="13"/>
    <n v="96628"/>
    <x v="6"/>
    <s v="Black"/>
    <x v="4"/>
    <s v="Truck"/>
  </r>
  <r>
    <n v="34"/>
    <s v="Tesla,Hatchback"/>
    <x v="0"/>
    <n v="30"/>
    <n v="75254"/>
    <x v="1"/>
    <s v="Gray"/>
    <x v="3"/>
    <s v="Hatchback"/>
  </r>
  <r>
    <n v="35"/>
    <s v="BMW,Coupe"/>
    <x v="2"/>
    <n v="8"/>
    <n v="80934"/>
    <x v="0"/>
    <s v="White"/>
    <x v="9"/>
    <s v="Coupe"/>
  </r>
  <r>
    <n v="36"/>
    <s v="Ford,Hatchback"/>
    <x v="2"/>
    <n v="17"/>
    <n v="65565"/>
    <x v="4"/>
    <s v="White"/>
    <x v="0"/>
    <s v="Hatchback"/>
  </r>
  <r>
    <n v="37"/>
    <s v="Ford,Minivan"/>
    <x v="1"/>
    <n v="43"/>
    <n v="84273"/>
    <x v="2"/>
    <s v="Red"/>
    <x v="0"/>
    <s v="Minivan"/>
  </r>
  <r>
    <n v="38"/>
    <s v="Audi,Coupe"/>
    <x v="3"/>
    <n v="32"/>
    <n v="37016"/>
    <x v="0"/>
    <s v="Gray"/>
    <x v="7"/>
    <s v="Coupe"/>
  </r>
  <r>
    <n v="39"/>
    <s v="Ford,Coupe"/>
    <x v="0"/>
    <n v="34"/>
    <n v="54005"/>
    <x v="5"/>
    <s v="Blue"/>
    <x v="0"/>
    <s v="Coupe"/>
  </r>
  <r>
    <n v="40"/>
    <s v="BMW,Hatchback"/>
    <x v="2"/>
    <n v="41"/>
    <n v="86030"/>
    <x v="5"/>
    <s v="White"/>
    <x v="9"/>
    <s v="Hatchback"/>
  </r>
  <r>
    <n v="41"/>
    <s v="BMW,Minivan"/>
    <x v="0"/>
    <n v="21"/>
    <n v="93030"/>
    <x v="2"/>
    <s v="Blue"/>
    <x v="9"/>
    <s v="Minivan"/>
  </r>
  <r>
    <n v="42"/>
    <s v="Volkswagen,Minivan"/>
    <x v="3"/>
    <n v="39"/>
    <n v="52788"/>
    <x v="1"/>
    <s v="Gray"/>
    <x v="6"/>
    <s v="Minivan"/>
  </r>
  <r>
    <n v="43"/>
    <s v="Chevrolet,Hatchback"/>
    <x v="3"/>
    <n v="25"/>
    <n v="81201"/>
    <x v="4"/>
    <s v="White"/>
    <x v="2"/>
    <s v="Hatchback"/>
  </r>
  <r>
    <n v="44"/>
    <s v="Toyota,SUV"/>
    <x v="2"/>
    <n v="40"/>
    <n v="83974"/>
    <x v="3"/>
    <s v="Silver"/>
    <x v="1"/>
    <s v="SUV"/>
  </r>
  <r>
    <n v="45"/>
    <s v="Hyundai,Coupe"/>
    <x v="1"/>
    <n v="26"/>
    <n v="67158"/>
    <x v="6"/>
    <s v="Black"/>
    <x v="8"/>
    <s v="Coupe"/>
  </r>
  <r>
    <n v="46"/>
    <s v="Nissan,Sedan"/>
    <x v="1"/>
    <n v="38"/>
    <n v="28192"/>
    <x v="0"/>
    <s v="White"/>
    <x v="5"/>
    <s v="Sedan"/>
  </r>
  <r>
    <n v="47"/>
    <s v="Ford,SUV"/>
    <x v="3"/>
    <n v="8"/>
    <n v="38766"/>
    <x v="4"/>
    <s v="White"/>
    <x v="0"/>
    <s v="SUV"/>
  </r>
  <r>
    <n v="48"/>
    <s v="Audi,Convertible"/>
    <x v="3"/>
    <n v="23"/>
    <n v="93042"/>
    <x v="3"/>
    <s v="Gray"/>
    <x v="7"/>
    <s v="Convertible"/>
  </r>
  <r>
    <n v="49"/>
    <s v="Ford,Convertible"/>
    <x v="1"/>
    <n v="23"/>
    <n v="37039"/>
    <x v="6"/>
    <s v="Red"/>
    <x v="0"/>
    <s v="Convertible"/>
  </r>
  <r>
    <n v="50"/>
    <s v="Nissan,Truck"/>
    <x v="3"/>
    <n v="30"/>
    <n v="75522"/>
    <x v="1"/>
    <s v="Silver"/>
    <x v="5"/>
    <s v="Truck"/>
  </r>
  <r>
    <n v="51"/>
    <s v="Chevrolet,Minivan"/>
    <x v="2"/>
    <n v="40"/>
    <n v="63907"/>
    <x v="2"/>
    <s v="Black"/>
    <x v="2"/>
    <s v="Minivan"/>
  </r>
  <r>
    <n v="52"/>
    <s v="Volkswagen,Sedan"/>
    <x v="2"/>
    <n v="12"/>
    <n v="30965"/>
    <x v="7"/>
    <s v="Silver"/>
    <x v="6"/>
    <s v="Sedan"/>
  </r>
  <r>
    <n v="53"/>
    <s v="BMW,Minivan"/>
    <x v="0"/>
    <n v="44"/>
    <n v="87144"/>
    <x v="4"/>
    <s v="Gray"/>
    <x v="9"/>
    <s v="Minivan"/>
  </r>
  <r>
    <n v="54"/>
    <s v="Volkswagen,Minivan"/>
    <x v="1"/>
    <n v="46"/>
    <n v="65150"/>
    <x v="1"/>
    <s v="Gray"/>
    <x v="6"/>
    <s v="Minivan"/>
  </r>
  <r>
    <n v="55"/>
    <s v="Tesla,Coupe"/>
    <x v="3"/>
    <n v="20"/>
    <n v="60773"/>
    <x v="7"/>
    <s v="Black"/>
    <x v="3"/>
    <s v="Coupe"/>
  </r>
  <r>
    <n v="56"/>
    <s v="Ford,Sedan"/>
    <x v="0"/>
    <n v="40"/>
    <n v="83223"/>
    <x v="3"/>
    <s v="Silver"/>
    <x v="0"/>
    <s v="Sedan"/>
  </r>
  <r>
    <n v="57"/>
    <s v="Toyota,Convertible"/>
    <x v="2"/>
    <n v="38"/>
    <n v="90033"/>
    <x v="4"/>
    <s v="Silver"/>
    <x v="1"/>
    <s v="Convertible"/>
  </r>
  <r>
    <n v="58"/>
    <s v="Tesla,Coupe"/>
    <x v="1"/>
    <n v="6"/>
    <n v="29674"/>
    <x v="0"/>
    <s v="Red"/>
    <x v="3"/>
    <s v="Coupe"/>
  </r>
  <r>
    <n v="59"/>
    <s v="Chevrolet,Sedan"/>
    <x v="2"/>
    <n v="44"/>
    <n v="63119"/>
    <x v="1"/>
    <s v="Blue"/>
    <x v="2"/>
    <s v="Sedan"/>
  </r>
  <r>
    <n v="60"/>
    <s v="Ford,Hatchback"/>
    <x v="3"/>
    <n v="9"/>
    <n v="46509"/>
    <x v="3"/>
    <s v="Silver"/>
    <x v="0"/>
    <s v="Hatchback"/>
  </r>
  <r>
    <n v="61"/>
    <s v="Tesla,SUV"/>
    <x v="0"/>
    <n v="21"/>
    <n v="37152"/>
    <x v="3"/>
    <s v="Gray"/>
    <x v="3"/>
    <s v="SUV"/>
  </r>
  <r>
    <n v="62"/>
    <s v="Ford,Coupe"/>
    <x v="3"/>
    <n v="8"/>
    <n v="93097"/>
    <x v="5"/>
    <s v="Black"/>
    <x v="0"/>
    <s v="Coupe"/>
  </r>
  <r>
    <n v="63"/>
    <s v="Audi,Minivan"/>
    <x v="3"/>
    <n v="16"/>
    <n v="55208"/>
    <x v="6"/>
    <s v="Black"/>
    <x v="7"/>
    <s v="Minivan"/>
  </r>
  <r>
    <n v="64"/>
    <s v="Chevrolet,Hatchback"/>
    <x v="1"/>
    <n v="20"/>
    <n v="70627"/>
    <x v="2"/>
    <s v="Red"/>
    <x v="2"/>
    <s v="Hatchback"/>
  </r>
  <r>
    <n v="65"/>
    <s v="Hyundai,SUV"/>
    <x v="1"/>
    <n v="8"/>
    <n v="64098"/>
    <x v="3"/>
    <s v="Blue"/>
    <x v="8"/>
    <s v="SUV"/>
  </r>
  <r>
    <n v="66"/>
    <s v="BMW,Sedan"/>
    <x v="3"/>
    <n v="12"/>
    <n v="58827"/>
    <x v="7"/>
    <s v="Black"/>
    <x v="9"/>
    <s v="Sedan"/>
  </r>
  <r>
    <n v="67"/>
    <s v="Honda,Coupe"/>
    <x v="1"/>
    <n v="24"/>
    <n v="65852"/>
    <x v="1"/>
    <s v="Red"/>
    <x v="4"/>
    <s v="Coupe"/>
  </r>
  <r>
    <n v="68"/>
    <s v="BMW,Minivan"/>
    <x v="0"/>
    <n v="45"/>
    <n v="61904"/>
    <x v="1"/>
    <s v="Black"/>
    <x v="9"/>
    <s v="Minivan"/>
  </r>
  <r>
    <n v="69"/>
    <s v="BMW,Truck"/>
    <x v="0"/>
    <n v="10"/>
    <n v="96255"/>
    <x v="5"/>
    <s v="White"/>
    <x v="9"/>
    <s v="Truck"/>
  </r>
  <r>
    <n v="70"/>
    <s v="Tesla,Truck"/>
    <x v="3"/>
    <n v="33"/>
    <n v="82405"/>
    <x v="7"/>
    <s v="Gray"/>
    <x v="3"/>
    <s v="Truck"/>
  </r>
  <r>
    <n v="71"/>
    <s v="Chevrolet,Convertible"/>
    <x v="0"/>
    <n v="25"/>
    <n v="51773"/>
    <x v="4"/>
    <s v="Silver"/>
    <x v="2"/>
    <s v="Convertible"/>
  </r>
  <r>
    <n v="72"/>
    <s v="Ford,Hatchback"/>
    <x v="3"/>
    <n v="27"/>
    <n v="60691"/>
    <x v="0"/>
    <s v="Blue"/>
    <x v="0"/>
    <s v="Hatchback"/>
  </r>
  <r>
    <n v="73"/>
    <s v="Volkswagen,Coupe"/>
    <x v="0"/>
    <n v="39"/>
    <n v="32869"/>
    <x v="0"/>
    <s v="Silver"/>
    <x v="6"/>
    <s v="Coupe"/>
  </r>
  <r>
    <n v="74"/>
    <s v="Honda,Hatchback"/>
    <x v="2"/>
    <n v="9"/>
    <n v="28555"/>
    <x v="7"/>
    <s v="Silver"/>
    <x v="4"/>
    <s v="Hatchback"/>
  </r>
  <r>
    <n v="75"/>
    <s v="Nissan,Sedan"/>
    <x v="3"/>
    <n v="37"/>
    <n v="39519"/>
    <x v="6"/>
    <s v="White"/>
    <x v="5"/>
    <s v="Sedan"/>
  </r>
  <r>
    <n v="76"/>
    <s v="Tesla,Minivan"/>
    <x v="0"/>
    <n v="25"/>
    <n v="84785"/>
    <x v="5"/>
    <s v="Blue"/>
    <x v="3"/>
    <s v="Minivan"/>
  </r>
  <r>
    <n v="77"/>
    <s v="Honda,Truck"/>
    <x v="2"/>
    <n v="28"/>
    <n v="31027"/>
    <x v="6"/>
    <s v="Silver"/>
    <x v="4"/>
    <s v="Truck"/>
  </r>
  <r>
    <n v="78"/>
    <s v="Hyundai,Minivan"/>
    <x v="3"/>
    <n v="12"/>
    <n v="79362"/>
    <x v="7"/>
    <s v="Red"/>
    <x v="8"/>
    <s v="Minivan"/>
  </r>
  <r>
    <n v="79"/>
    <s v="Audi,Hatchback"/>
    <x v="0"/>
    <n v="32"/>
    <n v="49083"/>
    <x v="6"/>
    <s v="Black"/>
    <x v="7"/>
    <s v="Hatchback"/>
  </r>
  <r>
    <n v="80"/>
    <s v="Chevrolet,Minivan"/>
    <x v="0"/>
    <n v="41"/>
    <n v="66335"/>
    <x v="4"/>
    <s v="Gray"/>
    <x v="2"/>
    <s v="Minivan"/>
  </r>
  <r>
    <n v="81"/>
    <s v="Nissan,Convertible"/>
    <x v="2"/>
    <n v="35"/>
    <n v="93382"/>
    <x v="7"/>
    <s v="Black"/>
    <x v="5"/>
    <s v="Convertible"/>
  </r>
  <r>
    <n v="82"/>
    <s v="Tesla,Coupe"/>
    <x v="1"/>
    <n v="45"/>
    <n v="52078"/>
    <x v="2"/>
    <s v="Gray"/>
    <x v="3"/>
    <s v="Coupe"/>
  </r>
  <r>
    <n v="83"/>
    <s v="BMW,Truck"/>
    <x v="1"/>
    <n v="42"/>
    <n v="65316"/>
    <x v="6"/>
    <s v="Red"/>
    <x v="9"/>
    <s v="Truck"/>
  </r>
  <r>
    <n v="84"/>
    <s v="Toyota,Hatchback"/>
    <x v="2"/>
    <n v="12"/>
    <n v="45607"/>
    <x v="7"/>
    <s v="Black"/>
    <x v="1"/>
    <s v="Hatchback"/>
  </r>
  <r>
    <n v="85"/>
    <s v="Tesla,Hatchback"/>
    <x v="2"/>
    <n v="36"/>
    <n v="35768"/>
    <x v="4"/>
    <s v="White"/>
    <x v="3"/>
    <s v="Hatchback"/>
  </r>
  <r>
    <n v="86"/>
    <s v="Toyota,Minivan"/>
    <x v="3"/>
    <n v="11"/>
    <n v="42146"/>
    <x v="3"/>
    <s v="Red"/>
    <x v="1"/>
    <s v="Minivan"/>
  </r>
  <r>
    <n v="87"/>
    <s v="BMW,Coupe"/>
    <x v="1"/>
    <n v="32"/>
    <n v="37839"/>
    <x v="5"/>
    <s v="White"/>
    <x v="9"/>
    <s v="Coupe"/>
  </r>
  <r>
    <n v="88"/>
    <s v="Audi,Minivan"/>
    <x v="3"/>
    <n v="19"/>
    <n v="51734"/>
    <x v="1"/>
    <s v="Blue"/>
    <x v="7"/>
    <s v="Minivan"/>
  </r>
  <r>
    <n v="89"/>
    <s v="Chevrolet,Convertible"/>
    <x v="0"/>
    <n v="9"/>
    <n v="67678"/>
    <x v="2"/>
    <s v="Black"/>
    <x v="2"/>
    <s v="Convertible"/>
  </r>
  <r>
    <n v="90"/>
    <s v="Ford,Sedan"/>
    <x v="2"/>
    <n v="12"/>
    <n v="59718"/>
    <x v="1"/>
    <s v="White"/>
    <x v="0"/>
    <s v="Sedan"/>
  </r>
  <r>
    <n v="91"/>
    <s v="Tesla,Convertible"/>
    <x v="3"/>
    <n v="21"/>
    <n v="62827"/>
    <x v="1"/>
    <s v="Black"/>
    <x v="3"/>
    <s v="Convertible"/>
  </r>
  <r>
    <n v="92"/>
    <s v="Volkswagen,Sedan"/>
    <x v="2"/>
    <n v="29"/>
    <n v="36230"/>
    <x v="6"/>
    <s v="Blue"/>
    <x v="6"/>
    <s v="Sedan"/>
  </r>
  <r>
    <n v="93"/>
    <s v="BMW,SUV"/>
    <x v="3"/>
    <n v="40"/>
    <n v="56668"/>
    <x v="7"/>
    <s v="Silver"/>
    <x v="9"/>
    <s v="SUV"/>
  </r>
  <r>
    <n v="94"/>
    <s v="Tesla,Hatchback"/>
    <x v="0"/>
    <n v="4"/>
    <n v="25173"/>
    <x v="3"/>
    <s v="Black"/>
    <x v="3"/>
    <s v="Hatchback"/>
  </r>
  <r>
    <n v="95"/>
    <s v="Hyundai,Hatchback"/>
    <x v="0"/>
    <n v="23"/>
    <n v="28990"/>
    <x v="3"/>
    <s v="Blue"/>
    <x v="8"/>
    <s v="Hatchback"/>
  </r>
  <r>
    <n v="96"/>
    <s v="Audi,Truck"/>
    <x v="1"/>
    <n v="1"/>
    <n v="26440"/>
    <x v="5"/>
    <s v="Red"/>
    <x v="7"/>
    <s v="Truck"/>
  </r>
  <r>
    <n v="97"/>
    <s v="Hyundai,SUV"/>
    <x v="1"/>
    <n v="32"/>
    <n v="76505"/>
    <x v="2"/>
    <s v="Black"/>
    <x v="8"/>
    <s v="SUV"/>
  </r>
  <r>
    <n v="98"/>
    <s v="Honda,Hatchback"/>
    <x v="0"/>
    <n v="9"/>
    <n v="86067"/>
    <x v="2"/>
    <s v="Red"/>
    <x v="4"/>
    <s v="Hatchback"/>
  </r>
  <r>
    <n v="99"/>
    <s v="Chevrolet,Sedan"/>
    <x v="3"/>
    <n v="13"/>
    <n v="40674"/>
    <x v="5"/>
    <s v="Blue"/>
    <x v="2"/>
    <s v="Sedan"/>
  </r>
  <r>
    <n v="100"/>
    <s v="Honda,Coupe"/>
    <x v="2"/>
    <n v="25"/>
    <n v="82750"/>
    <x v="6"/>
    <s v="Red"/>
    <x v="4"/>
    <s v="Coupe"/>
  </r>
  <r>
    <n v="101"/>
    <s v="Tesla,Sedan"/>
    <x v="0"/>
    <n v="36"/>
    <n v="62409"/>
    <x v="6"/>
    <s v="White"/>
    <x v="3"/>
    <s v="Sedan"/>
  </r>
  <r>
    <n v="102"/>
    <s v="Nissan,Minivan"/>
    <x v="0"/>
    <n v="33"/>
    <n v="61410"/>
    <x v="0"/>
    <s v="Silver"/>
    <x v="5"/>
    <s v="Minivan"/>
  </r>
  <r>
    <n v="103"/>
    <s v="Nissan,Hatchback"/>
    <x v="3"/>
    <n v="42"/>
    <n v="64707"/>
    <x v="1"/>
    <s v="Red"/>
    <x v="5"/>
    <s v="Hatchback"/>
  </r>
  <r>
    <n v="104"/>
    <s v="Chevrolet,Hatchback"/>
    <x v="0"/>
    <n v="32"/>
    <n v="80119"/>
    <x v="7"/>
    <s v="White"/>
    <x v="2"/>
    <s v="Hatchback"/>
  </r>
  <r>
    <n v="105"/>
    <s v="Volkswagen,Minivan"/>
    <x v="0"/>
    <n v="27"/>
    <n v="58807"/>
    <x v="5"/>
    <s v="Silver"/>
    <x v="6"/>
    <s v="Minivan"/>
  </r>
  <r>
    <n v="106"/>
    <s v="Audi,Sedan"/>
    <x v="3"/>
    <n v="44"/>
    <n v="58282"/>
    <x v="4"/>
    <s v="Blue"/>
    <x v="7"/>
    <s v="Sedan"/>
  </r>
  <r>
    <n v="107"/>
    <s v="Volkswagen,Coupe"/>
    <x v="0"/>
    <n v="32"/>
    <n v="87144"/>
    <x v="1"/>
    <s v="Blue"/>
    <x v="6"/>
    <s v="Coupe"/>
  </r>
  <r>
    <n v="108"/>
    <s v="Audi,SUV"/>
    <x v="1"/>
    <n v="27"/>
    <n v="65200"/>
    <x v="3"/>
    <s v="Black"/>
    <x v="7"/>
    <s v="SUV"/>
  </r>
  <r>
    <n v="109"/>
    <s v="BMW,Hatchback"/>
    <x v="1"/>
    <n v="46"/>
    <n v="63043"/>
    <x v="3"/>
    <s v="White"/>
    <x v="9"/>
    <s v="Hatchback"/>
  </r>
  <r>
    <n v="110"/>
    <s v="Tesla,Truck"/>
    <x v="1"/>
    <n v="29"/>
    <n v="50521"/>
    <x v="5"/>
    <s v="Gray"/>
    <x v="3"/>
    <s v="Truck"/>
  </r>
  <r>
    <n v="111"/>
    <s v="Honda,Sedan"/>
    <x v="1"/>
    <n v="32"/>
    <n v="40846"/>
    <x v="2"/>
    <s v="Silver"/>
    <x v="4"/>
    <s v="Sedan"/>
  </r>
  <r>
    <n v="112"/>
    <s v="Nissan,Sedan"/>
    <x v="0"/>
    <n v="11"/>
    <n v="34294"/>
    <x v="3"/>
    <s v="Black"/>
    <x v="5"/>
    <s v="Sedan"/>
  </r>
  <r>
    <n v="113"/>
    <s v="Hyundai,Truck"/>
    <x v="2"/>
    <n v="6"/>
    <n v="64172"/>
    <x v="5"/>
    <s v="Black"/>
    <x v="8"/>
    <s v="Truck"/>
  </r>
  <r>
    <n v="114"/>
    <s v="Ford,Minivan"/>
    <x v="1"/>
    <n v="37"/>
    <n v="71689"/>
    <x v="5"/>
    <s v="Blue"/>
    <x v="0"/>
    <s v="Minivan"/>
  </r>
  <r>
    <n v="115"/>
    <s v="Toyota,Sedan"/>
    <x v="1"/>
    <n v="2"/>
    <n v="63110"/>
    <x v="0"/>
    <s v="Red"/>
    <x v="1"/>
    <s v="Sedan"/>
  </r>
  <r>
    <n v="116"/>
    <s v="Ford,Truck"/>
    <x v="0"/>
    <n v="49"/>
    <n v="66332"/>
    <x v="1"/>
    <s v="Silver"/>
    <x v="0"/>
    <s v="Truck"/>
  </r>
  <r>
    <n v="117"/>
    <s v="Honda,Truck"/>
    <x v="0"/>
    <n v="15"/>
    <n v="81488"/>
    <x v="0"/>
    <s v="Gray"/>
    <x v="4"/>
    <s v="Truck"/>
  </r>
  <r>
    <n v="118"/>
    <s v="Honda,Truck"/>
    <x v="3"/>
    <n v="19"/>
    <n v="97032"/>
    <x v="6"/>
    <s v="Blue"/>
    <x v="4"/>
    <s v="Truck"/>
  </r>
  <r>
    <n v="119"/>
    <s v="Audi,Coupe"/>
    <x v="1"/>
    <n v="3"/>
    <n v="60843"/>
    <x v="2"/>
    <s v="Blue"/>
    <x v="7"/>
    <s v="Coupe"/>
  </r>
  <r>
    <n v="120"/>
    <s v="Volkswagen,SUV"/>
    <x v="3"/>
    <n v="18"/>
    <n v="87914"/>
    <x v="0"/>
    <s v="Gray"/>
    <x v="6"/>
    <s v="SUV"/>
  </r>
  <r>
    <n v="121"/>
    <s v="Ford,SUV"/>
    <x v="1"/>
    <n v="15"/>
    <n v="84063"/>
    <x v="0"/>
    <s v="Red"/>
    <x v="0"/>
    <s v="SUV"/>
  </r>
  <r>
    <n v="122"/>
    <s v="Audi,Convertible"/>
    <x v="2"/>
    <n v="35"/>
    <n v="58054"/>
    <x v="7"/>
    <s v="White"/>
    <x v="7"/>
    <s v="Convertible"/>
  </r>
  <r>
    <n v="123"/>
    <s v="Audi,Coupe"/>
    <x v="0"/>
    <n v="19"/>
    <n v="54524"/>
    <x v="0"/>
    <s v="White"/>
    <x v="7"/>
    <s v="Coupe"/>
  </r>
  <r>
    <n v="124"/>
    <s v="Volkswagen,Convertible"/>
    <x v="0"/>
    <n v="11"/>
    <n v="44167"/>
    <x v="3"/>
    <s v="Gray"/>
    <x v="6"/>
    <s v="Convertible"/>
  </r>
  <r>
    <n v="125"/>
    <s v="Hyundai,Hatchback"/>
    <x v="3"/>
    <n v="50"/>
    <n v="71582"/>
    <x v="5"/>
    <s v="Silver"/>
    <x v="8"/>
    <s v="Hatchback"/>
  </r>
  <r>
    <n v="126"/>
    <s v="Nissan,Minivan"/>
    <x v="3"/>
    <n v="30"/>
    <n v="33399"/>
    <x v="3"/>
    <s v="Red"/>
    <x v="5"/>
    <s v="Minivan"/>
  </r>
  <r>
    <n v="127"/>
    <s v="Chevrolet,SUV"/>
    <x v="0"/>
    <n v="37"/>
    <n v="31121"/>
    <x v="1"/>
    <s v="Red"/>
    <x v="2"/>
    <s v="SUV"/>
  </r>
  <r>
    <n v="128"/>
    <s v="Nissan,SUV"/>
    <x v="0"/>
    <n v="48"/>
    <n v="34404"/>
    <x v="6"/>
    <s v="Black"/>
    <x v="5"/>
    <s v="SUV"/>
  </r>
  <r>
    <n v="129"/>
    <s v="Toyota,SUV"/>
    <x v="0"/>
    <n v="50"/>
    <n v="58260"/>
    <x v="6"/>
    <s v="Red"/>
    <x v="1"/>
    <s v="SUV"/>
  </r>
  <r>
    <n v="130"/>
    <s v="Ford,Sedan"/>
    <x v="1"/>
    <n v="50"/>
    <n v="37098"/>
    <x v="2"/>
    <s v="Gray"/>
    <x v="0"/>
    <s v="Sedan"/>
  </r>
  <r>
    <n v="131"/>
    <s v="Nissan,Convertible"/>
    <x v="1"/>
    <n v="32"/>
    <n v="82343"/>
    <x v="1"/>
    <s v="Silver"/>
    <x v="5"/>
    <s v="Convertible"/>
  </r>
  <r>
    <n v="132"/>
    <s v="Chevrolet,Minivan"/>
    <x v="2"/>
    <n v="36"/>
    <n v="78187"/>
    <x v="2"/>
    <s v="Red"/>
    <x v="2"/>
    <s v="Minivan"/>
  </r>
  <r>
    <n v="133"/>
    <s v="BMW,Coupe"/>
    <x v="1"/>
    <n v="33"/>
    <n v="58490"/>
    <x v="7"/>
    <s v="Black"/>
    <x v="9"/>
    <s v="Coupe"/>
  </r>
  <r>
    <n v="134"/>
    <s v="Ford,Convertible"/>
    <x v="0"/>
    <n v="8"/>
    <n v="67914"/>
    <x v="5"/>
    <s v="White"/>
    <x v="0"/>
    <s v="Convertible"/>
  </r>
  <r>
    <n v="135"/>
    <s v="Chevrolet,Hatchback"/>
    <x v="1"/>
    <n v="37"/>
    <n v="46197"/>
    <x v="6"/>
    <s v="Red"/>
    <x v="2"/>
    <s v="Hatchback"/>
  </r>
  <r>
    <n v="136"/>
    <s v="Audi,SUV"/>
    <x v="3"/>
    <n v="8"/>
    <n v="71320"/>
    <x v="5"/>
    <s v="Red"/>
    <x v="7"/>
    <s v="SUV"/>
  </r>
  <r>
    <n v="137"/>
    <s v="Honda,Coupe"/>
    <x v="0"/>
    <n v="18"/>
    <n v="84233"/>
    <x v="3"/>
    <s v="Silver"/>
    <x v="4"/>
    <s v="Coupe"/>
  </r>
  <r>
    <n v="138"/>
    <s v="Hyundai,Convertible"/>
    <x v="1"/>
    <n v="50"/>
    <n v="71143"/>
    <x v="1"/>
    <s v="Gray"/>
    <x v="8"/>
    <s v="Convertible"/>
  </r>
  <r>
    <n v="139"/>
    <s v="Toyota,SUV"/>
    <x v="0"/>
    <n v="35"/>
    <n v="77511"/>
    <x v="2"/>
    <s v="Gray"/>
    <x v="1"/>
    <s v="SUV"/>
  </r>
  <r>
    <n v="140"/>
    <s v="Chevrolet,SUV"/>
    <x v="3"/>
    <n v="24"/>
    <n v="68349"/>
    <x v="3"/>
    <s v="Black"/>
    <x v="2"/>
    <s v="SUV"/>
  </r>
  <r>
    <n v="141"/>
    <s v="Nissan,Coupe"/>
    <x v="3"/>
    <n v="35"/>
    <n v="91751"/>
    <x v="4"/>
    <s v="Red"/>
    <x v="5"/>
    <s v="Coupe"/>
  </r>
  <r>
    <n v="142"/>
    <s v="Honda,Hatchback"/>
    <x v="1"/>
    <n v="49"/>
    <n v="40733"/>
    <x v="0"/>
    <s v="Silver"/>
    <x v="4"/>
    <s v="Hatchback"/>
  </r>
  <r>
    <n v="143"/>
    <s v="Nissan,Truck"/>
    <x v="0"/>
    <n v="3"/>
    <n v="39716"/>
    <x v="2"/>
    <s v="Black"/>
    <x v="5"/>
    <s v="Truck"/>
  </r>
  <r>
    <n v="144"/>
    <s v="Ford,Coupe"/>
    <x v="2"/>
    <n v="49"/>
    <n v="70187"/>
    <x v="2"/>
    <s v="Gray"/>
    <x v="0"/>
    <s v="Coupe"/>
  </r>
  <r>
    <n v="145"/>
    <s v="Chevrolet,Truck"/>
    <x v="3"/>
    <n v="47"/>
    <n v="47401"/>
    <x v="6"/>
    <s v="Blue"/>
    <x v="2"/>
    <s v="Truck"/>
  </r>
  <r>
    <n v="146"/>
    <s v="Nissan,Hatchback"/>
    <x v="2"/>
    <n v="29"/>
    <n v="92848"/>
    <x v="5"/>
    <s v="Black"/>
    <x v="5"/>
    <s v="Hatchback"/>
  </r>
  <r>
    <n v="147"/>
    <s v="Volkswagen,Sedan"/>
    <x v="1"/>
    <n v="35"/>
    <n v="66070"/>
    <x v="4"/>
    <s v="Blue"/>
    <x v="6"/>
    <s v="Sedan"/>
  </r>
  <r>
    <n v="148"/>
    <s v="Tesla,Minivan"/>
    <x v="3"/>
    <n v="14"/>
    <n v="80936"/>
    <x v="6"/>
    <s v="Blue"/>
    <x v="3"/>
    <s v="Minivan"/>
  </r>
  <r>
    <n v="149"/>
    <s v="Honda,Coupe"/>
    <x v="2"/>
    <n v="28"/>
    <n v="60649"/>
    <x v="0"/>
    <s v="Black"/>
    <x v="4"/>
    <s v="Coupe"/>
  </r>
  <r>
    <n v="150"/>
    <s v="BMW,Truck"/>
    <x v="3"/>
    <n v="7"/>
    <n v="37395"/>
    <x v="6"/>
    <s v="Black"/>
    <x v="9"/>
    <s v="Truck"/>
  </r>
  <r>
    <n v="151"/>
    <s v="Honda,Hatchback"/>
    <x v="2"/>
    <n v="48"/>
    <n v="67138"/>
    <x v="6"/>
    <s v="Silver"/>
    <x v="4"/>
    <s v="Hatchback"/>
  </r>
  <r>
    <n v="152"/>
    <s v="Nissan,Convertible"/>
    <x v="0"/>
    <n v="42"/>
    <n v="98941"/>
    <x v="6"/>
    <s v="Black"/>
    <x v="5"/>
    <s v="Convertible"/>
  </r>
  <r>
    <n v="153"/>
    <s v="Nissan,SUV"/>
    <x v="0"/>
    <n v="49"/>
    <n v="28134"/>
    <x v="5"/>
    <s v="White"/>
    <x v="5"/>
    <s v="SUV"/>
  </r>
  <r>
    <n v="154"/>
    <s v="Toyota,Sedan"/>
    <x v="1"/>
    <n v="16"/>
    <n v="93947"/>
    <x v="6"/>
    <s v="Gray"/>
    <x v="1"/>
    <s v="Sedan"/>
  </r>
  <r>
    <n v="155"/>
    <s v="Volkswagen,Coupe"/>
    <x v="3"/>
    <n v="20"/>
    <n v="90093"/>
    <x v="6"/>
    <s v="Red"/>
    <x v="6"/>
    <s v="Coupe"/>
  </r>
  <r>
    <n v="156"/>
    <s v="BMW,Truck"/>
    <x v="2"/>
    <n v="3"/>
    <n v="68509"/>
    <x v="6"/>
    <s v="Black"/>
    <x v="9"/>
    <s v="Truck"/>
  </r>
  <r>
    <n v="157"/>
    <s v="Hyundai,Convertible"/>
    <x v="1"/>
    <n v="29"/>
    <n v="96428"/>
    <x v="6"/>
    <s v="Blue"/>
    <x v="8"/>
    <s v="Convertible"/>
  </r>
  <r>
    <n v="158"/>
    <s v="Toyota,Truck"/>
    <x v="0"/>
    <n v="17"/>
    <n v="62641"/>
    <x v="2"/>
    <s v="Blue"/>
    <x v="1"/>
    <s v="Truck"/>
  </r>
  <r>
    <n v="159"/>
    <s v="Ford,Hatchback"/>
    <x v="0"/>
    <n v="23"/>
    <n v="32831"/>
    <x v="4"/>
    <s v="Black"/>
    <x v="0"/>
    <s v="Hatchback"/>
  </r>
  <r>
    <n v="160"/>
    <s v="BMW,Coupe"/>
    <x v="1"/>
    <n v="6"/>
    <n v="76091"/>
    <x v="3"/>
    <s v="Red"/>
    <x v="9"/>
    <s v="Coupe"/>
  </r>
  <r>
    <n v="161"/>
    <s v="Chevrolet,Hatchback"/>
    <x v="3"/>
    <n v="29"/>
    <n v="63718"/>
    <x v="3"/>
    <s v="Red"/>
    <x v="2"/>
    <s v="Hatchback"/>
  </r>
  <r>
    <n v="162"/>
    <s v="Tesla,Truck"/>
    <x v="2"/>
    <n v="8"/>
    <n v="58159"/>
    <x v="3"/>
    <s v="Silver"/>
    <x v="3"/>
    <s v="Truck"/>
  </r>
  <r>
    <n v="163"/>
    <s v="Toyota,Coupe"/>
    <x v="0"/>
    <n v="50"/>
    <n v="40952"/>
    <x v="0"/>
    <s v="Silver"/>
    <x v="1"/>
    <s v="Coupe"/>
  </r>
  <r>
    <n v="164"/>
    <s v="Tesla,Minivan"/>
    <x v="1"/>
    <n v="16"/>
    <n v="48902"/>
    <x v="7"/>
    <s v="Silver"/>
    <x v="3"/>
    <s v="Minivan"/>
  </r>
  <r>
    <n v="165"/>
    <s v="Volkswagen,Truck"/>
    <x v="0"/>
    <n v="14"/>
    <n v="52021"/>
    <x v="7"/>
    <s v="Red"/>
    <x v="6"/>
    <s v="Truck"/>
  </r>
  <r>
    <n v="166"/>
    <s v="Ford,SUV"/>
    <x v="0"/>
    <n v="48"/>
    <n v="67975"/>
    <x v="0"/>
    <s v="Blue"/>
    <x v="0"/>
    <s v="SUV"/>
  </r>
  <r>
    <n v="167"/>
    <s v="Ford,Coupe"/>
    <x v="2"/>
    <n v="38"/>
    <n v="99278"/>
    <x v="2"/>
    <s v="Silver"/>
    <x v="0"/>
    <s v="Coupe"/>
  </r>
  <r>
    <n v="168"/>
    <s v="Hyundai,Minivan"/>
    <x v="3"/>
    <n v="45"/>
    <n v="99881"/>
    <x v="2"/>
    <s v="Black"/>
    <x v="8"/>
    <s v="Minivan"/>
  </r>
  <r>
    <n v="169"/>
    <s v="Ford,Coupe"/>
    <x v="3"/>
    <n v="23"/>
    <n v="39851"/>
    <x v="0"/>
    <s v="Silver"/>
    <x v="0"/>
    <s v="Coupe"/>
  </r>
  <r>
    <n v="170"/>
    <s v="Nissan,Sedan"/>
    <x v="2"/>
    <n v="46"/>
    <n v="57598"/>
    <x v="5"/>
    <s v="Black"/>
    <x v="5"/>
    <s v="Sedan"/>
  </r>
  <r>
    <n v="171"/>
    <s v="Honda,SUV"/>
    <x v="1"/>
    <n v="40"/>
    <n v="59472"/>
    <x v="0"/>
    <s v="Black"/>
    <x v="4"/>
    <s v="SUV"/>
  </r>
  <r>
    <n v="172"/>
    <s v="Honda,Coupe"/>
    <x v="1"/>
    <n v="41"/>
    <n v="83041"/>
    <x v="4"/>
    <s v="Blue"/>
    <x v="4"/>
    <s v="Coupe"/>
  </r>
  <r>
    <n v="173"/>
    <s v="Hyundai,Convertible"/>
    <x v="3"/>
    <n v="28"/>
    <n v="72013"/>
    <x v="5"/>
    <s v="Gray"/>
    <x v="8"/>
    <s v="Convertible"/>
  </r>
  <r>
    <n v="174"/>
    <s v="Nissan,Truck"/>
    <x v="0"/>
    <n v="11"/>
    <n v="50120"/>
    <x v="1"/>
    <s v="Black"/>
    <x v="5"/>
    <s v="Truck"/>
  </r>
  <r>
    <n v="175"/>
    <s v="Honda,Convertible"/>
    <x v="0"/>
    <n v="40"/>
    <n v="80386"/>
    <x v="6"/>
    <s v="Silver"/>
    <x v="4"/>
    <s v="Convertible"/>
  </r>
  <r>
    <n v="176"/>
    <s v="Chevrolet,Truck"/>
    <x v="1"/>
    <n v="9"/>
    <n v="54810"/>
    <x v="4"/>
    <s v="Blue"/>
    <x v="2"/>
    <s v="Truck"/>
  </r>
  <r>
    <n v="177"/>
    <s v="Nissan,Hatchback"/>
    <x v="2"/>
    <n v="14"/>
    <n v="54102"/>
    <x v="7"/>
    <s v="Blue"/>
    <x v="5"/>
    <s v="Hatchback"/>
  </r>
  <r>
    <n v="178"/>
    <s v="Volkswagen,Truck"/>
    <x v="0"/>
    <n v="14"/>
    <n v="51592"/>
    <x v="1"/>
    <s v="Red"/>
    <x v="6"/>
    <s v="Truck"/>
  </r>
  <r>
    <n v="179"/>
    <s v="Audi,Sedan"/>
    <x v="1"/>
    <n v="4"/>
    <n v="85527"/>
    <x v="0"/>
    <s v="Black"/>
    <x v="7"/>
    <s v="Sedan"/>
  </r>
  <r>
    <n v="180"/>
    <s v="Tesla,Minivan"/>
    <x v="2"/>
    <n v="37"/>
    <n v="44533"/>
    <x v="7"/>
    <s v="Silver"/>
    <x v="3"/>
    <s v="Minivan"/>
  </r>
  <r>
    <n v="181"/>
    <s v="Nissan,Hatchback"/>
    <x v="3"/>
    <n v="23"/>
    <n v="63058"/>
    <x v="2"/>
    <s v="Black"/>
    <x v="5"/>
    <s v="Hatchback"/>
  </r>
  <r>
    <n v="182"/>
    <s v="Tesla,Coupe"/>
    <x v="2"/>
    <n v="35"/>
    <n v="38871"/>
    <x v="1"/>
    <s v="Silver"/>
    <x v="3"/>
    <s v="Coupe"/>
  </r>
  <r>
    <n v="183"/>
    <s v="Chevrolet,Truck"/>
    <x v="3"/>
    <n v="18"/>
    <n v="80593"/>
    <x v="4"/>
    <s v="White"/>
    <x v="2"/>
    <s v="Truck"/>
  </r>
  <r>
    <n v="184"/>
    <s v="Audi,Sedan"/>
    <x v="1"/>
    <n v="39"/>
    <n v="43935"/>
    <x v="0"/>
    <s v="Red"/>
    <x v="7"/>
    <s v="Sedan"/>
  </r>
  <r>
    <n v="185"/>
    <s v="BMW,Convertible"/>
    <x v="2"/>
    <n v="35"/>
    <n v="38057"/>
    <x v="3"/>
    <s v="Blue"/>
    <x v="9"/>
    <s v="Convertible"/>
  </r>
  <r>
    <n v="186"/>
    <s v="Hyundai,Minivan"/>
    <x v="1"/>
    <n v="11"/>
    <n v="72444"/>
    <x v="0"/>
    <s v="Red"/>
    <x v="8"/>
    <s v="Minivan"/>
  </r>
  <r>
    <n v="187"/>
    <s v="Nissan,Hatchback"/>
    <x v="3"/>
    <n v="21"/>
    <n v="92351"/>
    <x v="2"/>
    <s v="White"/>
    <x v="5"/>
    <s v="Hatchback"/>
  </r>
  <r>
    <n v="188"/>
    <s v="Hyundai,Minivan"/>
    <x v="0"/>
    <n v="46"/>
    <n v="33600"/>
    <x v="7"/>
    <s v="Gray"/>
    <x v="8"/>
    <s v="Minivan"/>
  </r>
  <r>
    <n v="189"/>
    <s v="Ford,Hatchback"/>
    <x v="0"/>
    <n v="19"/>
    <n v="70785"/>
    <x v="7"/>
    <s v="Red"/>
    <x v="0"/>
    <s v="Hatchback"/>
  </r>
  <r>
    <n v="190"/>
    <s v="Tesla,Sedan"/>
    <x v="3"/>
    <n v="19"/>
    <n v="70172"/>
    <x v="6"/>
    <s v="Red"/>
    <x v="3"/>
    <s v="Sedan"/>
  </r>
  <r>
    <n v="191"/>
    <s v="Tesla,Convertible"/>
    <x v="0"/>
    <n v="37"/>
    <n v="63485"/>
    <x v="1"/>
    <s v="White"/>
    <x v="3"/>
    <s v="Convertible"/>
  </r>
  <r>
    <n v="192"/>
    <s v="Ford,Hatchback"/>
    <x v="0"/>
    <n v="18"/>
    <n v="25687"/>
    <x v="3"/>
    <s v="Red"/>
    <x v="0"/>
    <s v="Hatchback"/>
  </r>
  <r>
    <n v="193"/>
    <s v="BMW,Coupe"/>
    <x v="2"/>
    <n v="33"/>
    <n v="56913"/>
    <x v="2"/>
    <s v="Red"/>
    <x v="9"/>
    <s v="Coupe"/>
  </r>
  <r>
    <n v="194"/>
    <s v="Toyota,Minivan"/>
    <x v="2"/>
    <n v="44"/>
    <n v="80258"/>
    <x v="2"/>
    <s v="White"/>
    <x v="1"/>
    <s v="Minivan"/>
  </r>
  <r>
    <n v="195"/>
    <s v="Volkswagen,Truck"/>
    <x v="0"/>
    <n v="7"/>
    <n v="98948"/>
    <x v="5"/>
    <s v="White"/>
    <x v="6"/>
    <s v="Truck"/>
  </r>
  <r>
    <n v="196"/>
    <s v="Nissan,Minivan"/>
    <x v="2"/>
    <n v="9"/>
    <n v="49380"/>
    <x v="4"/>
    <s v="Blue"/>
    <x v="5"/>
    <s v="Minivan"/>
  </r>
  <r>
    <n v="197"/>
    <s v="Tesla,Minivan"/>
    <x v="3"/>
    <n v="49"/>
    <n v="96080"/>
    <x v="5"/>
    <s v="Gray"/>
    <x v="3"/>
    <s v="Minivan"/>
  </r>
  <r>
    <n v="198"/>
    <s v="Volkswagen,SUV"/>
    <x v="2"/>
    <n v="27"/>
    <n v="61805"/>
    <x v="6"/>
    <s v="Silver"/>
    <x v="6"/>
    <s v="SUV"/>
  </r>
  <r>
    <n v="199"/>
    <s v="Tesla,Convertible"/>
    <x v="2"/>
    <n v="4"/>
    <n v="57181"/>
    <x v="5"/>
    <s v="Silver"/>
    <x v="3"/>
    <s v="Convertible"/>
  </r>
  <r>
    <n v="200"/>
    <s v="Toyota,Minivan"/>
    <x v="2"/>
    <n v="18"/>
    <n v="94661"/>
    <x v="0"/>
    <s v="Gray"/>
    <x v="1"/>
    <s v="Minivan"/>
  </r>
  <r>
    <n v="201"/>
    <s v="Ford,Truck"/>
    <x v="1"/>
    <n v="42"/>
    <n v="57117"/>
    <x v="2"/>
    <s v="Gray"/>
    <x v="0"/>
    <s v="Truck"/>
  </r>
  <r>
    <n v="202"/>
    <s v="Toyota,SUV"/>
    <x v="3"/>
    <n v="9"/>
    <n v="92239"/>
    <x v="2"/>
    <s v="Gray"/>
    <x v="1"/>
    <s v="SUV"/>
  </r>
  <r>
    <n v="203"/>
    <s v="Tesla,Hatchback"/>
    <x v="0"/>
    <n v="45"/>
    <n v="99016"/>
    <x v="4"/>
    <s v="White"/>
    <x v="3"/>
    <s v="Hatchback"/>
  </r>
  <r>
    <n v="204"/>
    <s v="Ford,SUV"/>
    <x v="0"/>
    <n v="9"/>
    <n v="98275"/>
    <x v="0"/>
    <s v="Silver"/>
    <x v="0"/>
    <s v="SUV"/>
  </r>
  <r>
    <n v="205"/>
    <s v="Toyota,Convertible"/>
    <x v="1"/>
    <n v="16"/>
    <n v="87305"/>
    <x v="1"/>
    <s v="Black"/>
    <x v="1"/>
    <s v="Convertible"/>
  </r>
  <r>
    <n v="206"/>
    <s v="BMW,Truck"/>
    <x v="2"/>
    <n v="10"/>
    <n v="54003"/>
    <x v="6"/>
    <s v="Black"/>
    <x v="9"/>
    <s v="Truck"/>
  </r>
  <r>
    <n v="207"/>
    <s v="Ford,Hatchback"/>
    <x v="3"/>
    <n v="46"/>
    <n v="75129"/>
    <x v="1"/>
    <s v="Black"/>
    <x v="0"/>
    <s v="Hatchback"/>
  </r>
  <r>
    <n v="208"/>
    <s v="Nissan,Minivan"/>
    <x v="3"/>
    <n v="21"/>
    <n v="67432"/>
    <x v="2"/>
    <s v="Blue"/>
    <x v="5"/>
    <s v="Minivan"/>
  </r>
  <r>
    <n v="209"/>
    <s v="Tesla,Hatchback"/>
    <x v="0"/>
    <n v="16"/>
    <n v="89967"/>
    <x v="2"/>
    <s v="Gray"/>
    <x v="3"/>
    <s v="Hatchback"/>
  </r>
  <r>
    <n v="210"/>
    <s v="Chevrolet,Minivan"/>
    <x v="1"/>
    <n v="49"/>
    <n v="67295"/>
    <x v="1"/>
    <s v="Gray"/>
    <x v="2"/>
    <s v="Minivan"/>
  </r>
  <r>
    <n v="211"/>
    <s v="Hyundai,Hatchback"/>
    <x v="1"/>
    <n v="44"/>
    <n v="85230"/>
    <x v="5"/>
    <s v="Silver"/>
    <x v="8"/>
    <s v="Hatchback"/>
  </r>
  <r>
    <n v="212"/>
    <s v="Tesla,Hatchback"/>
    <x v="1"/>
    <n v="26"/>
    <n v="77228"/>
    <x v="0"/>
    <s v="Red"/>
    <x v="3"/>
    <s v="Hatchback"/>
  </r>
  <r>
    <n v="213"/>
    <s v="Nissan,Minivan"/>
    <x v="1"/>
    <n v="32"/>
    <n v="43097"/>
    <x v="4"/>
    <s v="White"/>
    <x v="5"/>
    <s v="Minivan"/>
  </r>
  <r>
    <n v="214"/>
    <s v="Honda,SUV"/>
    <x v="3"/>
    <n v="10"/>
    <n v="45479"/>
    <x v="4"/>
    <s v="Silver"/>
    <x v="4"/>
    <s v="SUV"/>
  </r>
  <r>
    <n v="215"/>
    <s v="Volkswagen,Hatchback"/>
    <x v="2"/>
    <n v="37"/>
    <n v="55706"/>
    <x v="6"/>
    <s v="Blue"/>
    <x v="6"/>
    <s v="Hatchback"/>
  </r>
  <r>
    <n v="216"/>
    <s v="Volkswagen,Sedan"/>
    <x v="0"/>
    <n v="41"/>
    <n v="68832"/>
    <x v="3"/>
    <s v="Red"/>
    <x v="6"/>
    <s v="Sedan"/>
  </r>
  <r>
    <n v="217"/>
    <s v="Hyundai,Hatchback"/>
    <x v="3"/>
    <n v="18"/>
    <n v="52662"/>
    <x v="5"/>
    <s v="Gray"/>
    <x v="8"/>
    <s v="Hatchback"/>
  </r>
  <r>
    <n v="218"/>
    <s v="Tesla,Hatchback"/>
    <x v="1"/>
    <n v="41"/>
    <n v="73970"/>
    <x v="6"/>
    <s v="White"/>
    <x v="3"/>
    <s v="Hatchback"/>
  </r>
  <r>
    <n v="219"/>
    <s v="Hyundai,Sedan"/>
    <x v="1"/>
    <n v="27"/>
    <n v="72256"/>
    <x v="1"/>
    <s v="Red"/>
    <x v="8"/>
    <s v="Sedan"/>
  </r>
  <r>
    <n v="220"/>
    <s v="Audi,Truck"/>
    <x v="0"/>
    <n v="25"/>
    <n v="33476"/>
    <x v="1"/>
    <s v="White"/>
    <x v="7"/>
    <s v="Truck"/>
  </r>
  <r>
    <n v="221"/>
    <s v="Tesla,Minivan"/>
    <x v="2"/>
    <n v="29"/>
    <n v="46064"/>
    <x v="6"/>
    <s v="Black"/>
    <x v="3"/>
    <s v="Minivan"/>
  </r>
  <r>
    <n v="222"/>
    <s v="Ford,Coupe"/>
    <x v="2"/>
    <n v="5"/>
    <n v="98433"/>
    <x v="4"/>
    <s v="Gray"/>
    <x v="0"/>
    <s v="Coupe"/>
  </r>
  <r>
    <n v="223"/>
    <s v="Ford,Sedan"/>
    <x v="2"/>
    <n v="41"/>
    <n v="29662"/>
    <x v="4"/>
    <s v="Gray"/>
    <x v="0"/>
    <s v="Sedan"/>
  </r>
  <r>
    <n v="224"/>
    <s v="Audi,Convertible"/>
    <x v="1"/>
    <n v="50"/>
    <n v="90387"/>
    <x v="0"/>
    <s v="Gray"/>
    <x v="7"/>
    <s v="Convertible"/>
  </r>
  <r>
    <n v="225"/>
    <s v="BMW,Truck"/>
    <x v="3"/>
    <n v="6"/>
    <n v="26501"/>
    <x v="7"/>
    <s v="White"/>
    <x v="9"/>
    <s v="Truck"/>
  </r>
  <r>
    <n v="226"/>
    <s v="Audi,Hatchback"/>
    <x v="3"/>
    <n v="26"/>
    <n v="48383"/>
    <x v="4"/>
    <s v="White"/>
    <x v="7"/>
    <s v="Hatchback"/>
  </r>
  <r>
    <n v="227"/>
    <s v="Audi,SUV"/>
    <x v="2"/>
    <n v="33"/>
    <n v="52838"/>
    <x v="1"/>
    <s v="Blue"/>
    <x v="7"/>
    <s v="SUV"/>
  </r>
  <r>
    <n v="228"/>
    <s v="Hyundai,Sedan"/>
    <x v="0"/>
    <n v="48"/>
    <n v="57828"/>
    <x v="0"/>
    <s v="Blue"/>
    <x v="8"/>
    <s v="Sedan"/>
  </r>
  <r>
    <n v="229"/>
    <s v="Toyota,Truck"/>
    <x v="2"/>
    <n v="18"/>
    <n v="25084"/>
    <x v="4"/>
    <s v="Blue"/>
    <x v="1"/>
    <s v="Truck"/>
  </r>
  <r>
    <n v="230"/>
    <s v="Ford,Truck"/>
    <x v="2"/>
    <n v="45"/>
    <n v="68863"/>
    <x v="2"/>
    <s v="Silver"/>
    <x v="0"/>
    <s v="Truck"/>
  </r>
  <r>
    <n v="231"/>
    <s v="Toyota,Hatchback"/>
    <x v="0"/>
    <n v="24"/>
    <n v="50227"/>
    <x v="0"/>
    <s v="Black"/>
    <x v="1"/>
    <s v="Hatchback"/>
  </r>
  <r>
    <n v="232"/>
    <s v="Audi,Coupe"/>
    <x v="2"/>
    <n v="30"/>
    <n v="82825"/>
    <x v="5"/>
    <s v="Black"/>
    <x v="7"/>
    <s v="Coupe"/>
  </r>
  <r>
    <n v="233"/>
    <s v="BMW,SUV"/>
    <x v="0"/>
    <n v="32"/>
    <n v="38080"/>
    <x v="5"/>
    <s v="White"/>
    <x v="9"/>
    <s v="SUV"/>
  </r>
  <r>
    <n v="234"/>
    <s v="Ford,SUV"/>
    <x v="0"/>
    <n v="21"/>
    <n v="42649"/>
    <x v="7"/>
    <s v="Blue"/>
    <x v="0"/>
    <s v="SUV"/>
  </r>
  <r>
    <n v="235"/>
    <s v="Tesla,SUV"/>
    <x v="3"/>
    <n v="38"/>
    <n v="56502"/>
    <x v="1"/>
    <s v="Gray"/>
    <x v="3"/>
    <s v="SUV"/>
  </r>
  <r>
    <n v="236"/>
    <s v="Tesla,Minivan"/>
    <x v="0"/>
    <n v="1"/>
    <n v="78599"/>
    <x v="3"/>
    <s v="Gray"/>
    <x v="3"/>
    <s v="Minivan"/>
  </r>
  <r>
    <n v="237"/>
    <s v="Tesla,Convertible"/>
    <x v="2"/>
    <n v="50"/>
    <n v="27824"/>
    <x v="4"/>
    <s v="Black"/>
    <x v="3"/>
    <s v="Convertible"/>
  </r>
  <r>
    <n v="238"/>
    <s v="Nissan,Truck"/>
    <x v="0"/>
    <n v="47"/>
    <n v="25018"/>
    <x v="7"/>
    <s v="Black"/>
    <x v="5"/>
    <s v="Truck"/>
  </r>
  <r>
    <n v="239"/>
    <s v="Hyundai,Convertible"/>
    <x v="2"/>
    <n v="6"/>
    <n v="90932"/>
    <x v="6"/>
    <s v="White"/>
    <x v="8"/>
    <s v="Convertible"/>
  </r>
  <r>
    <n v="240"/>
    <s v="Honda,Convertible"/>
    <x v="0"/>
    <n v="47"/>
    <n v="32893"/>
    <x v="5"/>
    <s v="White"/>
    <x v="4"/>
    <s v="Convertible"/>
  </r>
  <r>
    <n v="241"/>
    <s v="Audi,Truck"/>
    <x v="3"/>
    <n v="30"/>
    <n v="38839"/>
    <x v="0"/>
    <s v="Red"/>
    <x v="7"/>
    <s v="Truck"/>
  </r>
  <r>
    <n v="242"/>
    <s v="Honda,Minivan"/>
    <x v="2"/>
    <n v="41"/>
    <n v="92963"/>
    <x v="3"/>
    <s v="Red"/>
    <x v="4"/>
    <s v="Minivan"/>
  </r>
  <r>
    <n v="243"/>
    <s v="Chevrolet,SUV"/>
    <x v="2"/>
    <n v="43"/>
    <n v="34485"/>
    <x v="0"/>
    <s v="White"/>
    <x v="2"/>
    <s v="SUV"/>
  </r>
  <r>
    <n v="244"/>
    <s v="Hyundai,Truck"/>
    <x v="2"/>
    <n v="45"/>
    <n v="88620"/>
    <x v="2"/>
    <s v="Red"/>
    <x v="8"/>
    <s v="Truck"/>
  </r>
  <r>
    <n v="245"/>
    <s v="Tesla,Minivan"/>
    <x v="0"/>
    <n v="23"/>
    <n v="42104"/>
    <x v="5"/>
    <s v="Black"/>
    <x v="3"/>
    <s v="Minivan"/>
  </r>
  <r>
    <n v="246"/>
    <s v="Ford,Coupe"/>
    <x v="3"/>
    <n v="5"/>
    <n v="98195"/>
    <x v="2"/>
    <s v="White"/>
    <x v="0"/>
    <s v="Coupe"/>
  </r>
  <r>
    <n v="247"/>
    <s v="Hyundai,Minivan"/>
    <x v="3"/>
    <n v="35"/>
    <n v="38436"/>
    <x v="2"/>
    <s v="White"/>
    <x v="8"/>
    <s v="Minivan"/>
  </r>
  <r>
    <n v="248"/>
    <s v="Nissan,Truck"/>
    <x v="3"/>
    <n v="26"/>
    <n v="98049"/>
    <x v="5"/>
    <s v="Blue"/>
    <x v="5"/>
    <s v="Truck"/>
  </r>
  <r>
    <n v="249"/>
    <s v="Ford,Hatchback"/>
    <x v="3"/>
    <n v="14"/>
    <n v="71131"/>
    <x v="2"/>
    <s v="Black"/>
    <x v="0"/>
    <s v="Hatchback"/>
  </r>
  <r>
    <n v="250"/>
    <s v="Toyota,Minivan"/>
    <x v="0"/>
    <n v="28"/>
    <n v="26796"/>
    <x v="7"/>
    <s v="Black"/>
    <x v="1"/>
    <s v="Minivan"/>
  </r>
  <r>
    <n v="251"/>
    <s v="Nissan,Truck"/>
    <x v="2"/>
    <n v="14"/>
    <n v="60827"/>
    <x v="1"/>
    <s v="Silver"/>
    <x v="5"/>
    <s v="Truck"/>
  </r>
  <r>
    <n v="252"/>
    <s v="Toyota,Minivan"/>
    <x v="1"/>
    <n v="32"/>
    <n v="79735"/>
    <x v="3"/>
    <s v="Silver"/>
    <x v="1"/>
    <s v="Minivan"/>
  </r>
  <r>
    <n v="253"/>
    <s v="Ford,Sedan"/>
    <x v="3"/>
    <n v="18"/>
    <n v="71863"/>
    <x v="2"/>
    <s v="Blue"/>
    <x v="0"/>
    <s v="Sedan"/>
  </r>
  <r>
    <n v="254"/>
    <s v="Tesla,Coupe"/>
    <x v="1"/>
    <n v="21"/>
    <n v="95516"/>
    <x v="6"/>
    <s v="Silver"/>
    <x v="3"/>
    <s v="Coupe"/>
  </r>
  <r>
    <n v="255"/>
    <s v="Honda,Sedan"/>
    <x v="0"/>
    <n v="19"/>
    <n v="65342"/>
    <x v="4"/>
    <s v="Red"/>
    <x v="4"/>
    <s v="Sedan"/>
  </r>
  <r>
    <n v="256"/>
    <s v="Audi,SUV"/>
    <x v="0"/>
    <n v="22"/>
    <n v="81383"/>
    <x v="5"/>
    <s v="White"/>
    <x v="7"/>
    <s v="SUV"/>
  </r>
  <r>
    <n v="257"/>
    <s v="Hyundai,Minivan"/>
    <x v="1"/>
    <n v="36"/>
    <n v="44876"/>
    <x v="2"/>
    <s v="Gray"/>
    <x v="8"/>
    <s v="Minivan"/>
  </r>
  <r>
    <n v="258"/>
    <s v="Hyundai,SUV"/>
    <x v="2"/>
    <n v="37"/>
    <n v="88731"/>
    <x v="2"/>
    <s v="Red"/>
    <x v="8"/>
    <s v="SUV"/>
  </r>
  <r>
    <n v="259"/>
    <s v="Tesla,Minivan"/>
    <x v="1"/>
    <n v="9"/>
    <n v="93357"/>
    <x v="0"/>
    <s v="Black"/>
    <x v="3"/>
    <s v="Minivan"/>
  </r>
  <r>
    <n v="260"/>
    <s v="Audi,Hatchback"/>
    <x v="0"/>
    <n v="37"/>
    <n v="86314"/>
    <x v="0"/>
    <s v="Silver"/>
    <x v="7"/>
    <s v="Hatchback"/>
  </r>
  <r>
    <n v="261"/>
    <s v="Toyota,Hatchback"/>
    <x v="1"/>
    <n v="32"/>
    <n v="61492"/>
    <x v="3"/>
    <s v="Gray"/>
    <x v="1"/>
    <s v="Hatchback"/>
  </r>
  <r>
    <n v="262"/>
    <s v="Honda,Hatchback"/>
    <x v="3"/>
    <n v="22"/>
    <n v="93283"/>
    <x v="1"/>
    <s v="Red"/>
    <x v="4"/>
    <s v="Hatchback"/>
  </r>
  <r>
    <n v="263"/>
    <s v="Audi,Coupe"/>
    <x v="3"/>
    <n v="44"/>
    <n v="45648"/>
    <x v="5"/>
    <s v="Black"/>
    <x v="7"/>
    <s v="Coupe"/>
  </r>
  <r>
    <n v="264"/>
    <s v="Toyota,Minivan"/>
    <x v="2"/>
    <n v="49"/>
    <n v="70747"/>
    <x v="0"/>
    <s v="Silver"/>
    <x v="1"/>
    <s v="Minivan"/>
  </r>
  <r>
    <n v="265"/>
    <s v="Audi,Minivan"/>
    <x v="1"/>
    <n v="4"/>
    <n v="29398"/>
    <x v="4"/>
    <s v="White"/>
    <x v="7"/>
    <s v="Minivan"/>
  </r>
  <r>
    <n v="266"/>
    <s v="Chevrolet,Convertible"/>
    <x v="1"/>
    <n v="3"/>
    <n v="90816"/>
    <x v="4"/>
    <s v="White"/>
    <x v="2"/>
    <s v="Convertible"/>
  </r>
  <r>
    <n v="267"/>
    <s v="Hyundai,Truck"/>
    <x v="1"/>
    <n v="7"/>
    <n v="74924"/>
    <x v="2"/>
    <s v="Silver"/>
    <x v="8"/>
    <s v="Truck"/>
  </r>
  <r>
    <n v="268"/>
    <s v="Chevrolet,Sedan"/>
    <x v="1"/>
    <n v="41"/>
    <n v="97884"/>
    <x v="1"/>
    <s v="White"/>
    <x v="2"/>
    <s v="Sedan"/>
  </r>
  <r>
    <n v="269"/>
    <s v="Audi,Minivan"/>
    <x v="2"/>
    <n v="30"/>
    <n v="94616"/>
    <x v="1"/>
    <s v="Blue"/>
    <x v="7"/>
    <s v="Minivan"/>
  </r>
  <r>
    <n v="270"/>
    <s v="Nissan,Coupe"/>
    <x v="0"/>
    <n v="2"/>
    <n v="49629"/>
    <x v="3"/>
    <s v="Silver"/>
    <x v="5"/>
    <s v="Coupe"/>
  </r>
  <r>
    <n v="271"/>
    <s v="Hyundai,Sedan"/>
    <x v="2"/>
    <n v="8"/>
    <n v="52443"/>
    <x v="3"/>
    <s v="Blue"/>
    <x v="8"/>
    <s v="Sedan"/>
  </r>
  <r>
    <n v="272"/>
    <s v="Honda,Truck"/>
    <x v="0"/>
    <n v="11"/>
    <n v="61083"/>
    <x v="4"/>
    <s v="Silver"/>
    <x v="4"/>
    <s v="Truck"/>
  </r>
  <r>
    <n v="273"/>
    <s v="Tesla,Convertible"/>
    <x v="0"/>
    <n v="29"/>
    <n v="51383"/>
    <x v="2"/>
    <s v="Blue"/>
    <x v="3"/>
    <s v="Convertible"/>
  </r>
  <r>
    <n v="274"/>
    <s v="Chevrolet,Sedan"/>
    <x v="0"/>
    <n v="30"/>
    <n v="99447"/>
    <x v="6"/>
    <s v="White"/>
    <x v="2"/>
    <s v="Sedan"/>
  </r>
  <r>
    <n v="275"/>
    <s v="Tesla,Coupe"/>
    <x v="1"/>
    <n v="1"/>
    <n v="31339"/>
    <x v="2"/>
    <s v="White"/>
    <x v="3"/>
    <s v="Coupe"/>
  </r>
  <r>
    <n v="276"/>
    <s v="Toyota,Truck"/>
    <x v="2"/>
    <n v="28"/>
    <n v="48417"/>
    <x v="2"/>
    <s v="Red"/>
    <x v="1"/>
    <s v="Truck"/>
  </r>
  <r>
    <n v="277"/>
    <s v="Volkswagen,Hatchback"/>
    <x v="0"/>
    <n v="13"/>
    <n v="96242"/>
    <x v="5"/>
    <s v="Black"/>
    <x v="6"/>
    <s v="Hatchback"/>
  </r>
  <r>
    <n v="278"/>
    <s v="Nissan,Hatchback"/>
    <x v="3"/>
    <n v="45"/>
    <n v="84957"/>
    <x v="5"/>
    <s v="Blue"/>
    <x v="5"/>
    <s v="Hatchback"/>
  </r>
  <r>
    <n v="279"/>
    <s v="Toyota,Hatchback"/>
    <x v="0"/>
    <n v="9"/>
    <n v="90124"/>
    <x v="1"/>
    <s v="Gray"/>
    <x v="1"/>
    <s v="Hatchback"/>
  </r>
  <r>
    <n v="280"/>
    <s v="BMW,Truck"/>
    <x v="2"/>
    <n v="42"/>
    <n v="96537"/>
    <x v="5"/>
    <s v="Silver"/>
    <x v="9"/>
    <s v="Truck"/>
  </r>
  <r>
    <n v="281"/>
    <s v="Toyota,Convertible"/>
    <x v="1"/>
    <n v="20"/>
    <n v="89798"/>
    <x v="0"/>
    <s v="White"/>
    <x v="1"/>
    <s v="Convertible"/>
  </r>
  <r>
    <n v="282"/>
    <s v="Toyota,Coupe"/>
    <x v="3"/>
    <n v="11"/>
    <n v="80433"/>
    <x v="2"/>
    <s v="White"/>
    <x v="1"/>
    <s v="Coupe"/>
  </r>
  <r>
    <n v="283"/>
    <s v="Volkswagen,Minivan"/>
    <x v="0"/>
    <n v="18"/>
    <n v="87680"/>
    <x v="0"/>
    <s v="Silver"/>
    <x v="6"/>
    <s v="Minivan"/>
  </r>
  <r>
    <n v="284"/>
    <s v="Hyundai,Hatchback"/>
    <x v="1"/>
    <n v="6"/>
    <n v="43108"/>
    <x v="1"/>
    <s v="Black"/>
    <x v="8"/>
    <s v="Hatchback"/>
  </r>
  <r>
    <n v="285"/>
    <s v="Nissan,Truck"/>
    <x v="2"/>
    <n v="42"/>
    <n v="37940"/>
    <x v="4"/>
    <s v="Silver"/>
    <x v="5"/>
    <s v="Truck"/>
  </r>
  <r>
    <n v="286"/>
    <s v="Nissan,Sedan"/>
    <x v="2"/>
    <n v="24"/>
    <n v="85761"/>
    <x v="4"/>
    <s v="Gray"/>
    <x v="5"/>
    <s v="Sedan"/>
  </r>
  <r>
    <n v="287"/>
    <s v="Honda,Hatchback"/>
    <x v="3"/>
    <n v="17"/>
    <n v="72289"/>
    <x v="7"/>
    <s v="Blue"/>
    <x v="4"/>
    <s v="Hatchback"/>
  </r>
  <r>
    <n v="288"/>
    <s v="Toyota,SUV"/>
    <x v="3"/>
    <n v="6"/>
    <n v="54963"/>
    <x v="4"/>
    <s v="Blue"/>
    <x v="1"/>
    <s v="SUV"/>
  </r>
  <r>
    <n v="289"/>
    <s v="Nissan,Coupe"/>
    <x v="0"/>
    <n v="24"/>
    <n v="92672"/>
    <x v="6"/>
    <s v="Gray"/>
    <x v="5"/>
    <s v="Coupe"/>
  </r>
  <r>
    <n v="290"/>
    <s v="Ford,Sedan"/>
    <x v="1"/>
    <n v="43"/>
    <n v="59509"/>
    <x v="5"/>
    <s v="Gray"/>
    <x v="0"/>
    <s v="Sedan"/>
  </r>
  <r>
    <n v="291"/>
    <s v="Honda,Convertible"/>
    <x v="1"/>
    <n v="42"/>
    <n v="49477"/>
    <x v="3"/>
    <s v="Red"/>
    <x v="4"/>
    <s v="Convertible"/>
  </r>
  <r>
    <n v="292"/>
    <s v="Ford,Convertible"/>
    <x v="2"/>
    <n v="11"/>
    <n v="37407"/>
    <x v="6"/>
    <s v="Gray"/>
    <x v="0"/>
    <s v="Convertible"/>
  </r>
  <r>
    <n v="293"/>
    <s v="Volkswagen,Truck"/>
    <x v="2"/>
    <n v="4"/>
    <n v="40727"/>
    <x v="4"/>
    <s v="Gray"/>
    <x v="6"/>
    <s v="Truck"/>
  </r>
  <r>
    <n v="294"/>
    <s v="Ford,Convertible"/>
    <x v="0"/>
    <n v="26"/>
    <n v="62927"/>
    <x v="1"/>
    <s v="Silver"/>
    <x v="0"/>
    <s v="Convertible"/>
  </r>
  <r>
    <n v="295"/>
    <s v="Tesla,SUV"/>
    <x v="0"/>
    <n v="41"/>
    <n v="67739"/>
    <x v="3"/>
    <s v="White"/>
    <x v="3"/>
    <s v="SUV"/>
  </r>
  <r>
    <n v="296"/>
    <s v="Audi,Hatchback"/>
    <x v="2"/>
    <n v="20"/>
    <n v="98155"/>
    <x v="3"/>
    <s v="Red"/>
    <x v="7"/>
    <s v="Hatchback"/>
  </r>
  <r>
    <n v="297"/>
    <s v="Ford,Sedan"/>
    <x v="2"/>
    <n v="47"/>
    <n v="27038"/>
    <x v="3"/>
    <s v="Silver"/>
    <x v="0"/>
    <s v="Sedan"/>
  </r>
  <r>
    <n v="298"/>
    <s v="Volkswagen,Hatchback"/>
    <x v="1"/>
    <n v="45"/>
    <n v="92378"/>
    <x v="0"/>
    <s v="Silver"/>
    <x v="6"/>
    <s v="Hatchback"/>
  </r>
  <r>
    <n v="299"/>
    <s v="Tesla,Minivan"/>
    <x v="1"/>
    <n v="49"/>
    <n v="25648"/>
    <x v="7"/>
    <s v="White"/>
    <x v="3"/>
    <s v="Minivan"/>
  </r>
  <r>
    <n v="300"/>
    <s v="Volkswagen,Coupe"/>
    <x v="1"/>
    <n v="15"/>
    <n v="53396"/>
    <x v="7"/>
    <s v="Black"/>
    <x v="6"/>
    <s v="Coupe"/>
  </r>
  <r>
    <n v="301"/>
    <s v="Volkswagen,Hatchback"/>
    <x v="0"/>
    <n v="28"/>
    <n v="53552"/>
    <x v="1"/>
    <s v="Silver"/>
    <x v="6"/>
    <s v="Hatchback"/>
  </r>
  <r>
    <n v="302"/>
    <s v="Toyota,Truck"/>
    <x v="1"/>
    <n v="42"/>
    <n v="93371"/>
    <x v="3"/>
    <s v="Red"/>
    <x v="1"/>
    <s v="Truck"/>
  </r>
  <r>
    <n v="303"/>
    <s v="Volkswagen,Hatchback"/>
    <x v="3"/>
    <n v="6"/>
    <n v="90334"/>
    <x v="3"/>
    <s v="White"/>
    <x v="6"/>
    <s v="Hatchback"/>
  </r>
  <r>
    <n v="304"/>
    <s v="Ford,Coupe"/>
    <x v="3"/>
    <n v="46"/>
    <n v="97968"/>
    <x v="5"/>
    <s v="Blue"/>
    <x v="0"/>
    <s v="Coupe"/>
  </r>
  <r>
    <n v="305"/>
    <s v="Audi,Sedan"/>
    <x v="1"/>
    <n v="7"/>
    <n v="56101"/>
    <x v="4"/>
    <s v="Black"/>
    <x v="7"/>
    <s v="Sedan"/>
  </r>
  <r>
    <n v="306"/>
    <s v="Volkswagen,SUV"/>
    <x v="1"/>
    <n v="1"/>
    <n v="43664"/>
    <x v="3"/>
    <s v="White"/>
    <x v="6"/>
    <s v="SUV"/>
  </r>
  <r>
    <n v="307"/>
    <s v="Volkswagen,Sedan"/>
    <x v="2"/>
    <n v="14"/>
    <n v="63289"/>
    <x v="1"/>
    <s v="Red"/>
    <x v="6"/>
    <s v="Sedan"/>
  </r>
  <r>
    <n v="308"/>
    <s v="Nissan,Sedan"/>
    <x v="2"/>
    <n v="31"/>
    <n v="59479"/>
    <x v="5"/>
    <s v="Silver"/>
    <x v="5"/>
    <s v="Sedan"/>
  </r>
  <r>
    <n v="309"/>
    <s v="BMW,Truck"/>
    <x v="0"/>
    <n v="5"/>
    <n v="88559"/>
    <x v="6"/>
    <s v="Red"/>
    <x v="9"/>
    <s v="Truck"/>
  </r>
  <r>
    <n v="310"/>
    <s v="Chevrolet,Coupe"/>
    <x v="3"/>
    <n v="9"/>
    <n v="41225"/>
    <x v="6"/>
    <s v="Gray"/>
    <x v="2"/>
    <s v="Coupe"/>
  </r>
  <r>
    <n v="311"/>
    <s v="Tesla,Sedan"/>
    <x v="3"/>
    <n v="38"/>
    <n v="52035"/>
    <x v="5"/>
    <s v="Silver"/>
    <x v="3"/>
    <s v="Sedan"/>
  </r>
  <r>
    <n v="312"/>
    <s v="BMW,Sedan"/>
    <x v="0"/>
    <n v="15"/>
    <n v="58604"/>
    <x v="0"/>
    <s v="White"/>
    <x v="9"/>
    <s v="Sedan"/>
  </r>
  <r>
    <n v="313"/>
    <s v="Tesla,SUV"/>
    <x v="1"/>
    <n v="34"/>
    <n v="26933"/>
    <x v="4"/>
    <s v="Black"/>
    <x v="3"/>
    <s v="SUV"/>
  </r>
  <r>
    <n v="314"/>
    <s v="Chevrolet,Convertible"/>
    <x v="1"/>
    <n v="44"/>
    <n v="74163"/>
    <x v="4"/>
    <s v="White"/>
    <x v="2"/>
    <s v="Convertible"/>
  </r>
  <r>
    <n v="315"/>
    <s v="Audi,SUV"/>
    <x v="0"/>
    <n v="29"/>
    <n v="48704"/>
    <x v="4"/>
    <s v="Gray"/>
    <x v="7"/>
    <s v="SUV"/>
  </r>
  <r>
    <n v="316"/>
    <s v="Honda,Coupe"/>
    <x v="3"/>
    <n v="1"/>
    <n v="78133"/>
    <x v="7"/>
    <s v="Gray"/>
    <x v="4"/>
    <s v="Coupe"/>
  </r>
  <r>
    <n v="317"/>
    <s v="Chevrolet,Coupe"/>
    <x v="3"/>
    <n v="1"/>
    <n v="27769"/>
    <x v="7"/>
    <s v="Red"/>
    <x v="2"/>
    <s v="Coupe"/>
  </r>
  <r>
    <n v="318"/>
    <s v="Hyundai,Truck"/>
    <x v="1"/>
    <n v="45"/>
    <n v="97804"/>
    <x v="2"/>
    <s v="Red"/>
    <x v="8"/>
    <s v="Truck"/>
  </r>
  <r>
    <n v="319"/>
    <s v="BMW,Hatchback"/>
    <x v="2"/>
    <n v="22"/>
    <n v="34399"/>
    <x v="2"/>
    <s v="Blue"/>
    <x v="9"/>
    <s v="Hatchback"/>
  </r>
  <r>
    <n v="320"/>
    <s v="Ford,Hatchback"/>
    <x v="0"/>
    <n v="8"/>
    <n v="47286"/>
    <x v="0"/>
    <s v="Blue"/>
    <x v="0"/>
    <s v="Hatchback"/>
  </r>
  <r>
    <n v="321"/>
    <s v="Toyota,Hatchback"/>
    <x v="0"/>
    <n v="28"/>
    <n v="56784"/>
    <x v="0"/>
    <s v="Silver"/>
    <x v="1"/>
    <s v="Hatchback"/>
  </r>
  <r>
    <n v="322"/>
    <s v="Hyundai,Convertible"/>
    <x v="1"/>
    <n v="45"/>
    <n v="32096"/>
    <x v="5"/>
    <s v="Gray"/>
    <x v="8"/>
    <s v="Convertible"/>
  </r>
  <r>
    <n v="323"/>
    <s v="Volkswagen,Coupe"/>
    <x v="0"/>
    <n v="9"/>
    <n v="92471"/>
    <x v="0"/>
    <s v="Red"/>
    <x v="6"/>
    <s v="Coupe"/>
  </r>
  <r>
    <n v="324"/>
    <s v="Volkswagen,Convertible"/>
    <x v="3"/>
    <n v="31"/>
    <n v="47612"/>
    <x v="4"/>
    <s v="Blue"/>
    <x v="6"/>
    <s v="Convertible"/>
  </r>
  <r>
    <n v="325"/>
    <s v="Ford,Hatchback"/>
    <x v="1"/>
    <n v="5"/>
    <n v="85181"/>
    <x v="4"/>
    <s v="Gray"/>
    <x v="0"/>
    <s v="Hatchback"/>
  </r>
  <r>
    <n v="326"/>
    <s v="Ford,Hatchback"/>
    <x v="3"/>
    <n v="15"/>
    <n v="79438"/>
    <x v="0"/>
    <s v="Blue"/>
    <x v="0"/>
    <s v="Hatchback"/>
  </r>
  <r>
    <n v="327"/>
    <s v="Nissan,SUV"/>
    <x v="2"/>
    <n v="25"/>
    <n v="41749"/>
    <x v="1"/>
    <s v="White"/>
    <x v="5"/>
    <s v="SUV"/>
  </r>
  <r>
    <n v="328"/>
    <s v="Tesla,Coupe"/>
    <x v="0"/>
    <n v="6"/>
    <n v="35131"/>
    <x v="5"/>
    <s v="Silver"/>
    <x v="3"/>
    <s v="Coupe"/>
  </r>
  <r>
    <n v="329"/>
    <s v="Nissan,Hatchback"/>
    <x v="0"/>
    <n v="47"/>
    <n v="80272"/>
    <x v="2"/>
    <s v="Black"/>
    <x v="5"/>
    <s v="Hatchback"/>
  </r>
  <r>
    <n v="330"/>
    <s v="Chevrolet,Sedan"/>
    <x v="3"/>
    <n v="7"/>
    <n v="77276"/>
    <x v="0"/>
    <s v="White"/>
    <x v="2"/>
    <s v="Sedan"/>
  </r>
  <r>
    <n v="331"/>
    <s v="Honda,Minivan"/>
    <x v="1"/>
    <n v="7"/>
    <n v="78586"/>
    <x v="6"/>
    <s v="Silver"/>
    <x v="4"/>
    <s v="Minivan"/>
  </r>
  <r>
    <n v="332"/>
    <s v="BMW,Coupe"/>
    <x v="1"/>
    <n v="21"/>
    <n v="33022"/>
    <x v="3"/>
    <s v="Silver"/>
    <x v="9"/>
    <s v="Coupe"/>
  </r>
  <r>
    <n v="333"/>
    <s v="Ford,Convertible"/>
    <x v="0"/>
    <n v="24"/>
    <n v="88936"/>
    <x v="0"/>
    <s v="White"/>
    <x v="0"/>
    <s v="Convertible"/>
  </r>
  <r>
    <n v="334"/>
    <s v="Tesla,Coupe"/>
    <x v="3"/>
    <n v="20"/>
    <n v="87005"/>
    <x v="5"/>
    <s v="Blue"/>
    <x v="3"/>
    <s v="Coupe"/>
  </r>
  <r>
    <n v="335"/>
    <s v="BMW,Truck"/>
    <x v="2"/>
    <n v="9"/>
    <n v="84993"/>
    <x v="2"/>
    <s v="Blue"/>
    <x v="9"/>
    <s v="Truck"/>
  </r>
  <r>
    <n v="336"/>
    <s v="Chevrolet,Sedan"/>
    <x v="3"/>
    <n v="25"/>
    <n v="64718"/>
    <x v="1"/>
    <s v="Gray"/>
    <x v="2"/>
    <s v="Sedan"/>
  </r>
  <r>
    <n v="337"/>
    <s v="Honda,Hatchback"/>
    <x v="1"/>
    <n v="50"/>
    <n v="70095"/>
    <x v="5"/>
    <s v="Black"/>
    <x v="4"/>
    <s v="Hatchback"/>
  </r>
  <r>
    <n v="338"/>
    <s v="Hyundai,Truck"/>
    <x v="0"/>
    <n v="49"/>
    <n v="37908"/>
    <x v="4"/>
    <s v="Black"/>
    <x v="8"/>
    <s v="Truck"/>
  </r>
  <r>
    <n v="339"/>
    <s v="Nissan,SUV"/>
    <x v="0"/>
    <n v="9"/>
    <n v="52114"/>
    <x v="5"/>
    <s v="Silver"/>
    <x v="5"/>
    <s v="SUV"/>
  </r>
  <r>
    <n v="340"/>
    <s v="Chevrolet,Coupe"/>
    <x v="0"/>
    <n v="42"/>
    <n v="77138"/>
    <x v="7"/>
    <s v="Gray"/>
    <x v="2"/>
    <s v="Coupe"/>
  </r>
  <r>
    <n v="341"/>
    <s v="Volkswagen,Coupe"/>
    <x v="2"/>
    <n v="44"/>
    <n v="89640"/>
    <x v="7"/>
    <s v="Black"/>
    <x v="6"/>
    <s v="Coupe"/>
  </r>
  <r>
    <n v="342"/>
    <s v="Nissan,SUV"/>
    <x v="2"/>
    <n v="10"/>
    <n v="80399"/>
    <x v="4"/>
    <s v="White"/>
    <x v="5"/>
    <s v="SUV"/>
  </r>
  <r>
    <n v="343"/>
    <s v="Toyota,Minivan"/>
    <x v="1"/>
    <n v="5"/>
    <n v="61371"/>
    <x v="2"/>
    <s v="Gray"/>
    <x v="1"/>
    <s v="Minivan"/>
  </r>
  <r>
    <n v="344"/>
    <s v="Nissan,Truck"/>
    <x v="3"/>
    <n v="34"/>
    <n v="64858"/>
    <x v="5"/>
    <s v="Black"/>
    <x v="5"/>
    <s v="Truck"/>
  </r>
  <r>
    <n v="345"/>
    <s v="Chevrolet,Sedan"/>
    <x v="3"/>
    <n v="37"/>
    <n v="77253"/>
    <x v="0"/>
    <s v="Red"/>
    <x v="2"/>
    <s v="Sedan"/>
  </r>
  <r>
    <n v="346"/>
    <s v="Ford,Hatchback"/>
    <x v="3"/>
    <n v="1"/>
    <n v="91361"/>
    <x v="7"/>
    <s v="Silver"/>
    <x v="0"/>
    <s v="Hatchback"/>
  </r>
  <r>
    <n v="347"/>
    <s v="Honda,Truck"/>
    <x v="2"/>
    <n v="40"/>
    <n v="78669"/>
    <x v="0"/>
    <s v="Red"/>
    <x v="4"/>
    <s v="Truck"/>
  </r>
  <r>
    <n v="348"/>
    <s v="Chevrolet,Convertible"/>
    <x v="0"/>
    <n v="42"/>
    <n v="97058"/>
    <x v="0"/>
    <s v="Silver"/>
    <x v="2"/>
    <s v="Convertible"/>
  </r>
  <r>
    <n v="349"/>
    <s v="Ford,Hatchback"/>
    <x v="1"/>
    <n v="11"/>
    <n v="89720"/>
    <x v="5"/>
    <s v="Silver"/>
    <x v="0"/>
    <s v="Hatchback"/>
  </r>
  <r>
    <n v="350"/>
    <s v="Ford,Truck"/>
    <x v="1"/>
    <n v="29"/>
    <n v="35543"/>
    <x v="7"/>
    <s v="White"/>
    <x v="0"/>
    <s v="Truck"/>
  </r>
  <r>
    <n v="351"/>
    <s v="Nissan,Sedan"/>
    <x v="2"/>
    <n v="23"/>
    <n v="79700"/>
    <x v="1"/>
    <s v="Blue"/>
    <x v="5"/>
    <s v="Sedan"/>
  </r>
  <r>
    <n v="352"/>
    <s v="Honda,Coupe"/>
    <x v="2"/>
    <n v="47"/>
    <n v="33293"/>
    <x v="5"/>
    <s v="Black"/>
    <x v="4"/>
    <s v="Coupe"/>
  </r>
  <r>
    <n v="353"/>
    <s v="Chevrolet,Truck"/>
    <x v="0"/>
    <n v="14"/>
    <n v="28308"/>
    <x v="6"/>
    <s v="Red"/>
    <x v="2"/>
    <s v="Truck"/>
  </r>
  <r>
    <n v="354"/>
    <s v="Chevrolet,SUV"/>
    <x v="0"/>
    <n v="41"/>
    <n v="70713"/>
    <x v="7"/>
    <s v="Black"/>
    <x v="2"/>
    <s v="SUV"/>
  </r>
  <r>
    <n v="355"/>
    <s v="Volkswagen,Sedan"/>
    <x v="2"/>
    <n v="48"/>
    <n v="27849"/>
    <x v="2"/>
    <s v="Silver"/>
    <x v="6"/>
    <s v="Sedan"/>
  </r>
  <r>
    <n v="356"/>
    <s v="Tesla,Minivan"/>
    <x v="1"/>
    <n v="10"/>
    <n v="92560"/>
    <x v="6"/>
    <s v="Red"/>
    <x v="3"/>
    <s v="Minivan"/>
  </r>
  <r>
    <n v="357"/>
    <s v="BMW,Minivan"/>
    <x v="0"/>
    <n v="27"/>
    <n v="54768"/>
    <x v="1"/>
    <s v="Red"/>
    <x v="9"/>
    <s v="Minivan"/>
  </r>
  <r>
    <n v="358"/>
    <s v="Tesla,Coupe"/>
    <x v="0"/>
    <n v="40"/>
    <n v="57222"/>
    <x v="1"/>
    <s v="Gray"/>
    <x v="3"/>
    <s v="Coupe"/>
  </r>
  <r>
    <n v="359"/>
    <s v="Chevrolet,Sedan"/>
    <x v="1"/>
    <n v="44"/>
    <n v="83028"/>
    <x v="1"/>
    <s v="Silver"/>
    <x v="2"/>
    <s v="Sedan"/>
  </r>
  <r>
    <n v="360"/>
    <s v="Nissan,Hatchback"/>
    <x v="0"/>
    <n v="29"/>
    <n v="97904"/>
    <x v="6"/>
    <s v="Black"/>
    <x v="5"/>
    <s v="Hatchback"/>
  </r>
  <r>
    <n v="361"/>
    <s v="Hyundai,SUV"/>
    <x v="1"/>
    <n v="14"/>
    <n v="62030"/>
    <x v="4"/>
    <s v="Red"/>
    <x v="8"/>
    <s v="SUV"/>
  </r>
  <r>
    <n v="362"/>
    <s v="Chevrolet,Hatchback"/>
    <x v="3"/>
    <n v="6"/>
    <n v="95683"/>
    <x v="1"/>
    <s v="Black"/>
    <x v="2"/>
    <s v="Hatchback"/>
  </r>
  <r>
    <n v="363"/>
    <s v="Toyota,Hatchback"/>
    <x v="0"/>
    <n v="7"/>
    <n v="30307"/>
    <x v="1"/>
    <s v="Red"/>
    <x v="1"/>
    <s v="Hatchback"/>
  </r>
  <r>
    <n v="364"/>
    <s v="Ford,Convertible"/>
    <x v="0"/>
    <n v="9"/>
    <n v="42150"/>
    <x v="6"/>
    <s v="Blue"/>
    <x v="0"/>
    <s v="Convertible"/>
  </r>
  <r>
    <n v="365"/>
    <s v="Audi,Sedan"/>
    <x v="3"/>
    <n v="49"/>
    <n v="53841"/>
    <x v="5"/>
    <s v="White"/>
    <x v="7"/>
    <s v="Sedan"/>
  </r>
  <r>
    <n v="366"/>
    <s v="Chevrolet,Sedan"/>
    <x v="1"/>
    <n v="8"/>
    <n v="40082"/>
    <x v="3"/>
    <s v="Gray"/>
    <x v="2"/>
    <s v="Sedan"/>
  </r>
  <r>
    <n v="367"/>
    <s v="Toyota,Minivan"/>
    <x v="0"/>
    <n v="38"/>
    <n v="99499"/>
    <x v="1"/>
    <s v="Silver"/>
    <x v="1"/>
    <s v="Minivan"/>
  </r>
  <r>
    <n v="368"/>
    <s v="Toyota,Truck"/>
    <x v="3"/>
    <n v="47"/>
    <n v="43961"/>
    <x v="6"/>
    <s v="White"/>
    <x v="1"/>
    <s v="Truck"/>
  </r>
  <r>
    <n v="369"/>
    <s v="BMW,SUV"/>
    <x v="1"/>
    <n v="25"/>
    <n v="29616"/>
    <x v="5"/>
    <s v="Gray"/>
    <x v="9"/>
    <s v="SUV"/>
  </r>
  <r>
    <n v="370"/>
    <s v="Honda,SUV"/>
    <x v="0"/>
    <n v="23"/>
    <n v="31204"/>
    <x v="5"/>
    <s v="Black"/>
    <x v="4"/>
    <s v="SUV"/>
  </r>
  <r>
    <n v="371"/>
    <s v="Chevrolet,Minivan"/>
    <x v="2"/>
    <n v="28"/>
    <n v="88797"/>
    <x v="5"/>
    <s v="Gray"/>
    <x v="2"/>
    <s v="Minivan"/>
  </r>
  <r>
    <n v="372"/>
    <s v="Honda,Convertible"/>
    <x v="3"/>
    <n v="21"/>
    <n v="49863"/>
    <x v="1"/>
    <s v="White"/>
    <x v="4"/>
    <s v="Convertible"/>
  </r>
  <r>
    <n v="373"/>
    <s v="Hyundai,SUV"/>
    <x v="1"/>
    <n v="9"/>
    <n v="81053"/>
    <x v="6"/>
    <s v="White"/>
    <x v="8"/>
    <s v="SUV"/>
  </r>
  <r>
    <n v="374"/>
    <s v="Nissan,Sedan"/>
    <x v="2"/>
    <n v="16"/>
    <n v="63867"/>
    <x v="3"/>
    <s v="White"/>
    <x v="5"/>
    <s v="Sedan"/>
  </r>
  <r>
    <n v="375"/>
    <s v="Audi,Minivan"/>
    <x v="1"/>
    <n v="18"/>
    <n v="41748"/>
    <x v="4"/>
    <s v="White"/>
    <x v="7"/>
    <s v="Minivan"/>
  </r>
  <r>
    <n v="376"/>
    <s v="Nissan,Minivan"/>
    <x v="2"/>
    <n v="42"/>
    <n v="61565"/>
    <x v="4"/>
    <s v="Silver"/>
    <x v="5"/>
    <s v="Minivan"/>
  </r>
  <r>
    <n v="377"/>
    <s v="Toyota,Convertible"/>
    <x v="2"/>
    <n v="6"/>
    <n v="26782"/>
    <x v="5"/>
    <s v="Blue"/>
    <x v="1"/>
    <s v="Convertible"/>
  </r>
  <r>
    <n v="378"/>
    <s v="Ford,SUV"/>
    <x v="3"/>
    <n v="16"/>
    <n v="85307"/>
    <x v="3"/>
    <s v="Gray"/>
    <x v="0"/>
    <s v="SUV"/>
  </r>
  <r>
    <n v="379"/>
    <s v="Ford,Convertible"/>
    <x v="3"/>
    <n v="36"/>
    <n v="80828"/>
    <x v="0"/>
    <s v="Blue"/>
    <x v="0"/>
    <s v="Convertible"/>
  </r>
  <r>
    <n v="380"/>
    <s v="Honda,SUV"/>
    <x v="2"/>
    <n v="39"/>
    <n v="37443"/>
    <x v="0"/>
    <s v="White"/>
    <x v="4"/>
    <s v="SUV"/>
  </r>
  <r>
    <n v="381"/>
    <s v="Nissan,Minivan"/>
    <x v="3"/>
    <n v="39"/>
    <n v="50416"/>
    <x v="5"/>
    <s v="Blue"/>
    <x v="5"/>
    <s v="Minivan"/>
  </r>
  <r>
    <n v="382"/>
    <s v="Toyota,Minivan"/>
    <x v="1"/>
    <n v="47"/>
    <n v="72515"/>
    <x v="0"/>
    <s v="Blue"/>
    <x v="1"/>
    <s v="Minivan"/>
  </r>
  <r>
    <n v="383"/>
    <s v="BMW,SUV"/>
    <x v="0"/>
    <n v="39"/>
    <n v="35200"/>
    <x v="6"/>
    <s v="Silver"/>
    <x v="9"/>
    <s v="SUV"/>
  </r>
  <r>
    <n v="384"/>
    <s v="Volkswagen,Truck"/>
    <x v="1"/>
    <n v="19"/>
    <n v="81837"/>
    <x v="2"/>
    <s v="White"/>
    <x v="6"/>
    <s v="Truck"/>
  </r>
  <r>
    <n v="385"/>
    <s v="Nissan,Minivan"/>
    <x v="2"/>
    <n v="50"/>
    <n v="63289"/>
    <x v="7"/>
    <s v="Black"/>
    <x v="5"/>
    <s v="Minivan"/>
  </r>
  <r>
    <n v="386"/>
    <s v="Honda,SUV"/>
    <x v="1"/>
    <n v="45"/>
    <n v="99044"/>
    <x v="4"/>
    <s v="White"/>
    <x v="4"/>
    <s v="SUV"/>
  </r>
  <r>
    <n v="387"/>
    <s v="Audi,Minivan"/>
    <x v="2"/>
    <n v="2"/>
    <n v="94002"/>
    <x v="7"/>
    <s v="Blue"/>
    <x v="7"/>
    <s v="Minivan"/>
  </r>
  <r>
    <n v="388"/>
    <s v="Honda,Convertible"/>
    <x v="1"/>
    <n v="43"/>
    <n v="92482"/>
    <x v="7"/>
    <s v="Black"/>
    <x v="4"/>
    <s v="Convertible"/>
  </r>
  <r>
    <n v="389"/>
    <s v="Toyota,Sedan"/>
    <x v="1"/>
    <n v="20"/>
    <n v="26959"/>
    <x v="4"/>
    <s v="Gray"/>
    <x v="1"/>
    <s v="Sedan"/>
  </r>
  <r>
    <n v="390"/>
    <s v="Chevrolet,Truck"/>
    <x v="3"/>
    <n v="14"/>
    <n v="86081"/>
    <x v="3"/>
    <s v="Blue"/>
    <x v="2"/>
    <s v="Truck"/>
  </r>
  <r>
    <n v="391"/>
    <s v="BMW,Minivan"/>
    <x v="2"/>
    <n v="34"/>
    <n v="92934"/>
    <x v="5"/>
    <s v="Blue"/>
    <x v="9"/>
    <s v="Minivan"/>
  </r>
  <r>
    <n v="392"/>
    <s v="Toyota,SUV"/>
    <x v="2"/>
    <n v="39"/>
    <n v="92845"/>
    <x v="5"/>
    <s v="Red"/>
    <x v="1"/>
    <s v="SUV"/>
  </r>
  <r>
    <n v="393"/>
    <s v="BMW,SUV"/>
    <x v="0"/>
    <n v="33"/>
    <n v="91383"/>
    <x v="4"/>
    <s v="Red"/>
    <x v="9"/>
    <s v="SUV"/>
  </r>
  <r>
    <n v="394"/>
    <s v="Tesla,Convertible"/>
    <x v="1"/>
    <n v="13"/>
    <n v="81592"/>
    <x v="0"/>
    <s v="Gray"/>
    <x v="3"/>
    <s v="Convertible"/>
  </r>
  <r>
    <n v="395"/>
    <s v="Tesla,Truck"/>
    <x v="1"/>
    <n v="48"/>
    <n v="58525"/>
    <x v="7"/>
    <s v="Red"/>
    <x v="3"/>
    <s v="Truck"/>
  </r>
  <r>
    <n v="396"/>
    <s v="Ford,Minivan"/>
    <x v="0"/>
    <n v="26"/>
    <n v="37903"/>
    <x v="6"/>
    <s v="Blue"/>
    <x v="0"/>
    <s v="Minivan"/>
  </r>
  <r>
    <n v="397"/>
    <s v="BMW,SUV"/>
    <x v="2"/>
    <n v="19"/>
    <n v="44740"/>
    <x v="3"/>
    <s v="Gray"/>
    <x v="9"/>
    <s v="SUV"/>
  </r>
  <r>
    <n v="398"/>
    <s v="Nissan,Sedan"/>
    <x v="1"/>
    <n v="42"/>
    <n v="41499"/>
    <x v="4"/>
    <s v="White"/>
    <x v="5"/>
    <s v="Sedan"/>
  </r>
  <r>
    <n v="399"/>
    <s v="Audi,Hatchback"/>
    <x v="0"/>
    <n v="4"/>
    <n v="55627"/>
    <x v="7"/>
    <s v="Gray"/>
    <x v="7"/>
    <s v="Hatchback"/>
  </r>
  <r>
    <n v="400"/>
    <s v="Volkswagen,Minivan"/>
    <x v="0"/>
    <n v="16"/>
    <n v="96569"/>
    <x v="0"/>
    <s v="White"/>
    <x v="6"/>
    <s v="Minivan"/>
  </r>
  <r>
    <n v="401"/>
    <s v="Honda,Sedan"/>
    <x v="0"/>
    <n v="32"/>
    <n v="35015"/>
    <x v="6"/>
    <s v="Blue"/>
    <x v="4"/>
    <s v="Sedan"/>
  </r>
  <r>
    <n v="402"/>
    <s v="Tesla,SUV"/>
    <x v="1"/>
    <n v="25"/>
    <n v="93880"/>
    <x v="2"/>
    <s v="Red"/>
    <x v="3"/>
    <s v="SUV"/>
  </r>
  <r>
    <n v="403"/>
    <s v="Honda,Sedan"/>
    <x v="2"/>
    <n v="8"/>
    <n v="78048"/>
    <x v="1"/>
    <s v="Blue"/>
    <x v="4"/>
    <s v="Sedan"/>
  </r>
  <r>
    <n v="404"/>
    <s v="Honda,Truck"/>
    <x v="2"/>
    <n v="16"/>
    <n v="97254"/>
    <x v="5"/>
    <s v="Gray"/>
    <x v="4"/>
    <s v="Truck"/>
  </r>
  <r>
    <n v="405"/>
    <s v="Audi,Minivan"/>
    <x v="0"/>
    <n v="32"/>
    <n v="55035"/>
    <x v="0"/>
    <s v="White"/>
    <x v="7"/>
    <s v="Minivan"/>
  </r>
  <r>
    <n v="406"/>
    <s v="Toyota,Minivan"/>
    <x v="0"/>
    <n v="41"/>
    <n v="74886"/>
    <x v="2"/>
    <s v="White"/>
    <x v="1"/>
    <s v="Minivan"/>
  </r>
  <r>
    <n v="407"/>
    <s v="Honda,SUV"/>
    <x v="2"/>
    <n v="39"/>
    <n v="89524"/>
    <x v="0"/>
    <s v="Gray"/>
    <x v="4"/>
    <s v="SUV"/>
  </r>
  <r>
    <n v="408"/>
    <s v="BMW,Convertible"/>
    <x v="0"/>
    <n v="5"/>
    <n v="83231"/>
    <x v="7"/>
    <s v="Silver"/>
    <x v="9"/>
    <s v="Convertible"/>
  </r>
  <r>
    <n v="409"/>
    <s v="Audi,Truck"/>
    <x v="0"/>
    <n v="34"/>
    <n v="35004"/>
    <x v="2"/>
    <s v="White"/>
    <x v="7"/>
    <s v="Truck"/>
  </r>
  <r>
    <n v="410"/>
    <s v="Tesla,Sedan"/>
    <x v="2"/>
    <n v="1"/>
    <n v="65911"/>
    <x v="3"/>
    <s v="Silver"/>
    <x v="3"/>
    <s v="Sedan"/>
  </r>
  <r>
    <n v="411"/>
    <s v="Chevrolet,SUV"/>
    <x v="1"/>
    <n v="24"/>
    <n v="27932"/>
    <x v="4"/>
    <s v="Blue"/>
    <x v="2"/>
    <s v="SUV"/>
  </r>
  <r>
    <n v="412"/>
    <s v="Honda,Truck"/>
    <x v="0"/>
    <n v="21"/>
    <n v="56435"/>
    <x v="7"/>
    <s v="White"/>
    <x v="4"/>
    <s v="Truck"/>
  </r>
  <r>
    <n v="413"/>
    <s v="Ford,Sedan"/>
    <x v="1"/>
    <n v="9"/>
    <n v="46535"/>
    <x v="5"/>
    <s v="Silver"/>
    <x v="0"/>
    <s v="Sedan"/>
  </r>
  <r>
    <n v="414"/>
    <s v="Audi,SUV"/>
    <x v="0"/>
    <n v="25"/>
    <n v="28513"/>
    <x v="1"/>
    <s v="White"/>
    <x v="7"/>
    <s v="SUV"/>
  </r>
  <r>
    <n v="415"/>
    <s v="Toyota,Hatchback"/>
    <x v="0"/>
    <n v="37"/>
    <n v="68384"/>
    <x v="3"/>
    <s v="Silver"/>
    <x v="1"/>
    <s v="Hatchback"/>
  </r>
  <r>
    <n v="416"/>
    <s v="Hyundai,Coupe"/>
    <x v="0"/>
    <n v="27"/>
    <n v="39640"/>
    <x v="0"/>
    <s v="White"/>
    <x v="8"/>
    <s v="Coupe"/>
  </r>
  <r>
    <n v="417"/>
    <s v="Tesla,Convertible"/>
    <x v="3"/>
    <n v="24"/>
    <n v="42916"/>
    <x v="4"/>
    <s v="White"/>
    <x v="3"/>
    <s v="Convertible"/>
  </r>
  <r>
    <n v="418"/>
    <s v="Tesla,Sedan"/>
    <x v="1"/>
    <n v="35"/>
    <n v="91893"/>
    <x v="6"/>
    <s v="Black"/>
    <x v="3"/>
    <s v="Sedan"/>
  </r>
  <r>
    <n v="419"/>
    <s v="Hyundai,Hatchback"/>
    <x v="1"/>
    <n v="44"/>
    <n v="40884"/>
    <x v="5"/>
    <s v="Blue"/>
    <x v="8"/>
    <s v="Hatchback"/>
  </r>
  <r>
    <n v="420"/>
    <s v="BMW,Sedan"/>
    <x v="0"/>
    <n v="12"/>
    <n v="37323"/>
    <x v="1"/>
    <s v="Blue"/>
    <x v="9"/>
    <s v="Sedan"/>
  </r>
  <r>
    <n v="421"/>
    <s v="Chevrolet,Coupe"/>
    <x v="2"/>
    <n v="49"/>
    <n v="48486"/>
    <x v="7"/>
    <s v="White"/>
    <x v="2"/>
    <s v="Coupe"/>
  </r>
  <r>
    <n v="422"/>
    <s v="Tesla,Coupe"/>
    <x v="0"/>
    <n v="31"/>
    <n v="88846"/>
    <x v="3"/>
    <s v="Silver"/>
    <x v="3"/>
    <s v="Coupe"/>
  </r>
  <r>
    <n v="423"/>
    <s v="Tesla,Minivan"/>
    <x v="3"/>
    <n v="50"/>
    <n v="92657"/>
    <x v="6"/>
    <s v="Red"/>
    <x v="3"/>
    <s v="Minivan"/>
  </r>
  <r>
    <n v="424"/>
    <s v="Toyota,Truck"/>
    <x v="0"/>
    <n v="5"/>
    <n v="98105"/>
    <x v="1"/>
    <s v="Silver"/>
    <x v="1"/>
    <s v="Truck"/>
  </r>
  <r>
    <n v="425"/>
    <s v="Tesla,Convertible"/>
    <x v="3"/>
    <n v="2"/>
    <n v="35304"/>
    <x v="0"/>
    <s v="White"/>
    <x v="3"/>
    <s v="Convertible"/>
  </r>
  <r>
    <n v="426"/>
    <s v="Audi,Convertible"/>
    <x v="0"/>
    <n v="38"/>
    <n v="43780"/>
    <x v="6"/>
    <s v="Gray"/>
    <x v="7"/>
    <s v="Convertible"/>
  </r>
  <r>
    <n v="427"/>
    <s v="BMW,Sedan"/>
    <x v="1"/>
    <n v="5"/>
    <n v="54415"/>
    <x v="7"/>
    <s v="Blue"/>
    <x v="9"/>
    <s v="Sedan"/>
  </r>
  <r>
    <n v="428"/>
    <s v="Chevrolet,Coupe"/>
    <x v="0"/>
    <n v="1"/>
    <n v="99323"/>
    <x v="6"/>
    <s v="Gray"/>
    <x v="2"/>
    <s v="Coupe"/>
  </r>
  <r>
    <n v="429"/>
    <s v="Ford,Convertible"/>
    <x v="1"/>
    <n v="17"/>
    <n v="50205"/>
    <x v="0"/>
    <s v="Silver"/>
    <x v="0"/>
    <s v="Convertible"/>
  </r>
  <r>
    <n v="430"/>
    <s v="Chevrolet,SUV"/>
    <x v="2"/>
    <n v="14"/>
    <n v="55673"/>
    <x v="3"/>
    <s v="Black"/>
    <x v="2"/>
    <s v="SUV"/>
  </r>
  <r>
    <n v="431"/>
    <s v="BMW,Convertible"/>
    <x v="2"/>
    <n v="3"/>
    <n v="53100"/>
    <x v="6"/>
    <s v="White"/>
    <x v="9"/>
    <s v="Convertible"/>
  </r>
  <r>
    <n v="432"/>
    <s v="Nissan,Sedan"/>
    <x v="0"/>
    <n v="4"/>
    <n v="48399"/>
    <x v="0"/>
    <s v="Silver"/>
    <x v="5"/>
    <s v="Sedan"/>
  </r>
  <r>
    <n v="433"/>
    <s v="Audi,Hatchback"/>
    <x v="0"/>
    <n v="26"/>
    <n v="64039"/>
    <x v="1"/>
    <s v="Silver"/>
    <x v="7"/>
    <s v="Hatchback"/>
  </r>
  <r>
    <n v="434"/>
    <s v="Nissan,Minivan"/>
    <x v="2"/>
    <n v="33"/>
    <n v="88348"/>
    <x v="5"/>
    <s v="Black"/>
    <x v="5"/>
    <s v="Minivan"/>
  </r>
  <r>
    <n v="435"/>
    <s v="BMW,Minivan"/>
    <x v="3"/>
    <n v="19"/>
    <n v="40355"/>
    <x v="2"/>
    <s v="Red"/>
    <x v="9"/>
    <s v="Minivan"/>
  </r>
  <r>
    <n v="436"/>
    <s v="Toyota,Hatchback"/>
    <x v="2"/>
    <n v="41"/>
    <n v="73243"/>
    <x v="4"/>
    <s v="Red"/>
    <x v="1"/>
    <s v="Hatchback"/>
  </r>
  <r>
    <n v="437"/>
    <s v="Ford,Convertible"/>
    <x v="2"/>
    <n v="46"/>
    <n v="75413"/>
    <x v="7"/>
    <s v="Silver"/>
    <x v="0"/>
    <s v="Convertible"/>
  </r>
  <r>
    <n v="438"/>
    <s v="Chevrolet,Truck"/>
    <x v="3"/>
    <n v="33"/>
    <n v="88713"/>
    <x v="3"/>
    <s v="White"/>
    <x v="2"/>
    <s v="Truck"/>
  </r>
  <r>
    <n v="439"/>
    <s v="Honda,Coupe"/>
    <x v="2"/>
    <n v="50"/>
    <n v="66204"/>
    <x v="5"/>
    <s v="Gray"/>
    <x v="4"/>
    <s v="Coupe"/>
  </r>
  <r>
    <n v="440"/>
    <s v="Volkswagen,Hatchback"/>
    <x v="2"/>
    <n v="27"/>
    <n v="53711"/>
    <x v="0"/>
    <s v="Black"/>
    <x v="6"/>
    <s v="Hatchback"/>
  </r>
  <r>
    <n v="441"/>
    <s v="Chevrolet,Sedan"/>
    <x v="3"/>
    <n v="28"/>
    <n v="86359"/>
    <x v="5"/>
    <s v="Red"/>
    <x v="2"/>
    <s v="Sedan"/>
  </r>
  <r>
    <n v="442"/>
    <s v="Toyota,Sedan"/>
    <x v="3"/>
    <n v="45"/>
    <n v="82906"/>
    <x v="6"/>
    <s v="Silver"/>
    <x v="1"/>
    <s v="Sedan"/>
  </r>
  <r>
    <n v="443"/>
    <s v="Ford,Coupe"/>
    <x v="1"/>
    <n v="26"/>
    <n v="89097"/>
    <x v="2"/>
    <s v="White"/>
    <x v="0"/>
    <s v="Coupe"/>
  </r>
  <r>
    <n v="444"/>
    <s v="Volkswagen,Minivan"/>
    <x v="0"/>
    <n v="6"/>
    <n v="69155"/>
    <x v="7"/>
    <s v="Gray"/>
    <x v="6"/>
    <s v="Minivan"/>
  </r>
  <r>
    <n v="445"/>
    <s v="Audi,Coupe"/>
    <x v="1"/>
    <n v="41"/>
    <n v="52110"/>
    <x v="6"/>
    <s v="Red"/>
    <x v="7"/>
    <s v="Coupe"/>
  </r>
  <r>
    <n v="446"/>
    <s v="BMW,Coupe"/>
    <x v="3"/>
    <n v="35"/>
    <n v="98600"/>
    <x v="3"/>
    <s v="Blue"/>
    <x v="9"/>
    <s v="Coupe"/>
  </r>
  <r>
    <n v="447"/>
    <s v="BMW,Hatchback"/>
    <x v="2"/>
    <n v="35"/>
    <n v="97491"/>
    <x v="6"/>
    <s v="Gray"/>
    <x v="9"/>
    <s v="Hatchback"/>
  </r>
  <r>
    <n v="448"/>
    <s v="Audi,Sedan"/>
    <x v="3"/>
    <n v="40"/>
    <n v="31273"/>
    <x v="1"/>
    <s v="Gray"/>
    <x v="7"/>
    <s v="Sedan"/>
  </r>
  <r>
    <n v="449"/>
    <s v="Volkswagen,Coupe"/>
    <x v="2"/>
    <n v="10"/>
    <n v="85460"/>
    <x v="2"/>
    <s v="Silver"/>
    <x v="6"/>
    <s v="Coupe"/>
  </r>
  <r>
    <n v="450"/>
    <s v="Nissan,Hatchback"/>
    <x v="1"/>
    <n v="18"/>
    <n v="73333"/>
    <x v="7"/>
    <s v="Black"/>
    <x v="5"/>
    <s v="Hatchback"/>
  </r>
  <r>
    <n v="451"/>
    <s v="Ford,Coupe"/>
    <x v="1"/>
    <n v="6"/>
    <n v="63561"/>
    <x v="4"/>
    <s v="White"/>
    <x v="0"/>
    <s v="Coupe"/>
  </r>
  <r>
    <n v="452"/>
    <s v="Audi,Sedan"/>
    <x v="1"/>
    <n v="20"/>
    <n v="33829"/>
    <x v="5"/>
    <s v="Silver"/>
    <x v="7"/>
    <s v="Sedan"/>
  </r>
  <r>
    <n v="453"/>
    <s v="Volkswagen,Sedan"/>
    <x v="2"/>
    <n v="6"/>
    <n v="70949"/>
    <x v="3"/>
    <s v="Red"/>
    <x v="6"/>
    <s v="Sedan"/>
  </r>
  <r>
    <n v="454"/>
    <s v="Tesla,Truck"/>
    <x v="0"/>
    <n v="33"/>
    <n v="78485"/>
    <x v="1"/>
    <s v="Silver"/>
    <x v="3"/>
    <s v="Truck"/>
  </r>
  <r>
    <n v="455"/>
    <s v="Chevrolet,Convertible"/>
    <x v="0"/>
    <n v="14"/>
    <n v="97650"/>
    <x v="6"/>
    <s v="Silver"/>
    <x v="2"/>
    <s v="Convertible"/>
  </r>
  <r>
    <n v="456"/>
    <s v="Toyota,SUV"/>
    <x v="0"/>
    <n v="10"/>
    <n v="50720"/>
    <x v="7"/>
    <s v="Red"/>
    <x v="1"/>
    <s v="SUV"/>
  </r>
  <r>
    <n v="457"/>
    <s v="Audi,Sedan"/>
    <x v="3"/>
    <n v="35"/>
    <n v="95569"/>
    <x v="7"/>
    <s v="Blue"/>
    <x v="7"/>
    <s v="Sedan"/>
  </r>
  <r>
    <n v="458"/>
    <s v="Toyota,SUV"/>
    <x v="3"/>
    <n v="21"/>
    <n v="84529"/>
    <x v="0"/>
    <s v="White"/>
    <x v="1"/>
    <s v="SUV"/>
  </r>
  <r>
    <n v="459"/>
    <s v="Nissan,Truck"/>
    <x v="2"/>
    <n v="26"/>
    <n v="78201"/>
    <x v="4"/>
    <s v="Gray"/>
    <x v="5"/>
    <s v="Truck"/>
  </r>
  <r>
    <n v="460"/>
    <s v="Nissan,Convertible"/>
    <x v="3"/>
    <n v="38"/>
    <n v="50819"/>
    <x v="2"/>
    <s v="Gray"/>
    <x v="5"/>
    <s v="Convertible"/>
  </r>
  <r>
    <n v="461"/>
    <s v="Tesla,Hatchback"/>
    <x v="2"/>
    <n v="41"/>
    <n v="93297"/>
    <x v="3"/>
    <s v="Gray"/>
    <x v="3"/>
    <s v="Hatchback"/>
  </r>
  <r>
    <n v="462"/>
    <s v="BMW,Convertible"/>
    <x v="1"/>
    <n v="49"/>
    <n v="96216"/>
    <x v="6"/>
    <s v="Gray"/>
    <x v="9"/>
    <s v="Convertible"/>
  </r>
  <r>
    <n v="463"/>
    <s v="Audi,Convertible"/>
    <x v="2"/>
    <n v="42"/>
    <n v="64077"/>
    <x v="4"/>
    <s v="Red"/>
    <x v="7"/>
    <s v="Convertible"/>
  </r>
  <r>
    <n v="464"/>
    <s v="Ford,Hatchback"/>
    <x v="3"/>
    <n v="44"/>
    <n v="45167"/>
    <x v="0"/>
    <s v="Gray"/>
    <x v="0"/>
    <s v="Hatchback"/>
  </r>
  <r>
    <n v="465"/>
    <s v="BMW,Truck"/>
    <x v="1"/>
    <n v="42"/>
    <n v="72003"/>
    <x v="3"/>
    <s v="Gray"/>
    <x v="9"/>
    <s v="Truck"/>
  </r>
  <r>
    <n v="466"/>
    <s v="Volkswagen,Coupe"/>
    <x v="1"/>
    <n v="5"/>
    <n v="67099"/>
    <x v="2"/>
    <s v="Silver"/>
    <x v="6"/>
    <s v="Coupe"/>
  </r>
  <r>
    <n v="467"/>
    <s v="BMW,Convertible"/>
    <x v="2"/>
    <n v="20"/>
    <n v="93154"/>
    <x v="7"/>
    <s v="Silver"/>
    <x v="9"/>
    <s v="Convertible"/>
  </r>
  <r>
    <n v="468"/>
    <s v="Ford,Convertible"/>
    <x v="0"/>
    <n v="45"/>
    <n v="46737"/>
    <x v="7"/>
    <s v="Black"/>
    <x v="0"/>
    <s v="Convertible"/>
  </r>
  <r>
    <n v="469"/>
    <s v="Chevrolet,Truck"/>
    <x v="3"/>
    <n v="28"/>
    <n v="72184"/>
    <x v="2"/>
    <s v="Silver"/>
    <x v="2"/>
    <s v="Truck"/>
  </r>
  <r>
    <n v="470"/>
    <s v="Nissan,Coupe"/>
    <x v="3"/>
    <n v="47"/>
    <n v="58552"/>
    <x v="4"/>
    <s v="Red"/>
    <x v="5"/>
    <s v="Coupe"/>
  </r>
  <r>
    <n v="471"/>
    <s v="Chevrolet,Convertible"/>
    <x v="0"/>
    <n v="16"/>
    <n v="81553"/>
    <x v="3"/>
    <s v="Black"/>
    <x v="2"/>
    <s v="Convertible"/>
  </r>
  <r>
    <n v="472"/>
    <s v="Audi,Convertible"/>
    <x v="3"/>
    <n v="4"/>
    <n v="42440"/>
    <x v="4"/>
    <s v="Silver"/>
    <x v="7"/>
    <s v="Convertible"/>
  </r>
  <r>
    <n v="473"/>
    <s v="BMW,Coupe"/>
    <x v="0"/>
    <n v="16"/>
    <n v="97209"/>
    <x v="0"/>
    <s v="Red"/>
    <x v="9"/>
    <s v="Coupe"/>
  </r>
  <r>
    <n v="474"/>
    <s v="Audi,Sedan"/>
    <x v="0"/>
    <n v="6"/>
    <n v="69936"/>
    <x v="6"/>
    <s v="White"/>
    <x v="7"/>
    <s v="Sedan"/>
  </r>
  <r>
    <n v="475"/>
    <s v="Chevrolet,Minivan"/>
    <x v="1"/>
    <n v="28"/>
    <n v="63744"/>
    <x v="2"/>
    <s v="White"/>
    <x v="2"/>
    <s v="Minivan"/>
  </r>
  <r>
    <n v="476"/>
    <s v="Nissan,Hatchback"/>
    <x v="1"/>
    <n v="8"/>
    <n v="62880"/>
    <x v="2"/>
    <s v="Silver"/>
    <x v="5"/>
    <s v="Hatchback"/>
  </r>
  <r>
    <n v="477"/>
    <s v="Honda,Sedan"/>
    <x v="2"/>
    <n v="30"/>
    <n v="83128"/>
    <x v="0"/>
    <s v="White"/>
    <x v="4"/>
    <s v="Sedan"/>
  </r>
  <r>
    <n v="478"/>
    <s v="Tesla,Minivan"/>
    <x v="1"/>
    <n v="40"/>
    <n v="54214"/>
    <x v="6"/>
    <s v="Silver"/>
    <x v="3"/>
    <s v="Minivan"/>
  </r>
  <r>
    <n v="479"/>
    <s v="Audi,Hatchback"/>
    <x v="0"/>
    <n v="39"/>
    <n v="57872"/>
    <x v="7"/>
    <s v="Gray"/>
    <x v="7"/>
    <s v="Hatchback"/>
  </r>
  <r>
    <n v="480"/>
    <s v="Audi,Hatchback"/>
    <x v="2"/>
    <n v="4"/>
    <n v="87755"/>
    <x v="1"/>
    <s v="Black"/>
    <x v="7"/>
    <s v="Hatchback"/>
  </r>
  <r>
    <n v="481"/>
    <s v="Honda,Minivan"/>
    <x v="3"/>
    <n v="20"/>
    <n v="35824"/>
    <x v="2"/>
    <s v="White"/>
    <x v="4"/>
    <s v="Minivan"/>
  </r>
  <r>
    <n v="482"/>
    <s v="Volkswagen,Convertible"/>
    <x v="0"/>
    <n v="43"/>
    <n v="37135"/>
    <x v="4"/>
    <s v="Black"/>
    <x v="6"/>
    <s v="Convertible"/>
  </r>
  <r>
    <n v="483"/>
    <s v="Volkswagen,Hatchback"/>
    <x v="2"/>
    <n v="48"/>
    <n v="49670"/>
    <x v="5"/>
    <s v="Black"/>
    <x v="6"/>
    <s v="Hatchback"/>
  </r>
  <r>
    <n v="484"/>
    <s v="Chevrolet,Minivan"/>
    <x v="1"/>
    <n v="43"/>
    <n v="38249"/>
    <x v="7"/>
    <s v="Black"/>
    <x v="2"/>
    <s v="Minivan"/>
  </r>
  <r>
    <n v="485"/>
    <s v="Audi,SUV"/>
    <x v="0"/>
    <n v="48"/>
    <n v="59413"/>
    <x v="0"/>
    <s v="Blue"/>
    <x v="7"/>
    <s v="SUV"/>
  </r>
  <r>
    <n v="486"/>
    <s v="Nissan,Coupe"/>
    <x v="2"/>
    <n v="12"/>
    <n v="39730"/>
    <x v="0"/>
    <s v="Red"/>
    <x v="5"/>
    <s v="Coupe"/>
  </r>
  <r>
    <n v="487"/>
    <s v="Toyota,Coupe"/>
    <x v="3"/>
    <n v="8"/>
    <n v="67023"/>
    <x v="5"/>
    <s v="Gray"/>
    <x v="1"/>
    <s v="Coupe"/>
  </r>
  <r>
    <n v="488"/>
    <s v="Chevrolet,SUV"/>
    <x v="0"/>
    <n v="1"/>
    <n v="58118"/>
    <x v="0"/>
    <s v="Silver"/>
    <x v="2"/>
    <s v="SUV"/>
  </r>
  <r>
    <n v="489"/>
    <s v="Chevrolet,Coupe"/>
    <x v="0"/>
    <n v="46"/>
    <n v="49307"/>
    <x v="6"/>
    <s v="Gray"/>
    <x v="2"/>
    <s v="Coupe"/>
  </r>
  <r>
    <n v="490"/>
    <s v="Tesla,Truck"/>
    <x v="2"/>
    <n v="9"/>
    <n v="41183"/>
    <x v="4"/>
    <s v="Black"/>
    <x v="3"/>
    <s v="Truck"/>
  </r>
  <r>
    <n v="491"/>
    <s v="Audi,Minivan"/>
    <x v="2"/>
    <n v="45"/>
    <n v="95807"/>
    <x v="2"/>
    <s v="Gray"/>
    <x v="7"/>
    <s v="Minivan"/>
  </r>
  <r>
    <n v="492"/>
    <s v="Volkswagen,Coupe"/>
    <x v="1"/>
    <n v="1"/>
    <n v="61615"/>
    <x v="2"/>
    <s v="Silver"/>
    <x v="6"/>
    <s v="Coupe"/>
  </r>
  <r>
    <n v="493"/>
    <s v="Volkswagen,Coupe"/>
    <x v="1"/>
    <n v="11"/>
    <n v="66950"/>
    <x v="0"/>
    <s v="Black"/>
    <x v="6"/>
    <s v="Coupe"/>
  </r>
  <r>
    <n v="494"/>
    <s v="BMW,Coupe"/>
    <x v="0"/>
    <n v="32"/>
    <n v="35248"/>
    <x v="5"/>
    <s v="Red"/>
    <x v="9"/>
    <s v="Coupe"/>
  </r>
  <r>
    <n v="495"/>
    <s v="Hyundai,Hatchback"/>
    <x v="3"/>
    <n v="23"/>
    <n v="69732"/>
    <x v="4"/>
    <s v="Gray"/>
    <x v="8"/>
    <s v="Hatchback"/>
  </r>
  <r>
    <n v="496"/>
    <s v="Hyundai,Sedan"/>
    <x v="1"/>
    <n v="34"/>
    <n v="83703"/>
    <x v="3"/>
    <s v="White"/>
    <x v="8"/>
    <s v="Sedan"/>
  </r>
  <r>
    <n v="497"/>
    <s v="Hyundai,Truck"/>
    <x v="3"/>
    <n v="34"/>
    <n v="68735"/>
    <x v="4"/>
    <s v="Silver"/>
    <x v="8"/>
    <s v="Truck"/>
  </r>
  <r>
    <n v="498"/>
    <s v="Tesla,Coupe"/>
    <x v="2"/>
    <n v="47"/>
    <n v="52918"/>
    <x v="0"/>
    <s v="Blue"/>
    <x v="3"/>
    <s v="Coupe"/>
  </r>
  <r>
    <n v="499"/>
    <s v="Nissan,Truck"/>
    <x v="2"/>
    <n v="17"/>
    <n v="90219"/>
    <x v="5"/>
    <s v="Silver"/>
    <x v="5"/>
    <s v="Truck"/>
  </r>
  <r>
    <n v="500"/>
    <s v="Hyundai,Hatchback"/>
    <x v="1"/>
    <n v="11"/>
    <n v="84408"/>
    <x v="5"/>
    <s v="Red"/>
    <x v="8"/>
    <s v="Hatchback"/>
  </r>
  <r>
    <n v="501"/>
    <s v="Honda,Truck"/>
    <x v="0"/>
    <n v="24"/>
    <n v="45425"/>
    <x v="2"/>
    <s v="Gray"/>
    <x v="4"/>
    <s v="Truck"/>
  </r>
  <r>
    <n v="502"/>
    <s v="Ford,Truck"/>
    <x v="2"/>
    <n v="9"/>
    <n v="49359"/>
    <x v="0"/>
    <s v="Black"/>
    <x v="0"/>
    <s v="Truck"/>
  </r>
  <r>
    <n v="503"/>
    <s v="Chevrolet,SUV"/>
    <x v="3"/>
    <n v="48"/>
    <n v="77253"/>
    <x v="7"/>
    <s v="Gray"/>
    <x v="2"/>
    <s v="SUV"/>
  </r>
  <r>
    <n v="504"/>
    <s v="Nissan,Hatchback"/>
    <x v="0"/>
    <n v="50"/>
    <n v="85693"/>
    <x v="1"/>
    <s v="Silver"/>
    <x v="5"/>
    <s v="Hatchback"/>
  </r>
  <r>
    <n v="505"/>
    <s v="Volkswagen,Coupe"/>
    <x v="1"/>
    <n v="18"/>
    <n v="65093"/>
    <x v="4"/>
    <s v="Red"/>
    <x v="6"/>
    <s v="Coupe"/>
  </r>
  <r>
    <n v="506"/>
    <s v="BMW,Sedan"/>
    <x v="2"/>
    <n v="47"/>
    <n v="91759"/>
    <x v="7"/>
    <s v="Black"/>
    <x v="9"/>
    <s v="Sedan"/>
  </r>
  <r>
    <n v="507"/>
    <s v="Ford,Sedan"/>
    <x v="1"/>
    <n v="8"/>
    <n v="56812"/>
    <x v="2"/>
    <s v="White"/>
    <x v="0"/>
    <s v="Sedan"/>
  </r>
  <r>
    <n v="508"/>
    <s v="Tesla,Minivan"/>
    <x v="0"/>
    <n v="50"/>
    <n v="77603"/>
    <x v="6"/>
    <s v="Red"/>
    <x v="3"/>
    <s v="Minivan"/>
  </r>
  <r>
    <n v="509"/>
    <s v="Chevrolet,Sedan"/>
    <x v="0"/>
    <n v="2"/>
    <n v="75496"/>
    <x v="2"/>
    <s v="Blue"/>
    <x v="2"/>
    <s v="Sedan"/>
  </r>
  <r>
    <n v="510"/>
    <s v="Tesla,Sedan"/>
    <x v="0"/>
    <n v="22"/>
    <n v="75882"/>
    <x v="3"/>
    <s v="Silver"/>
    <x v="3"/>
    <s v="Sedan"/>
  </r>
  <r>
    <n v="511"/>
    <s v="Tesla,Coupe"/>
    <x v="3"/>
    <n v="28"/>
    <n v="91179"/>
    <x v="1"/>
    <s v="Red"/>
    <x v="3"/>
    <s v="Coupe"/>
  </r>
  <r>
    <n v="512"/>
    <s v="Honda,Sedan"/>
    <x v="0"/>
    <n v="18"/>
    <n v="84959"/>
    <x v="6"/>
    <s v="Black"/>
    <x v="4"/>
    <s v="Sedan"/>
  </r>
  <r>
    <n v="513"/>
    <s v="Toyota,Hatchback"/>
    <x v="0"/>
    <n v="34"/>
    <n v="76373"/>
    <x v="0"/>
    <s v="Black"/>
    <x v="1"/>
    <s v="Hatchback"/>
  </r>
  <r>
    <n v="514"/>
    <s v="Toyota,Hatchback"/>
    <x v="2"/>
    <n v="5"/>
    <n v="57822"/>
    <x v="4"/>
    <s v="Blue"/>
    <x v="1"/>
    <s v="Hatchback"/>
  </r>
  <r>
    <n v="515"/>
    <s v="Tesla,Truck"/>
    <x v="3"/>
    <n v="17"/>
    <n v="74791"/>
    <x v="5"/>
    <s v="Silver"/>
    <x v="3"/>
    <s v="Truck"/>
  </r>
  <r>
    <n v="516"/>
    <s v="Hyundai,Minivan"/>
    <x v="3"/>
    <n v="46"/>
    <n v="68651"/>
    <x v="2"/>
    <s v="Black"/>
    <x v="8"/>
    <s v="Minivan"/>
  </r>
  <r>
    <n v="517"/>
    <s v="Volkswagen,SUV"/>
    <x v="1"/>
    <n v="37"/>
    <n v="55349"/>
    <x v="1"/>
    <s v="Black"/>
    <x v="6"/>
    <s v="SUV"/>
  </r>
  <r>
    <n v="518"/>
    <s v="Ford,Convertible"/>
    <x v="0"/>
    <n v="41"/>
    <n v="90580"/>
    <x v="2"/>
    <s v="Black"/>
    <x v="0"/>
    <s v="Convertible"/>
  </r>
  <r>
    <n v="519"/>
    <s v="Hyundai,Sedan"/>
    <x v="2"/>
    <n v="5"/>
    <n v="85240"/>
    <x v="3"/>
    <s v="Red"/>
    <x v="8"/>
    <s v="Sedan"/>
  </r>
  <r>
    <n v="520"/>
    <s v="Audi,Convertible"/>
    <x v="1"/>
    <n v="32"/>
    <n v="80364"/>
    <x v="3"/>
    <s v="Gray"/>
    <x v="7"/>
    <s v="Convertible"/>
  </r>
  <r>
    <n v="521"/>
    <s v="Volkswagen,Convertible"/>
    <x v="0"/>
    <n v="30"/>
    <n v="59766"/>
    <x v="3"/>
    <s v="Red"/>
    <x v="6"/>
    <s v="Convertible"/>
  </r>
  <r>
    <n v="522"/>
    <s v="Tesla,Convertible"/>
    <x v="3"/>
    <n v="33"/>
    <n v="37650"/>
    <x v="7"/>
    <s v="Silver"/>
    <x v="3"/>
    <s v="Convertible"/>
  </r>
  <r>
    <n v="523"/>
    <s v="Audi,Truck"/>
    <x v="0"/>
    <n v="24"/>
    <n v="92025"/>
    <x v="4"/>
    <s v="Blue"/>
    <x v="7"/>
    <s v="Truck"/>
  </r>
  <r>
    <n v="524"/>
    <s v="Hyundai,Hatchback"/>
    <x v="0"/>
    <n v="4"/>
    <n v="26303"/>
    <x v="4"/>
    <s v="Silver"/>
    <x v="8"/>
    <s v="Hatchback"/>
  </r>
  <r>
    <n v="525"/>
    <s v="Audi,Sedan"/>
    <x v="2"/>
    <n v="32"/>
    <n v="55668"/>
    <x v="7"/>
    <s v="Gray"/>
    <x v="7"/>
    <s v="Sedan"/>
  </r>
  <r>
    <n v="526"/>
    <s v="Tesla,Coupe"/>
    <x v="2"/>
    <n v="37"/>
    <n v="79334"/>
    <x v="6"/>
    <s v="Blue"/>
    <x v="3"/>
    <s v="Coupe"/>
  </r>
  <r>
    <n v="527"/>
    <s v="Honda,Truck"/>
    <x v="2"/>
    <n v="11"/>
    <n v="38842"/>
    <x v="3"/>
    <s v="Gray"/>
    <x v="4"/>
    <s v="Truck"/>
  </r>
  <r>
    <n v="528"/>
    <s v="Toyota,Minivan"/>
    <x v="1"/>
    <n v="24"/>
    <n v="36596"/>
    <x v="0"/>
    <s v="White"/>
    <x v="1"/>
    <s v="Minivan"/>
  </r>
  <r>
    <n v="529"/>
    <s v="Ford,Hatchback"/>
    <x v="2"/>
    <n v="11"/>
    <n v="29286"/>
    <x v="6"/>
    <s v="Black"/>
    <x v="0"/>
    <s v="Hatchback"/>
  </r>
  <r>
    <n v="530"/>
    <s v="Audi,Minivan"/>
    <x v="1"/>
    <n v="17"/>
    <n v="61575"/>
    <x v="3"/>
    <s v="Blue"/>
    <x v="7"/>
    <s v="Minivan"/>
  </r>
  <r>
    <n v="531"/>
    <s v="Tesla,Coupe"/>
    <x v="0"/>
    <n v="50"/>
    <n v="98320"/>
    <x v="7"/>
    <s v="Black"/>
    <x v="3"/>
    <s v="Coupe"/>
  </r>
  <r>
    <n v="532"/>
    <s v="Honda,Minivan"/>
    <x v="1"/>
    <n v="7"/>
    <n v="36375"/>
    <x v="1"/>
    <s v="Gray"/>
    <x v="4"/>
    <s v="Minivan"/>
  </r>
  <r>
    <n v="533"/>
    <s v="Nissan,Hatchback"/>
    <x v="1"/>
    <n v="37"/>
    <n v="90916"/>
    <x v="0"/>
    <s v="Blue"/>
    <x v="5"/>
    <s v="Hatchback"/>
  </r>
  <r>
    <n v="534"/>
    <s v="Hyundai,Sedan"/>
    <x v="2"/>
    <n v="44"/>
    <n v="29614"/>
    <x v="5"/>
    <s v="White"/>
    <x v="8"/>
    <s v="Sedan"/>
  </r>
  <r>
    <n v="535"/>
    <s v="Toyota,Truck"/>
    <x v="2"/>
    <n v="47"/>
    <n v="30280"/>
    <x v="7"/>
    <s v="Blue"/>
    <x v="1"/>
    <s v="Truck"/>
  </r>
  <r>
    <n v="536"/>
    <s v="Nissan,Convertible"/>
    <x v="3"/>
    <n v="8"/>
    <n v="40452"/>
    <x v="2"/>
    <s v="Silver"/>
    <x v="5"/>
    <s v="Convertible"/>
  </r>
  <r>
    <n v="537"/>
    <s v="Tesla,Truck"/>
    <x v="1"/>
    <n v="15"/>
    <n v="73087"/>
    <x v="6"/>
    <s v="Red"/>
    <x v="3"/>
    <s v="Truck"/>
  </r>
  <r>
    <n v="538"/>
    <s v="Ford,Truck"/>
    <x v="0"/>
    <n v="48"/>
    <n v="41300"/>
    <x v="3"/>
    <s v="Black"/>
    <x v="0"/>
    <s v="Truck"/>
  </r>
  <r>
    <n v="539"/>
    <s v="Hyundai,Sedan"/>
    <x v="3"/>
    <n v="33"/>
    <n v="36819"/>
    <x v="7"/>
    <s v="Red"/>
    <x v="8"/>
    <s v="Sedan"/>
  </r>
  <r>
    <n v="540"/>
    <s v="Honda,Convertible"/>
    <x v="3"/>
    <n v="1"/>
    <n v="97304"/>
    <x v="6"/>
    <s v="Blue"/>
    <x v="4"/>
    <s v="Convertible"/>
  </r>
  <r>
    <n v="541"/>
    <s v="Hyundai,Convertible"/>
    <x v="3"/>
    <n v="3"/>
    <n v="76299"/>
    <x v="0"/>
    <s v="Silver"/>
    <x v="8"/>
    <s v="Convertible"/>
  </r>
  <r>
    <n v="542"/>
    <s v="Nissan,SUV"/>
    <x v="2"/>
    <n v="1"/>
    <n v="32137"/>
    <x v="3"/>
    <s v="Blue"/>
    <x v="5"/>
    <s v="SUV"/>
  </r>
  <r>
    <n v="543"/>
    <s v="Nissan,SUV"/>
    <x v="2"/>
    <n v="16"/>
    <n v="85083"/>
    <x v="0"/>
    <s v="White"/>
    <x v="5"/>
    <s v="SUV"/>
  </r>
  <r>
    <n v="544"/>
    <s v="Volkswagen,Hatchback"/>
    <x v="2"/>
    <n v="3"/>
    <n v="93655"/>
    <x v="7"/>
    <s v="White"/>
    <x v="6"/>
    <s v="Hatchback"/>
  </r>
  <r>
    <n v="545"/>
    <s v="BMW,Coupe"/>
    <x v="0"/>
    <n v="31"/>
    <n v="90693"/>
    <x v="2"/>
    <s v="White"/>
    <x v="9"/>
    <s v="Coupe"/>
  </r>
  <r>
    <n v="546"/>
    <s v="Hyundai,SUV"/>
    <x v="1"/>
    <n v="24"/>
    <n v="39973"/>
    <x v="1"/>
    <s v="Blue"/>
    <x v="8"/>
    <s v="SUV"/>
  </r>
  <r>
    <n v="547"/>
    <s v="Volkswagen,Minivan"/>
    <x v="3"/>
    <n v="25"/>
    <n v="89748"/>
    <x v="2"/>
    <s v="Gray"/>
    <x v="6"/>
    <s v="Minivan"/>
  </r>
  <r>
    <n v="548"/>
    <s v="Nissan,Sedan"/>
    <x v="2"/>
    <n v="10"/>
    <n v="64646"/>
    <x v="7"/>
    <s v="White"/>
    <x v="5"/>
    <s v="Sedan"/>
  </r>
  <r>
    <n v="549"/>
    <s v="Audi,Truck"/>
    <x v="1"/>
    <n v="12"/>
    <n v="76522"/>
    <x v="5"/>
    <s v="Gray"/>
    <x v="7"/>
    <s v="Truck"/>
  </r>
  <r>
    <n v="550"/>
    <s v="Nissan,Minivan"/>
    <x v="3"/>
    <n v="3"/>
    <n v="99360"/>
    <x v="7"/>
    <s v="Gray"/>
    <x v="5"/>
    <s v="Minivan"/>
  </r>
  <r>
    <n v="551"/>
    <s v="Hyundai,Convertible"/>
    <x v="1"/>
    <n v="36"/>
    <n v="36497"/>
    <x v="3"/>
    <s v="Blue"/>
    <x v="8"/>
    <s v="Convertible"/>
  </r>
  <r>
    <n v="552"/>
    <s v="Honda,Truck"/>
    <x v="3"/>
    <n v="46"/>
    <n v="91104"/>
    <x v="5"/>
    <s v="Blue"/>
    <x v="4"/>
    <s v="Truck"/>
  </r>
  <r>
    <n v="553"/>
    <s v="Hyundai,Sedan"/>
    <x v="1"/>
    <n v="48"/>
    <n v="43921"/>
    <x v="3"/>
    <s v="Silver"/>
    <x v="8"/>
    <s v="Sedan"/>
  </r>
  <r>
    <n v="554"/>
    <s v="Hyundai,Minivan"/>
    <x v="2"/>
    <n v="42"/>
    <n v="93215"/>
    <x v="6"/>
    <s v="Gray"/>
    <x v="8"/>
    <s v="Minivan"/>
  </r>
  <r>
    <n v="555"/>
    <s v="Chevrolet,Truck"/>
    <x v="1"/>
    <n v="27"/>
    <n v="72467"/>
    <x v="3"/>
    <s v="Black"/>
    <x v="2"/>
    <s v="Truck"/>
  </r>
  <r>
    <n v="556"/>
    <s v="Tesla,Convertible"/>
    <x v="1"/>
    <n v="15"/>
    <n v="73063"/>
    <x v="3"/>
    <s v="Red"/>
    <x v="3"/>
    <s v="Convertible"/>
  </r>
  <r>
    <n v="557"/>
    <s v="Chevrolet,SUV"/>
    <x v="3"/>
    <n v="21"/>
    <n v="66942"/>
    <x v="6"/>
    <s v="Gray"/>
    <x v="2"/>
    <s v="SUV"/>
  </r>
  <r>
    <n v="558"/>
    <s v="Nissan,Minivan"/>
    <x v="1"/>
    <n v="16"/>
    <n v="35441"/>
    <x v="1"/>
    <s v="Black"/>
    <x v="5"/>
    <s v="Minivan"/>
  </r>
  <r>
    <n v="559"/>
    <s v="Hyundai,Coupe"/>
    <x v="0"/>
    <n v="27"/>
    <n v="74626"/>
    <x v="6"/>
    <s v="Red"/>
    <x v="8"/>
    <s v="Coupe"/>
  </r>
  <r>
    <n v="560"/>
    <s v="Tesla,Minivan"/>
    <x v="3"/>
    <n v="47"/>
    <n v="28491"/>
    <x v="6"/>
    <s v="Red"/>
    <x v="3"/>
    <s v="Minivan"/>
  </r>
  <r>
    <n v="561"/>
    <s v="Chevrolet,Convertible"/>
    <x v="1"/>
    <n v="21"/>
    <n v="33673"/>
    <x v="6"/>
    <s v="Blue"/>
    <x v="2"/>
    <s v="Convertible"/>
  </r>
  <r>
    <n v="562"/>
    <s v="Hyundai,Minivan"/>
    <x v="0"/>
    <n v="18"/>
    <n v="48239"/>
    <x v="4"/>
    <s v="White"/>
    <x v="8"/>
    <s v="Minivan"/>
  </r>
  <r>
    <n v="563"/>
    <s v="Ford,Minivan"/>
    <x v="3"/>
    <n v="5"/>
    <n v="34831"/>
    <x v="1"/>
    <s v="White"/>
    <x v="0"/>
    <s v="Minivan"/>
  </r>
  <r>
    <n v="564"/>
    <s v="Chevrolet,Convertible"/>
    <x v="2"/>
    <n v="37"/>
    <n v="57389"/>
    <x v="3"/>
    <s v="White"/>
    <x v="2"/>
    <s v="Convertible"/>
  </r>
  <r>
    <n v="565"/>
    <s v="Tesla,Convertible"/>
    <x v="3"/>
    <n v="24"/>
    <n v="71636"/>
    <x v="2"/>
    <s v="Black"/>
    <x v="3"/>
    <s v="Convertible"/>
  </r>
  <r>
    <n v="566"/>
    <s v="Chevrolet,Hatchback"/>
    <x v="3"/>
    <n v="8"/>
    <n v="81508"/>
    <x v="0"/>
    <s v="White"/>
    <x v="2"/>
    <s v="Hatchback"/>
  </r>
  <r>
    <n v="567"/>
    <s v="BMW,Hatchback"/>
    <x v="1"/>
    <n v="33"/>
    <n v="42911"/>
    <x v="1"/>
    <s v="Gray"/>
    <x v="9"/>
    <s v="Hatchback"/>
  </r>
  <r>
    <n v="568"/>
    <s v="BMW,Convertible"/>
    <x v="0"/>
    <n v="44"/>
    <n v="37120"/>
    <x v="3"/>
    <s v="Silver"/>
    <x v="9"/>
    <s v="Convertible"/>
  </r>
  <r>
    <n v="569"/>
    <s v="Nissan,Sedan"/>
    <x v="3"/>
    <n v="4"/>
    <n v="60164"/>
    <x v="4"/>
    <s v="Blue"/>
    <x v="5"/>
    <s v="Sedan"/>
  </r>
  <r>
    <n v="570"/>
    <s v="Ford,Convertible"/>
    <x v="3"/>
    <n v="12"/>
    <n v="43911"/>
    <x v="4"/>
    <s v="White"/>
    <x v="0"/>
    <s v="Convertible"/>
  </r>
  <r>
    <n v="571"/>
    <s v="Honda,Hatchback"/>
    <x v="3"/>
    <n v="15"/>
    <n v="25829"/>
    <x v="1"/>
    <s v="Gray"/>
    <x v="4"/>
    <s v="Hatchback"/>
  </r>
  <r>
    <n v="572"/>
    <s v="Honda,Minivan"/>
    <x v="1"/>
    <n v="34"/>
    <n v="60216"/>
    <x v="2"/>
    <s v="Gray"/>
    <x v="4"/>
    <s v="Minivan"/>
  </r>
  <r>
    <n v="573"/>
    <s v="Tesla,Hatchback"/>
    <x v="3"/>
    <n v="3"/>
    <n v="82999"/>
    <x v="4"/>
    <s v="White"/>
    <x v="3"/>
    <s v="Hatchback"/>
  </r>
  <r>
    <n v="574"/>
    <s v="Audi,Truck"/>
    <x v="0"/>
    <n v="26"/>
    <n v="99562"/>
    <x v="0"/>
    <s v="White"/>
    <x v="7"/>
    <s v="Truck"/>
  </r>
  <r>
    <n v="575"/>
    <s v="Honda,Sedan"/>
    <x v="1"/>
    <n v="5"/>
    <n v="81867"/>
    <x v="2"/>
    <s v="Black"/>
    <x v="4"/>
    <s v="Sedan"/>
  </r>
  <r>
    <n v="576"/>
    <s v="Tesla,SUV"/>
    <x v="2"/>
    <n v="30"/>
    <n v="50802"/>
    <x v="2"/>
    <s v="Blue"/>
    <x v="3"/>
    <s v="SUV"/>
  </r>
  <r>
    <n v="577"/>
    <s v="Ford,Truck"/>
    <x v="2"/>
    <n v="19"/>
    <n v="70947"/>
    <x v="2"/>
    <s v="Silver"/>
    <x v="0"/>
    <s v="Truck"/>
  </r>
  <r>
    <n v="578"/>
    <s v="Audi,Hatchback"/>
    <x v="1"/>
    <n v="50"/>
    <n v="46825"/>
    <x v="2"/>
    <s v="White"/>
    <x v="7"/>
    <s v="Hatchback"/>
  </r>
  <r>
    <n v="579"/>
    <s v="Audi,Minivan"/>
    <x v="0"/>
    <n v="20"/>
    <n v="95044"/>
    <x v="1"/>
    <s v="Red"/>
    <x v="7"/>
    <s v="Minivan"/>
  </r>
  <r>
    <n v="580"/>
    <s v="BMW,Truck"/>
    <x v="1"/>
    <n v="21"/>
    <n v="91142"/>
    <x v="1"/>
    <s v="Black"/>
    <x v="9"/>
    <s v="Truck"/>
  </r>
  <r>
    <n v="581"/>
    <s v="Nissan,Truck"/>
    <x v="1"/>
    <n v="6"/>
    <n v="64988"/>
    <x v="2"/>
    <s v="White"/>
    <x v="5"/>
    <s v="Truck"/>
  </r>
  <r>
    <n v="582"/>
    <s v="Hyundai,Truck"/>
    <x v="1"/>
    <n v="36"/>
    <n v="71250"/>
    <x v="6"/>
    <s v="White"/>
    <x v="8"/>
    <s v="Truck"/>
  </r>
  <r>
    <n v="583"/>
    <s v="Audi,Sedan"/>
    <x v="1"/>
    <n v="30"/>
    <n v="36853"/>
    <x v="6"/>
    <s v="Gray"/>
    <x v="7"/>
    <s v="Sedan"/>
  </r>
  <r>
    <n v="584"/>
    <s v="Toyota,SUV"/>
    <x v="3"/>
    <n v="1"/>
    <n v="95347"/>
    <x v="1"/>
    <s v="Black"/>
    <x v="1"/>
    <s v="SUV"/>
  </r>
  <r>
    <n v="585"/>
    <s v="Tesla,Minivan"/>
    <x v="2"/>
    <n v="24"/>
    <n v="83598"/>
    <x v="5"/>
    <s v="Silver"/>
    <x v="3"/>
    <s v="Minivan"/>
  </r>
  <r>
    <n v="586"/>
    <s v="Audi,SUV"/>
    <x v="0"/>
    <n v="13"/>
    <n v="91231"/>
    <x v="2"/>
    <s v="Gray"/>
    <x v="7"/>
    <s v="SUV"/>
  </r>
  <r>
    <n v="587"/>
    <s v="Audi,Convertible"/>
    <x v="3"/>
    <n v="19"/>
    <n v="62001"/>
    <x v="0"/>
    <s v="Red"/>
    <x v="7"/>
    <s v="Convertible"/>
  </r>
  <r>
    <n v="588"/>
    <s v="Volkswagen,Hatchback"/>
    <x v="2"/>
    <n v="37"/>
    <n v="84428"/>
    <x v="0"/>
    <s v="Red"/>
    <x v="6"/>
    <s v="Hatchback"/>
  </r>
  <r>
    <n v="589"/>
    <s v="Toyota,Coupe"/>
    <x v="1"/>
    <n v="20"/>
    <n v="42380"/>
    <x v="1"/>
    <s v="Silver"/>
    <x v="1"/>
    <s v="Coupe"/>
  </r>
  <r>
    <n v="590"/>
    <s v="Volkswagen,Sedan"/>
    <x v="2"/>
    <n v="48"/>
    <n v="98201"/>
    <x v="7"/>
    <s v="Gray"/>
    <x v="6"/>
    <s v="Sedan"/>
  </r>
  <r>
    <n v="591"/>
    <s v="Audi,SUV"/>
    <x v="2"/>
    <n v="40"/>
    <n v="67108"/>
    <x v="7"/>
    <s v="Black"/>
    <x v="7"/>
    <s v="SUV"/>
  </r>
  <r>
    <n v="592"/>
    <s v="Hyundai,Hatchback"/>
    <x v="3"/>
    <n v="16"/>
    <n v="45986"/>
    <x v="5"/>
    <s v="White"/>
    <x v="8"/>
    <s v="Hatchback"/>
  </r>
  <r>
    <n v="593"/>
    <s v="Toyota,Hatchback"/>
    <x v="3"/>
    <n v="30"/>
    <n v="80023"/>
    <x v="7"/>
    <s v="Silver"/>
    <x v="1"/>
    <s v="Hatchback"/>
  </r>
  <r>
    <n v="594"/>
    <s v="BMW,Sedan"/>
    <x v="0"/>
    <n v="24"/>
    <n v="76205"/>
    <x v="4"/>
    <s v="Gray"/>
    <x v="9"/>
    <s v="Sedan"/>
  </r>
  <r>
    <n v="595"/>
    <s v="Chevrolet,Sedan"/>
    <x v="1"/>
    <n v="38"/>
    <n v="79130"/>
    <x v="5"/>
    <s v="Black"/>
    <x v="2"/>
    <s v="Sedan"/>
  </r>
  <r>
    <n v="596"/>
    <s v="Audi,Hatchback"/>
    <x v="1"/>
    <n v="32"/>
    <n v="58279"/>
    <x v="7"/>
    <s v="Black"/>
    <x v="7"/>
    <s v="Hatchback"/>
  </r>
  <r>
    <n v="597"/>
    <s v="Audi,Convertible"/>
    <x v="1"/>
    <n v="50"/>
    <n v="76277"/>
    <x v="5"/>
    <s v="Black"/>
    <x v="7"/>
    <s v="Convertible"/>
  </r>
  <r>
    <n v="598"/>
    <s v="Nissan,SUV"/>
    <x v="2"/>
    <n v="50"/>
    <n v="67774"/>
    <x v="6"/>
    <s v="Black"/>
    <x v="5"/>
    <s v="SUV"/>
  </r>
  <r>
    <n v="599"/>
    <s v="Nissan,Coupe"/>
    <x v="2"/>
    <n v="13"/>
    <n v="87684"/>
    <x v="6"/>
    <s v="Red"/>
    <x v="5"/>
    <s v="Coupe"/>
  </r>
  <r>
    <n v="600"/>
    <s v="Volkswagen,Coupe"/>
    <x v="1"/>
    <n v="47"/>
    <n v="91588"/>
    <x v="2"/>
    <s v="Black"/>
    <x v="6"/>
    <s v="Coupe"/>
  </r>
  <r>
    <n v="601"/>
    <s v="Tesla,Coupe"/>
    <x v="0"/>
    <n v="35"/>
    <n v="92000"/>
    <x v="7"/>
    <s v="Gray"/>
    <x v="3"/>
    <s v="Coupe"/>
  </r>
  <r>
    <n v="602"/>
    <s v="Hyundai,Truck"/>
    <x v="2"/>
    <n v="49"/>
    <n v="65108"/>
    <x v="5"/>
    <s v="Silver"/>
    <x v="8"/>
    <s v="Truck"/>
  </r>
  <r>
    <n v="603"/>
    <s v="Tesla,SUV"/>
    <x v="0"/>
    <n v="16"/>
    <n v="46916"/>
    <x v="4"/>
    <s v="White"/>
    <x v="3"/>
    <s v="SUV"/>
  </r>
  <r>
    <n v="604"/>
    <s v="Chevrolet,Truck"/>
    <x v="2"/>
    <n v="10"/>
    <n v="80206"/>
    <x v="3"/>
    <s v="White"/>
    <x v="2"/>
    <s v="Truck"/>
  </r>
  <r>
    <n v="605"/>
    <s v="Audi,Truck"/>
    <x v="3"/>
    <n v="1"/>
    <n v="82751"/>
    <x v="7"/>
    <s v="Gray"/>
    <x v="7"/>
    <s v="Truck"/>
  </r>
  <r>
    <n v="606"/>
    <s v="Hyundai,Hatchback"/>
    <x v="3"/>
    <n v="27"/>
    <n v="26835"/>
    <x v="0"/>
    <s v="Gray"/>
    <x v="8"/>
    <s v="Hatchback"/>
  </r>
  <r>
    <n v="607"/>
    <s v="Toyota,Truck"/>
    <x v="1"/>
    <n v="2"/>
    <n v="72724"/>
    <x v="2"/>
    <s v="Blue"/>
    <x v="1"/>
    <s v="Truck"/>
  </r>
  <r>
    <n v="608"/>
    <s v="Audi,Minivan"/>
    <x v="3"/>
    <n v="15"/>
    <n v="61554"/>
    <x v="4"/>
    <s v="Gray"/>
    <x v="7"/>
    <s v="Minivan"/>
  </r>
  <r>
    <n v="609"/>
    <s v="BMW,Convertible"/>
    <x v="2"/>
    <n v="35"/>
    <n v="45733"/>
    <x v="4"/>
    <s v="Gray"/>
    <x v="9"/>
    <s v="Convertible"/>
  </r>
  <r>
    <n v="610"/>
    <s v="Audi,Convertible"/>
    <x v="2"/>
    <n v="23"/>
    <n v="43442"/>
    <x v="5"/>
    <s v="Silver"/>
    <x v="7"/>
    <s v="Convertible"/>
  </r>
  <r>
    <n v="611"/>
    <s v="Honda,Sedan"/>
    <x v="3"/>
    <n v="41"/>
    <n v="73196"/>
    <x v="2"/>
    <s v="Blue"/>
    <x v="4"/>
    <s v="Sedan"/>
  </r>
  <r>
    <n v="612"/>
    <s v="Hyundai,Sedan"/>
    <x v="3"/>
    <n v="45"/>
    <n v="65906"/>
    <x v="6"/>
    <s v="Silver"/>
    <x v="8"/>
    <s v="Sedan"/>
  </r>
  <r>
    <n v="613"/>
    <s v="Honda,SUV"/>
    <x v="3"/>
    <n v="1"/>
    <n v="35450"/>
    <x v="6"/>
    <s v="Black"/>
    <x v="4"/>
    <s v="SUV"/>
  </r>
  <r>
    <n v="614"/>
    <s v="Volkswagen,SUV"/>
    <x v="1"/>
    <n v="22"/>
    <n v="50789"/>
    <x v="5"/>
    <s v="Gray"/>
    <x v="6"/>
    <s v="SUV"/>
  </r>
  <r>
    <n v="615"/>
    <s v="Nissan,Minivan"/>
    <x v="3"/>
    <n v="1"/>
    <n v="85804"/>
    <x v="5"/>
    <s v="Gray"/>
    <x v="5"/>
    <s v="Minivan"/>
  </r>
  <r>
    <n v="616"/>
    <s v="Toyota,Convertible"/>
    <x v="2"/>
    <n v="49"/>
    <n v="49006"/>
    <x v="3"/>
    <s v="Blue"/>
    <x v="1"/>
    <s v="Convertible"/>
  </r>
  <r>
    <n v="617"/>
    <s v="Audi,Sedan"/>
    <x v="3"/>
    <n v="43"/>
    <n v="93489"/>
    <x v="1"/>
    <s v="Black"/>
    <x v="7"/>
    <s v="Sedan"/>
  </r>
  <r>
    <n v="618"/>
    <s v="Volkswagen,Hatchback"/>
    <x v="1"/>
    <n v="25"/>
    <n v="98934"/>
    <x v="6"/>
    <s v="Silver"/>
    <x v="6"/>
    <s v="Hatchback"/>
  </r>
  <r>
    <n v="619"/>
    <s v="Volkswagen,Sedan"/>
    <x v="1"/>
    <n v="48"/>
    <n v="62581"/>
    <x v="3"/>
    <s v="Red"/>
    <x v="6"/>
    <s v="Sedan"/>
  </r>
  <r>
    <n v="620"/>
    <s v="Toyota,Truck"/>
    <x v="2"/>
    <n v="47"/>
    <n v="27103"/>
    <x v="2"/>
    <s v="Gray"/>
    <x v="1"/>
    <s v="Truck"/>
  </r>
  <r>
    <n v="621"/>
    <s v="Ford,Coupe"/>
    <x v="2"/>
    <n v="20"/>
    <n v="40433"/>
    <x v="0"/>
    <s v="Red"/>
    <x v="0"/>
    <s v="Coupe"/>
  </r>
  <r>
    <n v="622"/>
    <s v="Audi,Hatchback"/>
    <x v="3"/>
    <n v="7"/>
    <n v="48810"/>
    <x v="4"/>
    <s v="Red"/>
    <x v="7"/>
    <s v="Hatchback"/>
  </r>
  <r>
    <n v="623"/>
    <s v="Honda,Coupe"/>
    <x v="2"/>
    <n v="14"/>
    <n v="28815"/>
    <x v="0"/>
    <s v="Red"/>
    <x v="4"/>
    <s v="Coupe"/>
  </r>
  <r>
    <n v="624"/>
    <s v="Hyundai,Coupe"/>
    <x v="0"/>
    <n v="34"/>
    <n v="28127"/>
    <x v="3"/>
    <s v="White"/>
    <x v="8"/>
    <s v="Coupe"/>
  </r>
  <r>
    <n v="625"/>
    <s v="Honda,Convertible"/>
    <x v="2"/>
    <n v="16"/>
    <n v="34188"/>
    <x v="5"/>
    <s v="Red"/>
    <x v="4"/>
    <s v="Convertible"/>
  </r>
  <r>
    <n v="626"/>
    <s v="Toyota,Coupe"/>
    <x v="0"/>
    <n v="27"/>
    <n v="66580"/>
    <x v="7"/>
    <s v="Silver"/>
    <x v="1"/>
    <s v="Coupe"/>
  </r>
  <r>
    <n v="627"/>
    <s v="Chevrolet,Coupe"/>
    <x v="0"/>
    <n v="32"/>
    <n v="89391"/>
    <x v="1"/>
    <s v="Red"/>
    <x v="2"/>
    <s v="Coupe"/>
  </r>
  <r>
    <n v="628"/>
    <s v="Audi,Truck"/>
    <x v="2"/>
    <n v="4"/>
    <n v="75598"/>
    <x v="3"/>
    <s v="Gray"/>
    <x v="7"/>
    <s v="Truck"/>
  </r>
  <r>
    <n v="629"/>
    <s v="BMW,SUV"/>
    <x v="0"/>
    <n v="10"/>
    <n v="39512"/>
    <x v="7"/>
    <s v="White"/>
    <x v="9"/>
    <s v="SUV"/>
  </r>
  <r>
    <n v="630"/>
    <s v="Tesla,Minivan"/>
    <x v="2"/>
    <n v="46"/>
    <n v="67858"/>
    <x v="2"/>
    <s v="Black"/>
    <x v="3"/>
    <s v="Minivan"/>
  </r>
  <r>
    <n v="631"/>
    <s v="Hyundai,Convertible"/>
    <x v="2"/>
    <n v="18"/>
    <n v="78673"/>
    <x v="2"/>
    <s v="Blue"/>
    <x v="8"/>
    <s v="Convertible"/>
  </r>
  <r>
    <n v="632"/>
    <s v="BMW,Sedan"/>
    <x v="1"/>
    <n v="6"/>
    <n v="48734"/>
    <x v="1"/>
    <s v="Gray"/>
    <x v="9"/>
    <s v="Sedan"/>
  </r>
  <r>
    <n v="633"/>
    <s v="BMW,Truck"/>
    <x v="0"/>
    <n v="3"/>
    <n v="66197"/>
    <x v="1"/>
    <s v="Black"/>
    <x v="9"/>
    <s v="Truck"/>
  </r>
  <r>
    <n v="634"/>
    <s v="Audi,Coupe"/>
    <x v="0"/>
    <n v="15"/>
    <n v="67244"/>
    <x v="3"/>
    <s v="Black"/>
    <x v="7"/>
    <s v="Coupe"/>
  </r>
  <r>
    <n v="635"/>
    <s v="Chevrolet,Sedan"/>
    <x v="3"/>
    <n v="34"/>
    <n v="63720"/>
    <x v="6"/>
    <s v="Blue"/>
    <x v="2"/>
    <s v="Sedan"/>
  </r>
  <r>
    <n v="636"/>
    <s v="Audi,Truck"/>
    <x v="2"/>
    <n v="27"/>
    <n v="87623"/>
    <x v="7"/>
    <s v="Red"/>
    <x v="7"/>
    <s v="Truck"/>
  </r>
  <r>
    <n v="637"/>
    <s v="Chevrolet,Hatchback"/>
    <x v="1"/>
    <n v="45"/>
    <n v="55787"/>
    <x v="1"/>
    <s v="Red"/>
    <x v="2"/>
    <s v="Hatchback"/>
  </r>
  <r>
    <n v="638"/>
    <s v="Ford,Hatchback"/>
    <x v="1"/>
    <n v="24"/>
    <n v="28290"/>
    <x v="7"/>
    <s v="Silver"/>
    <x v="0"/>
    <s v="Hatchback"/>
  </r>
  <r>
    <n v="639"/>
    <s v="Hyundai,Convertible"/>
    <x v="3"/>
    <n v="30"/>
    <n v="30532"/>
    <x v="5"/>
    <s v="Red"/>
    <x v="8"/>
    <s v="Convertible"/>
  </r>
  <r>
    <n v="640"/>
    <s v="Toyota,Coupe"/>
    <x v="0"/>
    <n v="48"/>
    <n v="89417"/>
    <x v="7"/>
    <s v="Red"/>
    <x v="1"/>
    <s v="Coupe"/>
  </r>
  <r>
    <n v="641"/>
    <s v="Nissan,Convertible"/>
    <x v="1"/>
    <n v="6"/>
    <n v="57366"/>
    <x v="2"/>
    <s v="Silver"/>
    <x v="5"/>
    <s v="Convertible"/>
  </r>
  <r>
    <n v="642"/>
    <s v="Toyota,Hatchback"/>
    <x v="0"/>
    <n v="38"/>
    <n v="36870"/>
    <x v="4"/>
    <s v="Gray"/>
    <x v="1"/>
    <s v="Hatchback"/>
  </r>
  <r>
    <n v="643"/>
    <s v="BMW,Truck"/>
    <x v="1"/>
    <n v="7"/>
    <n v="28210"/>
    <x v="2"/>
    <s v="Blue"/>
    <x v="9"/>
    <s v="Truck"/>
  </r>
  <r>
    <n v="644"/>
    <s v="Tesla,Sedan"/>
    <x v="1"/>
    <n v="33"/>
    <n v="44620"/>
    <x v="6"/>
    <s v="Silver"/>
    <x v="3"/>
    <s v="Sedan"/>
  </r>
  <r>
    <n v="645"/>
    <s v="Ford,SUV"/>
    <x v="2"/>
    <n v="9"/>
    <n v="71210"/>
    <x v="4"/>
    <s v="Gray"/>
    <x v="0"/>
    <s v="SUV"/>
  </r>
  <r>
    <n v="646"/>
    <s v="Toyota,Coupe"/>
    <x v="0"/>
    <n v="41"/>
    <n v="70822"/>
    <x v="7"/>
    <s v="Red"/>
    <x v="1"/>
    <s v="Coupe"/>
  </r>
  <r>
    <n v="647"/>
    <s v="Toyota,Convertible"/>
    <x v="1"/>
    <n v="26"/>
    <n v="81009"/>
    <x v="1"/>
    <s v="Gray"/>
    <x v="1"/>
    <s v="Convertible"/>
  </r>
  <r>
    <n v="648"/>
    <s v="Tesla,Sedan"/>
    <x v="2"/>
    <n v="5"/>
    <n v="55078"/>
    <x v="0"/>
    <s v="Red"/>
    <x v="3"/>
    <s v="Sedan"/>
  </r>
  <r>
    <n v="649"/>
    <s v="Tesla,Sedan"/>
    <x v="1"/>
    <n v="38"/>
    <n v="96112"/>
    <x v="3"/>
    <s v="Red"/>
    <x v="3"/>
    <s v="Sedan"/>
  </r>
  <r>
    <n v="650"/>
    <s v="Toyota,SUV"/>
    <x v="2"/>
    <n v="37"/>
    <n v="29584"/>
    <x v="6"/>
    <s v="Silver"/>
    <x v="1"/>
    <s v="SUV"/>
  </r>
  <r>
    <n v="651"/>
    <s v="Volkswagen,Truck"/>
    <x v="2"/>
    <n v="4"/>
    <n v="91573"/>
    <x v="1"/>
    <s v="Blue"/>
    <x v="6"/>
    <s v="Truck"/>
  </r>
  <r>
    <n v="652"/>
    <s v="Honda,SUV"/>
    <x v="0"/>
    <n v="28"/>
    <n v="82713"/>
    <x v="5"/>
    <s v="White"/>
    <x v="4"/>
    <s v="SUV"/>
  </r>
  <r>
    <n v="653"/>
    <s v="Tesla,Minivan"/>
    <x v="2"/>
    <n v="43"/>
    <n v="81762"/>
    <x v="1"/>
    <s v="Gray"/>
    <x v="3"/>
    <s v="Minivan"/>
  </r>
  <r>
    <n v="654"/>
    <s v="Honda,SUV"/>
    <x v="1"/>
    <n v="9"/>
    <n v="74063"/>
    <x v="4"/>
    <s v="Gray"/>
    <x v="4"/>
    <s v="SUV"/>
  </r>
  <r>
    <n v="655"/>
    <s v="Hyundai,Minivan"/>
    <x v="3"/>
    <n v="16"/>
    <n v="74589"/>
    <x v="4"/>
    <s v="Silver"/>
    <x v="8"/>
    <s v="Minivan"/>
  </r>
  <r>
    <n v="656"/>
    <s v="Ford,Truck"/>
    <x v="1"/>
    <n v="19"/>
    <n v="55769"/>
    <x v="2"/>
    <s v="Blue"/>
    <x v="0"/>
    <s v="Truck"/>
  </r>
  <r>
    <n v="657"/>
    <s v="Volkswagen,Truck"/>
    <x v="1"/>
    <n v="17"/>
    <n v="69770"/>
    <x v="3"/>
    <s v="Red"/>
    <x v="6"/>
    <s v="Truck"/>
  </r>
  <r>
    <n v="658"/>
    <s v="Tesla,Truck"/>
    <x v="2"/>
    <n v="21"/>
    <n v="91477"/>
    <x v="0"/>
    <s v="Gray"/>
    <x v="3"/>
    <s v="Truck"/>
  </r>
  <r>
    <n v="659"/>
    <s v="Hyundai,Sedan"/>
    <x v="1"/>
    <n v="26"/>
    <n v="27338"/>
    <x v="7"/>
    <s v="Blue"/>
    <x v="8"/>
    <s v="Sedan"/>
  </r>
  <r>
    <n v="660"/>
    <s v="Chevrolet,Sedan"/>
    <x v="2"/>
    <n v="45"/>
    <n v="42992"/>
    <x v="1"/>
    <s v="Black"/>
    <x v="2"/>
    <s v="Sedan"/>
  </r>
  <r>
    <n v="661"/>
    <s v="BMW,Coupe"/>
    <x v="0"/>
    <n v="48"/>
    <n v="33633"/>
    <x v="5"/>
    <s v="Black"/>
    <x v="9"/>
    <s v="Coupe"/>
  </r>
  <r>
    <n v="662"/>
    <s v="Honda,Hatchback"/>
    <x v="2"/>
    <n v="21"/>
    <n v="68092"/>
    <x v="3"/>
    <s v="White"/>
    <x v="4"/>
    <s v="Hatchback"/>
  </r>
  <r>
    <n v="663"/>
    <s v="Volkswagen,Coupe"/>
    <x v="0"/>
    <n v="21"/>
    <n v="82789"/>
    <x v="1"/>
    <s v="Gray"/>
    <x v="6"/>
    <s v="Coupe"/>
  </r>
  <r>
    <n v="664"/>
    <s v="Volkswagen,SUV"/>
    <x v="3"/>
    <n v="29"/>
    <n v="85688"/>
    <x v="1"/>
    <s v="Red"/>
    <x v="6"/>
    <s v="SUV"/>
  </r>
  <r>
    <n v="665"/>
    <s v="Ford,SUV"/>
    <x v="1"/>
    <n v="18"/>
    <n v="32943"/>
    <x v="4"/>
    <s v="Gray"/>
    <x v="0"/>
    <s v="SUV"/>
  </r>
  <r>
    <n v="666"/>
    <s v="Honda,Coupe"/>
    <x v="0"/>
    <n v="15"/>
    <n v="49207"/>
    <x v="4"/>
    <s v="White"/>
    <x v="4"/>
    <s v="Coupe"/>
  </r>
  <r>
    <n v="667"/>
    <s v="Chevrolet,Convertible"/>
    <x v="3"/>
    <n v="5"/>
    <n v="99210"/>
    <x v="0"/>
    <s v="Black"/>
    <x v="2"/>
    <s v="Convertible"/>
  </r>
  <r>
    <n v="668"/>
    <s v="Ford,Hatchback"/>
    <x v="2"/>
    <n v="13"/>
    <n v="72120"/>
    <x v="6"/>
    <s v="White"/>
    <x v="0"/>
    <s v="Hatchback"/>
  </r>
  <r>
    <n v="669"/>
    <s v="Volkswagen,SUV"/>
    <x v="3"/>
    <n v="9"/>
    <n v="93989"/>
    <x v="0"/>
    <s v="Gray"/>
    <x v="6"/>
    <s v="SUV"/>
  </r>
  <r>
    <n v="670"/>
    <s v="Toyota,Convertible"/>
    <x v="0"/>
    <n v="50"/>
    <n v="54864"/>
    <x v="1"/>
    <s v="Gray"/>
    <x v="1"/>
    <s v="Convertible"/>
  </r>
  <r>
    <n v="671"/>
    <s v="Chevrolet,Convertible"/>
    <x v="1"/>
    <n v="50"/>
    <n v="76992"/>
    <x v="6"/>
    <s v="Black"/>
    <x v="2"/>
    <s v="Convertible"/>
  </r>
  <r>
    <n v="672"/>
    <s v="Volkswagen,Minivan"/>
    <x v="3"/>
    <n v="38"/>
    <n v="39073"/>
    <x v="6"/>
    <s v="Black"/>
    <x v="6"/>
    <s v="Minivan"/>
  </r>
  <r>
    <n v="673"/>
    <s v="Audi,Hatchback"/>
    <x v="3"/>
    <n v="7"/>
    <n v="41348"/>
    <x v="6"/>
    <s v="Blue"/>
    <x v="7"/>
    <s v="Hatchback"/>
  </r>
  <r>
    <n v="674"/>
    <s v="Audi,Minivan"/>
    <x v="2"/>
    <n v="10"/>
    <n v="51867"/>
    <x v="3"/>
    <s v="Red"/>
    <x v="7"/>
    <s v="Minivan"/>
  </r>
  <r>
    <n v="675"/>
    <s v="Tesla,Truck"/>
    <x v="2"/>
    <n v="7"/>
    <n v="43988"/>
    <x v="5"/>
    <s v="Black"/>
    <x v="3"/>
    <s v="Truck"/>
  </r>
  <r>
    <n v="676"/>
    <s v="Ford,Sedan"/>
    <x v="1"/>
    <n v="11"/>
    <n v="57380"/>
    <x v="1"/>
    <s v="Red"/>
    <x v="0"/>
    <s v="Sedan"/>
  </r>
  <r>
    <n v="677"/>
    <s v="Volkswagen,Coupe"/>
    <x v="2"/>
    <n v="29"/>
    <n v="57829"/>
    <x v="2"/>
    <s v="White"/>
    <x v="6"/>
    <s v="Coupe"/>
  </r>
  <r>
    <n v="678"/>
    <s v="Tesla,Minivan"/>
    <x v="0"/>
    <n v="30"/>
    <n v="43265"/>
    <x v="3"/>
    <s v="White"/>
    <x v="3"/>
    <s v="Minivan"/>
  </r>
  <r>
    <n v="679"/>
    <s v="Ford,Hatchback"/>
    <x v="0"/>
    <n v="21"/>
    <n v="29018"/>
    <x v="3"/>
    <s v="Black"/>
    <x v="0"/>
    <s v="Hatchback"/>
  </r>
  <r>
    <n v="680"/>
    <s v="Chevrolet,Sedan"/>
    <x v="3"/>
    <n v="27"/>
    <n v="98816"/>
    <x v="1"/>
    <s v="Red"/>
    <x v="2"/>
    <s v="Sedan"/>
  </r>
  <r>
    <n v="681"/>
    <s v="Volkswagen,Coupe"/>
    <x v="2"/>
    <n v="8"/>
    <n v="80290"/>
    <x v="1"/>
    <s v="Black"/>
    <x v="6"/>
    <s v="Coupe"/>
  </r>
  <r>
    <n v="682"/>
    <s v="Ford,Sedan"/>
    <x v="2"/>
    <n v="35"/>
    <n v="58306"/>
    <x v="2"/>
    <s v="Black"/>
    <x v="0"/>
    <s v="Sedan"/>
  </r>
  <r>
    <n v="683"/>
    <s v="Volkswagen,Coupe"/>
    <x v="3"/>
    <n v="23"/>
    <n v="55615"/>
    <x v="2"/>
    <s v="Blue"/>
    <x v="6"/>
    <s v="Coupe"/>
  </r>
  <r>
    <n v="684"/>
    <s v="Toyota,Sedan"/>
    <x v="1"/>
    <n v="50"/>
    <n v="62013"/>
    <x v="6"/>
    <s v="White"/>
    <x v="1"/>
    <s v="Sedan"/>
  </r>
  <r>
    <n v="685"/>
    <s v="BMW,Minivan"/>
    <x v="2"/>
    <n v="14"/>
    <n v="67872"/>
    <x v="2"/>
    <s v="Red"/>
    <x v="9"/>
    <s v="Minivan"/>
  </r>
  <r>
    <n v="686"/>
    <s v="Nissan,Truck"/>
    <x v="2"/>
    <n v="29"/>
    <n v="40096"/>
    <x v="2"/>
    <s v="White"/>
    <x v="5"/>
    <s v="Truck"/>
  </r>
  <r>
    <n v="687"/>
    <s v="Audi,Convertible"/>
    <x v="1"/>
    <n v="20"/>
    <n v="27708"/>
    <x v="7"/>
    <s v="Blue"/>
    <x v="7"/>
    <s v="Convertible"/>
  </r>
  <r>
    <n v="688"/>
    <s v="BMW,Coupe"/>
    <x v="2"/>
    <n v="30"/>
    <n v="87283"/>
    <x v="5"/>
    <s v="Silver"/>
    <x v="9"/>
    <s v="Coupe"/>
  </r>
  <r>
    <n v="689"/>
    <s v="Ford,Convertible"/>
    <x v="0"/>
    <n v="17"/>
    <n v="54764"/>
    <x v="4"/>
    <s v="White"/>
    <x v="0"/>
    <s v="Convertible"/>
  </r>
  <r>
    <n v="690"/>
    <s v="Nissan,Coupe"/>
    <x v="0"/>
    <n v="8"/>
    <n v="26048"/>
    <x v="2"/>
    <s v="Blue"/>
    <x v="5"/>
    <s v="Coupe"/>
  </r>
  <r>
    <n v="691"/>
    <s v="BMW,Hatchback"/>
    <x v="1"/>
    <n v="6"/>
    <n v="61933"/>
    <x v="0"/>
    <s v="Gray"/>
    <x v="9"/>
    <s v="Hatchback"/>
  </r>
  <r>
    <n v="692"/>
    <s v="Toyota,Hatchback"/>
    <x v="1"/>
    <n v="11"/>
    <n v="94774"/>
    <x v="4"/>
    <s v="White"/>
    <x v="1"/>
    <s v="Hatchback"/>
  </r>
  <r>
    <n v="693"/>
    <s v="Audi,Coupe"/>
    <x v="0"/>
    <n v="44"/>
    <n v="68674"/>
    <x v="0"/>
    <s v="Red"/>
    <x v="7"/>
    <s v="Coupe"/>
  </r>
  <r>
    <n v="694"/>
    <s v="Hyundai,Truck"/>
    <x v="0"/>
    <n v="20"/>
    <n v="67227"/>
    <x v="7"/>
    <s v="Blue"/>
    <x v="8"/>
    <s v="Truck"/>
  </r>
  <r>
    <n v="695"/>
    <s v="Ford,Sedan"/>
    <x v="0"/>
    <n v="46"/>
    <n v="68037"/>
    <x v="6"/>
    <s v="Silver"/>
    <x v="0"/>
    <s v="Sedan"/>
  </r>
  <r>
    <n v="696"/>
    <s v="Audi,Coupe"/>
    <x v="0"/>
    <n v="45"/>
    <n v="58113"/>
    <x v="6"/>
    <s v="White"/>
    <x v="7"/>
    <s v="Coupe"/>
  </r>
  <r>
    <n v="697"/>
    <s v="BMW,Sedan"/>
    <x v="1"/>
    <n v="39"/>
    <n v="40966"/>
    <x v="2"/>
    <s v="Blue"/>
    <x v="9"/>
    <s v="Sedan"/>
  </r>
  <r>
    <n v="698"/>
    <s v="Hyundai,Truck"/>
    <x v="1"/>
    <n v="3"/>
    <n v="36899"/>
    <x v="4"/>
    <s v="Silver"/>
    <x v="8"/>
    <s v="Truck"/>
  </r>
  <r>
    <n v="699"/>
    <s v="Honda,SUV"/>
    <x v="3"/>
    <n v="14"/>
    <n v="71117"/>
    <x v="3"/>
    <s v="Gray"/>
    <x v="4"/>
    <s v="SUV"/>
  </r>
  <r>
    <n v="700"/>
    <s v="Audi,Minivan"/>
    <x v="1"/>
    <n v="21"/>
    <n v="46269"/>
    <x v="3"/>
    <s v="Red"/>
    <x v="7"/>
    <s v="Minivan"/>
  </r>
  <r>
    <n v="701"/>
    <s v="Honda,Convertible"/>
    <x v="0"/>
    <n v="10"/>
    <n v="33320"/>
    <x v="7"/>
    <s v="White"/>
    <x v="4"/>
    <s v="Convertible"/>
  </r>
  <r>
    <n v="702"/>
    <s v="Nissan,Coupe"/>
    <x v="2"/>
    <n v="6"/>
    <n v="64977"/>
    <x v="6"/>
    <s v="Gray"/>
    <x v="5"/>
    <s v="Coupe"/>
  </r>
  <r>
    <n v="703"/>
    <s v="Chevrolet,Minivan"/>
    <x v="0"/>
    <n v="46"/>
    <n v="33685"/>
    <x v="4"/>
    <s v="Black"/>
    <x v="2"/>
    <s v="Minivan"/>
  </r>
  <r>
    <n v="704"/>
    <s v="Volkswagen,Hatchback"/>
    <x v="0"/>
    <n v="16"/>
    <n v="47510"/>
    <x v="5"/>
    <s v="Red"/>
    <x v="6"/>
    <s v="Hatchback"/>
  </r>
  <r>
    <n v="705"/>
    <s v="Nissan,Truck"/>
    <x v="1"/>
    <n v="23"/>
    <n v="60667"/>
    <x v="7"/>
    <s v="Red"/>
    <x v="5"/>
    <s v="Truck"/>
  </r>
  <r>
    <n v="706"/>
    <s v="Hyundai,Sedan"/>
    <x v="3"/>
    <n v="26"/>
    <n v="25142"/>
    <x v="2"/>
    <s v="Red"/>
    <x v="8"/>
    <s v="Sedan"/>
  </r>
  <r>
    <n v="707"/>
    <s v="Hyundai,Coupe"/>
    <x v="2"/>
    <n v="33"/>
    <n v="86382"/>
    <x v="3"/>
    <s v="Red"/>
    <x v="8"/>
    <s v="Coupe"/>
  </r>
  <r>
    <n v="708"/>
    <s v="Audi,Minivan"/>
    <x v="2"/>
    <n v="4"/>
    <n v="39574"/>
    <x v="5"/>
    <s v="Silver"/>
    <x v="7"/>
    <s v="Minivan"/>
  </r>
  <r>
    <n v="709"/>
    <s v="Volkswagen,Sedan"/>
    <x v="3"/>
    <n v="44"/>
    <n v="35981"/>
    <x v="0"/>
    <s v="Gray"/>
    <x v="6"/>
    <s v="Sedan"/>
  </r>
  <r>
    <n v="710"/>
    <s v="Chevrolet,SUV"/>
    <x v="0"/>
    <n v="20"/>
    <n v="60846"/>
    <x v="0"/>
    <s v="Black"/>
    <x v="2"/>
    <s v="SUV"/>
  </r>
  <r>
    <n v="711"/>
    <s v="BMW,Coupe"/>
    <x v="1"/>
    <n v="17"/>
    <n v="97067"/>
    <x v="7"/>
    <s v="White"/>
    <x v="9"/>
    <s v="Coupe"/>
  </r>
  <r>
    <n v="712"/>
    <s v="Tesla,Convertible"/>
    <x v="0"/>
    <n v="12"/>
    <n v="72575"/>
    <x v="2"/>
    <s v="Red"/>
    <x v="3"/>
    <s v="Convertible"/>
  </r>
  <r>
    <n v="713"/>
    <s v="Ford,Coupe"/>
    <x v="2"/>
    <n v="2"/>
    <n v="53446"/>
    <x v="6"/>
    <s v="White"/>
    <x v="0"/>
    <s v="Coupe"/>
  </r>
  <r>
    <n v="714"/>
    <s v="Chevrolet,Convertible"/>
    <x v="2"/>
    <n v="26"/>
    <n v="73658"/>
    <x v="6"/>
    <s v="Blue"/>
    <x v="2"/>
    <s v="Convertible"/>
  </r>
  <r>
    <n v="715"/>
    <s v="Hyundai,Sedan"/>
    <x v="0"/>
    <n v="29"/>
    <n v="67188"/>
    <x v="6"/>
    <s v="Gray"/>
    <x v="8"/>
    <s v="Sedan"/>
  </r>
  <r>
    <n v="716"/>
    <s v="Tesla,Coupe"/>
    <x v="2"/>
    <n v="36"/>
    <n v="52939"/>
    <x v="5"/>
    <s v="Gray"/>
    <x v="3"/>
    <s v="Coupe"/>
  </r>
  <r>
    <n v="717"/>
    <s v="Hyundai,Minivan"/>
    <x v="1"/>
    <n v="48"/>
    <n v="45150"/>
    <x v="0"/>
    <s v="Red"/>
    <x v="8"/>
    <s v="Minivan"/>
  </r>
  <r>
    <n v="718"/>
    <s v="Volkswagen,Truck"/>
    <x v="2"/>
    <n v="36"/>
    <n v="99948"/>
    <x v="4"/>
    <s v="Red"/>
    <x v="6"/>
    <s v="Truck"/>
  </r>
  <r>
    <n v="719"/>
    <s v="Volkswagen,Hatchback"/>
    <x v="1"/>
    <n v="16"/>
    <n v="29467"/>
    <x v="7"/>
    <s v="Gray"/>
    <x v="6"/>
    <s v="Hatchback"/>
  </r>
  <r>
    <n v="720"/>
    <s v="Audi,Truck"/>
    <x v="0"/>
    <n v="7"/>
    <n v="45959"/>
    <x v="1"/>
    <s v="White"/>
    <x v="7"/>
    <s v="Truck"/>
  </r>
  <r>
    <n v="721"/>
    <s v="BMW,SUV"/>
    <x v="0"/>
    <n v="30"/>
    <n v="91618"/>
    <x v="7"/>
    <s v="Black"/>
    <x v="9"/>
    <s v="SUV"/>
  </r>
  <r>
    <n v="722"/>
    <s v="Toyota,Truck"/>
    <x v="1"/>
    <n v="7"/>
    <n v="75196"/>
    <x v="5"/>
    <s v="Blue"/>
    <x v="1"/>
    <s v="Truck"/>
  </r>
  <r>
    <n v="723"/>
    <s v="Hyundai,Minivan"/>
    <x v="1"/>
    <n v="9"/>
    <n v="88321"/>
    <x v="4"/>
    <s v="Gray"/>
    <x v="8"/>
    <s v="Minivan"/>
  </r>
  <r>
    <n v="724"/>
    <s v="BMW,SUV"/>
    <x v="1"/>
    <n v="8"/>
    <n v="44166"/>
    <x v="7"/>
    <s v="Black"/>
    <x v="9"/>
    <s v="SUV"/>
  </r>
  <r>
    <n v="725"/>
    <s v="Honda,Sedan"/>
    <x v="2"/>
    <n v="1"/>
    <n v="33462"/>
    <x v="5"/>
    <s v="White"/>
    <x v="4"/>
    <s v="Sedan"/>
  </r>
  <r>
    <n v="726"/>
    <s v="Hyundai,Convertible"/>
    <x v="0"/>
    <n v="4"/>
    <n v="37436"/>
    <x v="6"/>
    <s v="Silver"/>
    <x v="8"/>
    <s v="Convertible"/>
  </r>
  <r>
    <n v="727"/>
    <s v="Tesla,Hatchback"/>
    <x v="2"/>
    <n v="50"/>
    <n v="57618"/>
    <x v="5"/>
    <s v="Red"/>
    <x v="3"/>
    <s v="Hatchback"/>
  </r>
  <r>
    <n v="728"/>
    <s v="BMW,Sedan"/>
    <x v="2"/>
    <n v="15"/>
    <n v="71659"/>
    <x v="7"/>
    <s v="Silver"/>
    <x v="9"/>
    <s v="Sedan"/>
  </r>
  <r>
    <n v="729"/>
    <s v="Chevrolet,Convertible"/>
    <x v="1"/>
    <n v="9"/>
    <n v="28355"/>
    <x v="0"/>
    <s v="Gray"/>
    <x v="2"/>
    <s v="Convertible"/>
  </r>
  <r>
    <n v="730"/>
    <s v="BMW,Convertible"/>
    <x v="2"/>
    <n v="13"/>
    <n v="26655"/>
    <x v="7"/>
    <s v="White"/>
    <x v="9"/>
    <s v="Convertible"/>
  </r>
  <r>
    <n v="731"/>
    <s v="Chevrolet,SUV"/>
    <x v="3"/>
    <n v="26"/>
    <n v="75072"/>
    <x v="3"/>
    <s v="White"/>
    <x v="2"/>
    <s v="SUV"/>
  </r>
  <r>
    <n v="732"/>
    <s v="Volkswagen,Minivan"/>
    <x v="3"/>
    <n v="24"/>
    <n v="80603"/>
    <x v="1"/>
    <s v="White"/>
    <x v="6"/>
    <s v="Minivan"/>
  </r>
  <r>
    <n v="733"/>
    <s v="Chevrolet,Truck"/>
    <x v="3"/>
    <n v="44"/>
    <n v="87206"/>
    <x v="5"/>
    <s v="White"/>
    <x v="2"/>
    <s v="Truck"/>
  </r>
  <r>
    <n v="734"/>
    <s v="Nissan,Truck"/>
    <x v="3"/>
    <n v="41"/>
    <n v="33067"/>
    <x v="2"/>
    <s v="Gray"/>
    <x v="5"/>
    <s v="Truck"/>
  </r>
  <r>
    <n v="735"/>
    <s v="Toyota,Hatchback"/>
    <x v="3"/>
    <n v="42"/>
    <n v="39973"/>
    <x v="3"/>
    <s v="Red"/>
    <x v="1"/>
    <s v="Hatchback"/>
  </r>
  <r>
    <n v="736"/>
    <s v="Nissan,Minivan"/>
    <x v="1"/>
    <n v="6"/>
    <n v="56984"/>
    <x v="7"/>
    <s v="Silver"/>
    <x v="5"/>
    <s v="Minivan"/>
  </r>
  <r>
    <n v="737"/>
    <s v="Tesla,Hatchback"/>
    <x v="2"/>
    <n v="38"/>
    <n v="55043"/>
    <x v="5"/>
    <s v="Blue"/>
    <x v="3"/>
    <s v="Hatchback"/>
  </r>
  <r>
    <n v="738"/>
    <s v="Ford,Minivan"/>
    <x v="2"/>
    <n v="38"/>
    <n v="92323"/>
    <x v="1"/>
    <s v="Red"/>
    <x v="0"/>
    <s v="Minivan"/>
  </r>
  <r>
    <n v="739"/>
    <s v="Tesla,SUV"/>
    <x v="3"/>
    <n v="17"/>
    <n v="50443"/>
    <x v="6"/>
    <s v="White"/>
    <x v="3"/>
    <s v="SUV"/>
  </r>
  <r>
    <n v="740"/>
    <s v="Audi,SUV"/>
    <x v="2"/>
    <n v="5"/>
    <n v="36790"/>
    <x v="1"/>
    <s v="Gray"/>
    <x v="7"/>
    <s v="SUV"/>
  </r>
  <r>
    <n v="741"/>
    <s v="Hyundai,Sedan"/>
    <x v="3"/>
    <n v="2"/>
    <n v="53377"/>
    <x v="3"/>
    <s v="White"/>
    <x v="8"/>
    <s v="Sedan"/>
  </r>
  <r>
    <n v="742"/>
    <s v="Nissan,SUV"/>
    <x v="2"/>
    <n v="5"/>
    <n v="79403"/>
    <x v="2"/>
    <s v="Red"/>
    <x v="5"/>
    <s v="SUV"/>
  </r>
  <r>
    <n v="743"/>
    <s v="Tesla,Truck"/>
    <x v="1"/>
    <n v="13"/>
    <n v="75684"/>
    <x v="0"/>
    <s v="Silver"/>
    <x v="3"/>
    <s v="Truck"/>
  </r>
  <r>
    <n v="744"/>
    <s v="Hyundai,SUV"/>
    <x v="0"/>
    <n v="42"/>
    <n v="49608"/>
    <x v="3"/>
    <s v="Silver"/>
    <x v="8"/>
    <s v="SUV"/>
  </r>
  <r>
    <n v="745"/>
    <s v="Hyundai,SUV"/>
    <x v="3"/>
    <n v="29"/>
    <n v="31609"/>
    <x v="4"/>
    <s v="Black"/>
    <x v="8"/>
    <s v="SUV"/>
  </r>
  <r>
    <n v="746"/>
    <s v="Hyundai,Convertible"/>
    <x v="1"/>
    <n v="9"/>
    <n v="77229"/>
    <x v="6"/>
    <s v="Black"/>
    <x v="8"/>
    <s v="Convertible"/>
  </r>
  <r>
    <n v="747"/>
    <s v="Toyota,SUV"/>
    <x v="1"/>
    <n v="6"/>
    <n v="78859"/>
    <x v="0"/>
    <s v="Gray"/>
    <x v="1"/>
    <s v="SUV"/>
  </r>
  <r>
    <n v="748"/>
    <s v="Ford,Minivan"/>
    <x v="3"/>
    <n v="22"/>
    <n v="30846"/>
    <x v="7"/>
    <s v="Black"/>
    <x v="0"/>
    <s v="Minivan"/>
  </r>
  <r>
    <n v="749"/>
    <s v="Chevrolet,Minivan"/>
    <x v="3"/>
    <n v="8"/>
    <n v="44187"/>
    <x v="7"/>
    <s v="White"/>
    <x v="2"/>
    <s v="Minivan"/>
  </r>
  <r>
    <n v="750"/>
    <s v="Tesla,Hatchback"/>
    <x v="1"/>
    <n v="3"/>
    <n v="34896"/>
    <x v="6"/>
    <s v="Red"/>
    <x v="3"/>
    <s v="Hatchback"/>
  </r>
  <r>
    <n v="751"/>
    <s v="Audi,Sedan"/>
    <x v="3"/>
    <n v="30"/>
    <n v="80209"/>
    <x v="5"/>
    <s v="Gray"/>
    <x v="7"/>
    <s v="Sedan"/>
  </r>
  <r>
    <n v="752"/>
    <s v="Tesla,SUV"/>
    <x v="3"/>
    <n v="4"/>
    <n v="84582"/>
    <x v="2"/>
    <s v="Gray"/>
    <x v="3"/>
    <s v="SUV"/>
  </r>
  <r>
    <n v="753"/>
    <s v="Chevrolet,Minivan"/>
    <x v="0"/>
    <n v="11"/>
    <n v="87310"/>
    <x v="0"/>
    <s v="Red"/>
    <x v="2"/>
    <s v="Minivan"/>
  </r>
  <r>
    <n v="754"/>
    <s v="Volkswagen,Hatchback"/>
    <x v="0"/>
    <n v="37"/>
    <n v="92277"/>
    <x v="1"/>
    <s v="Black"/>
    <x v="6"/>
    <s v="Hatchback"/>
  </r>
  <r>
    <n v="755"/>
    <s v="BMW,Coupe"/>
    <x v="3"/>
    <n v="28"/>
    <n v="85145"/>
    <x v="4"/>
    <s v="Silver"/>
    <x v="9"/>
    <s v="Coupe"/>
  </r>
  <r>
    <n v="756"/>
    <s v="Hyundai,Coupe"/>
    <x v="1"/>
    <n v="47"/>
    <n v="25410"/>
    <x v="7"/>
    <s v="Black"/>
    <x v="8"/>
    <s v="Coupe"/>
  </r>
  <r>
    <n v="757"/>
    <s v="Nissan,Minivan"/>
    <x v="2"/>
    <n v="26"/>
    <n v="99518"/>
    <x v="2"/>
    <s v="Red"/>
    <x v="5"/>
    <s v="Minivan"/>
  </r>
  <r>
    <n v="758"/>
    <s v="Nissan,Convertible"/>
    <x v="3"/>
    <n v="32"/>
    <n v="98532"/>
    <x v="2"/>
    <s v="White"/>
    <x v="5"/>
    <s v="Convertible"/>
  </r>
  <r>
    <n v="759"/>
    <s v="BMW,Minivan"/>
    <x v="3"/>
    <n v="2"/>
    <n v="35731"/>
    <x v="2"/>
    <s v="Black"/>
    <x v="9"/>
    <s v="Minivan"/>
  </r>
  <r>
    <n v="760"/>
    <s v="Audi,Convertible"/>
    <x v="2"/>
    <n v="25"/>
    <n v="56729"/>
    <x v="5"/>
    <s v="Gray"/>
    <x v="7"/>
    <s v="Convertible"/>
  </r>
  <r>
    <n v="761"/>
    <s v="Nissan,Coupe"/>
    <x v="2"/>
    <n v="44"/>
    <n v="41642"/>
    <x v="6"/>
    <s v="Blue"/>
    <x v="5"/>
    <s v="Coupe"/>
  </r>
  <r>
    <n v="762"/>
    <s v="BMW,Hatchback"/>
    <x v="2"/>
    <n v="28"/>
    <n v="32277"/>
    <x v="5"/>
    <s v="Blue"/>
    <x v="9"/>
    <s v="Hatchback"/>
  </r>
  <r>
    <n v="763"/>
    <s v="BMW,Convertible"/>
    <x v="0"/>
    <n v="12"/>
    <n v="54389"/>
    <x v="7"/>
    <s v="Silver"/>
    <x v="9"/>
    <s v="Convertible"/>
  </r>
  <r>
    <n v="764"/>
    <s v="Hyundai,Hatchback"/>
    <x v="0"/>
    <n v="23"/>
    <n v="50704"/>
    <x v="5"/>
    <s v="Red"/>
    <x v="8"/>
    <s v="Hatchback"/>
  </r>
  <r>
    <n v="765"/>
    <s v="Chevrolet,Hatchback"/>
    <x v="0"/>
    <n v="14"/>
    <n v="59903"/>
    <x v="1"/>
    <s v="White"/>
    <x v="2"/>
    <s v="Hatchback"/>
  </r>
  <r>
    <n v="766"/>
    <s v="Chevrolet,Convertible"/>
    <x v="1"/>
    <n v="12"/>
    <n v="67192"/>
    <x v="7"/>
    <s v="Gray"/>
    <x v="2"/>
    <s v="Convertible"/>
  </r>
  <r>
    <n v="767"/>
    <s v="Chevrolet,Truck"/>
    <x v="3"/>
    <n v="18"/>
    <n v="87999"/>
    <x v="5"/>
    <s v="Blue"/>
    <x v="2"/>
    <s v="Truck"/>
  </r>
  <r>
    <n v="768"/>
    <s v="Tesla,Minivan"/>
    <x v="0"/>
    <n v="18"/>
    <n v="96123"/>
    <x v="6"/>
    <s v="Black"/>
    <x v="3"/>
    <s v="Minivan"/>
  </r>
  <r>
    <n v="769"/>
    <s v="Ford,Hatchback"/>
    <x v="1"/>
    <n v="29"/>
    <n v="99164"/>
    <x v="4"/>
    <s v="Gray"/>
    <x v="0"/>
    <s v="Hatchback"/>
  </r>
  <r>
    <n v="770"/>
    <s v="Tesla,Truck"/>
    <x v="1"/>
    <n v="10"/>
    <n v="50200"/>
    <x v="2"/>
    <s v="White"/>
    <x v="3"/>
    <s v="Truck"/>
  </r>
  <r>
    <n v="771"/>
    <s v="BMW,SUV"/>
    <x v="2"/>
    <n v="3"/>
    <n v="88511"/>
    <x v="1"/>
    <s v="Red"/>
    <x v="9"/>
    <s v="SUV"/>
  </r>
  <r>
    <n v="772"/>
    <s v="Ford,Coupe"/>
    <x v="2"/>
    <n v="40"/>
    <n v="90910"/>
    <x v="4"/>
    <s v="Gray"/>
    <x v="0"/>
    <s v="Coupe"/>
  </r>
  <r>
    <n v="773"/>
    <s v="Nissan,Sedan"/>
    <x v="0"/>
    <n v="40"/>
    <n v="46021"/>
    <x v="3"/>
    <s v="Gray"/>
    <x v="5"/>
    <s v="Sedan"/>
  </r>
  <r>
    <n v="774"/>
    <s v="Honda,Coupe"/>
    <x v="3"/>
    <n v="40"/>
    <n v="84997"/>
    <x v="1"/>
    <s v="Black"/>
    <x v="4"/>
    <s v="Coupe"/>
  </r>
  <r>
    <n v="775"/>
    <s v="Tesla,Coupe"/>
    <x v="3"/>
    <n v="16"/>
    <n v="86754"/>
    <x v="6"/>
    <s v="White"/>
    <x v="3"/>
    <s v="Coupe"/>
  </r>
  <r>
    <n v="776"/>
    <s v="Tesla,Hatchback"/>
    <x v="3"/>
    <n v="42"/>
    <n v="44478"/>
    <x v="1"/>
    <s v="Red"/>
    <x v="3"/>
    <s v="Hatchback"/>
  </r>
  <r>
    <n v="777"/>
    <s v="Hyundai,Truck"/>
    <x v="1"/>
    <n v="19"/>
    <n v="35609"/>
    <x v="6"/>
    <s v="Gray"/>
    <x v="8"/>
    <s v="Truck"/>
  </r>
  <r>
    <n v="778"/>
    <s v="Chevrolet,Minivan"/>
    <x v="1"/>
    <n v="32"/>
    <n v="96930"/>
    <x v="4"/>
    <s v="White"/>
    <x v="2"/>
    <s v="Minivan"/>
  </r>
  <r>
    <n v="779"/>
    <s v="Volkswagen,Truck"/>
    <x v="1"/>
    <n v="27"/>
    <n v="61213"/>
    <x v="1"/>
    <s v="Gray"/>
    <x v="6"/>
    <s v="Truck"/>
  </r>
  <r>
    <n v="780"/>
    <s v="Nissan,Convertible"/>
    <x v="1"/>
    <n v="36"/>
    <n v="65961"/>
    <x v="5"/>
    <s v="Blue"/>
    <x v="5"/>
    <s v="Convertible"/>
  </r>
  <r>
    <n v="781"/>
    <s v="Volkswagen,Sedan"/>
    <x v="3"/>
    <n v="31"/>
    <n v="77289"/>
    <x v="2"/>
    <s v="Blue"/>
    <x v="6"/>
    <s v="Sedan"/>
  </r>
  <r>
    <n v="782"/>
    <s v="Chevrolet,Truck"/>
    <x v="3"/>
    <n v="4"/>
    <n v="68813"/>
    <x v="0"/>
    <s v="Red"/>
    <x v="2"/>
    <s v="Truck"/>
  </r>
  <r>
    <n v="783"/>
    <s v="Ford,Convertible"/>
    <x v="2"/>
    <n v="6"/>
    <n v="38907"/>
    <x v="4"/>
    <s v="Blue"/>
    <x v="0"/>
    <s v="Convertible"/>
  </r>
  <r>
    <n v="784"/>
    <s v="Tesla,Sedan"/>
    <x v="3"/>
    <n v="18"/>
    <n v="90778"/>
    <x v="6"/>
    <s v="Red"/>
    <x v="3"/>
    <s v="Sedan"/>
  </r>
  <r>
    <n v="785"/>
    <s v="Chevrolet,Truck"/>
    <x v="1"/>
    <n v="25"/>
    <n v="59575"/>
    <x v="4"/>
    <s v="Gray"/>
    <x v="2"/>
    <s v="Truck"/>
  </r>
  <r>
    <n v="786"/>
    <s v="Tesla,Coupe"/>
    <x v="1"/>
    <n v="9"/>
    <n v="35052"/>
    <x v="6"/>
    <s v="Silver"/>
    <x v="3"/>
    <s v="Coupe"/>
  </r>
  <r>
    <n v="787"/>
    <s v="BMW,Coupe"/>
    <x v="0"/>
    <n v="27"/>
    <n v="75899"/>
    <x v="4"/>
    <s v="Blue"/>
    <x v="9"/>
    <s v="Coupe"/>
  </r>
  <r>
    <n v="788"/>
    <s v="Honda,Sedan"/>
    <x v="3"/>
    <n v="13"/>
    <n v="72061"/>
    <x v="5"/>
    <s v="White"/>
    <x v="4"/>
    <s v="Sedan"/>
  </r>
  <r>
    <n v="789"/>
    <s v="Chevrolet,Sedan"/>
    <x v="3"/>
    <n v="42"/>
    <n v="82701"/>
    <x v="4"/>
    <s v="White"/>
    <x v="2"/>
    <s v="Sedan"/>
  </r>
  <r>
    <n v="790"/>
    <s v="Toyota,Truck"/>
    <x v="2"/>
    <n v="34"/>
    <n v="55374"/>
    <x v="1"/>
    <s v="Red"/>
    <x v="1"/>
    <s v="Truck"/>
  </r>
  <r>
    <n v="791"/>
    <s v="Nissan,Minivan"/>
    <x v="2"/>
    <n v="16"/>
    <n v="63101"/>
    <x v="4"/>
    <s v="Silver"/>
    <x v="5"/>
    <s v="Minivan"/>
  </r>
  <r>
    <n v="792"/>
    <s v="Honda,Truck"/>
    <x v="1"/>
    <n v="41"/>
    <n v="65929"/>
    <x v="4"/>
    <s v="Gray"/>
    <x v="4"/>
    <s v="Truck"/>
  </r>
  <r>
    <n v="793"/>
    <s v="Chevrolet,Sedan"/>
    <x v="0"/>
    <n v="35"/>
    <n v="31619"/>
    <x v="2"/>
    <s v="Black"/>
    <x v="2"/>
    <s v="Sedan"/>
  </r>
  <r>
    <n v="794"/>
    <s v="Toyota,Hatchback"/>
    <x v="3"/>
    <n v="2"/>
    <n v="49425"/>
    <x v="3"/>
    <s v="White"/>
    <x v="1"/>
    <s v="Hatchback"/>
  </r>
  <r>
    <n v="795"/>
    <s v="Toyota,Minivan"/>
    <x v="3"/>
    <n v="25"/>
    <n v="49290"/>
    <x v="3"/>
    <s v="Silver"/>
    <x v="1"/>
    <s v="Minivan"/>
  </r>
  <r>
    <n v="796"/>
    <s v="Nissan,Minivan"/>
    <x v="0"/>
    <n v="46"/>
    <n v="86096"/>
    <x v="4"/>
    <s v="White"/>
    <x v="5"/>
    <s v="Minivan"/>
  </r>
  <r>
    <n v="797"/>
    <s v="Chevrolet,Sedan"/>
    <x v="3"/>
    <n v="23"/>
    <n v="62268"/>
    <x v="2"/>
    <s v="Red"/>
    <x v="2"/>
    <s v="Sedan"/>
  </r>
  <r>
    <n v="798"/>
    <s v="Honda,Convertible"/>
    <x v="2"/>
    <n v="31"/>
    <n v="74197"/>
    <x v="4"/>
    <s v="Red"/>
    <x v="4"/>
    <s v="Convertible"/>
  </r>
  <r>
    <n v="799"/>
    <s v="Hyundai,Convertible"/>
    <x v="0"/>
    <n v="35"/>
    <n v="30403"/>
    <x v="7"/>
    <s v="Black"/>
    <x v="8"/>
    <s v="Convertible"/>
  </r>
  <r>
    <n v="800"/>
    <s v="Ford,Convertible"/>
    <x v="3"/>
    <n v="32"/>
    <n v="29073"/>
    <x v="2"/>
    <s v="Red"/>
    <x v="0"/>
    <s v="Convertible"/>
  </r>
  <r>
    <n v="801"/>
    <s v="Toyota,Coupe"/>
    <x v="2"/>
    <n v="23"/>
    <n v="44905"/>
    <x v="1"/>
    <s v="Black"/>
    <x v="1"/>
    <s v="Coupe"/>
  </r>
  <r>
    <n v="802"/>
    <s v="Volkswagen,Coupe"/>
    <x v="2"/>
    <n v="37"/>
    <n v="28832"/>
    <x v="1"/>
    <s v="Gray"/>
    <x v="6"/>
    <s v="Coupe"/>
  </r>
  <r>
    <n v="803"/>
    <s v="Chevrolet,Convertible"/>
    <x v="1"/>
    <n v="33"/>
    <n v="40615"/>
    <x v="5"/>
    <s v="Red"/>
    <x v="2"/>
    <s v="Convertible"/>
  </r>
  <r>
    <n v="804"/>
    <s v="Hyundai,Convertible"/>
    <x v="3"/>
    <n v="21"/>
    <n v="63664"/>
    <x v="0"/>
    <s v="White"/>
    <x v="8"/>
    <s v="Convertible"/>
  </r>
  <r>
    <n v="805"/>
    <s v="Hyundai,Minivan"/>
    <x v="0"/>
    <n v="25"/>
    <n v="78287"/>
    <x v="5"/>
    <s v="Red"/>
    <x v="8"/>
    <s v="Minivan"/>
  </r>
  <r>
    <n v="806"/>
    <s v="Hyundai,Hatchback"/>
    <x v="2"/>
    <n v="18"/>
    <n v="43613"/>
    <x v="4"/>
    <s v="Blue"/>
    <x v="8"/>
    <s v="Hatchback"/>
  </r>
  <r>
    <n v="807"/>
    <s v="BMW,Sedan"/>
    <x v="2"/>
    <n v="12"/>
    <n v="82035"/>
    <x v="6"/>
    <s v="Gray"/>
    <x v="9"/>
    <s v="Sedan"/>
  </r>
  <r>
    <n v="808"/>
    <s v="Honda,Coupe"/>
    <x v="1"/>
    <n v="2"/>
    <n v="82337"/>
    <x v="3"/>
    <s v="Gray"/>
    <x v="4"/>
    <s v="Coupe"/>
  </r>
  <r>
    <n v="809"/>
    <s v="Toyota,Minivan"/>
    <x v="0"/>
    <n v="21"/>
    <n v="46921"/>
    <x v="4"/>
    <s v="Silver"/>
    <x v="1"/>
    <s v="Minivan"/>
  </r>
  <r>
    <n v="810"/>
    <s v="Chevrolet,Convertible"/>
    <x v="1"/>
    <n v="39"/>
    <n v="49551"/>
    <x v="4"/>
    <s v="White"/>
    <x v="2"/>
    <s v="Convertible"/>
  </r>
  <r>
    <n v="811"/>
    <s v="Hyundai,Hatchback"/>
    <x v="2"/>
    <n v="15"/>
    <n v="90782"/>
    <x v="7"/>
    <s v="Gray"/>
    <x v="8"/>
    <s v="Hatchback"/>
  </r>
  <r>
    <n v="812"/>
    <s v="Ford,SUV"/>
    <x v="3"/>
    <n v="2"/>
    <n v="78256"/>
    <x v="5"/>
    <s v="Silver"/>
    <x v="0"/>
    <s v="SUV"/>
  </r>
  <r>
    <n v="813"/>
    <s v="Ford,Truck"/>
    <x v="0"/>
    <n v="50"/>
    <n v="52545"/>
    <x v="6"/>
    <s v="Blue"/>
    <x v="0"/>
    <s v="Truck"/>
  </r>
  <r>
    <n v="814"/>
    <s v="Audi,Convertible"/>
    <x v="3"/>
    <n v="18"/>
    <n v="39124"/>
    <x v="6"/>
    <s v="Gray"/>
    <x v="7"/>
    <s v="Convertible"/>
  </r>
  <r>
    <n v="815"/>
    <s v="Hyundai,Coupe"/>
    <x v="3"/>
    <n v="4"/>
    <n v="61756"/>
    <x v="6"/>
    <s v="Silver"/>
    <x v="8"/>
    <s v="Coupe"/>
  </r>
  <r>
    <n v="816"/>
    <s v="Ford,Convertible"/>
    <x v="1"/>
    <n v="31"/>
    <n v="91466"/>
    <x v="7"/>
    <s v="Blue"/>
    <x v="0"/>
    <s v="Convertible"/>
  </r>
  <r>
    <n v="817"/>
    <s v="Volkswagen,SUV"/>
    <x v="2"/>
    <n v="34"/>
    <n v="45030"/>
    <x v="2"/>
    <s v="Red"/>
    <x v="6"/>
    <s v="SUV"/>
  </r>
  <r>
    <n v="818"/>
    <s v="Toyota,Sedan"/>
    <x v="3"/>
    <n v="23"/>
    <n v="71010"/>
    <x v="3"/>
    <s v="Red"/>
    <x v="1"/>
    <s v="Sedan"/>
  </r>
  <r>
    <n v="819"/>
    <s v="Honda,Coupe"/>
    <x v="0"/>
    <n v="50"/>
    <n v="83941"/>
    <x v="0"/>
    <s v="Gray"/>
    <x v="4"/>
    <s v="Coupe"/>
  </r>
  <r>
    <n v="820"/>
    <s v="Honda,Sedan"/>
    <x v="1"/>
    <n v="38"/>
    <n v="51857"/>
    <x v="4"/>
    <s v="Blue"/>
    <x v="4"/>
    <s v="Sedan"/>
  </r>
  <r>
    <n v="821"/>
    <s v="Volkswagen,Minivan"/>
    <x v="0"/>
    <n v="15"/>
    <n v="61464"/>
    <x v="0"/>
    <s v="White"/>
    <x v="6"/>
    <s v="Minivan"/>
  </r>
  <r>
    <n v="822"/>
    <s v="Chevrolet,Minivan"/>
    <x v="3"/>
    <n v="11"/>
    <n v="70215"/>
    <x v="2"/>
    <s v="Gray"/>
    <x v="2"/>
    <s v="Minivan"/>
  </r>
  <r>
    <n v="823"/>
    <s v="Ford,Truck"/>
    <x v="0"/>
    <n v="7"/>
    <n v="64931"/>
    <x v="4"/>
    <s v="Red"/>
    <x v="0"/>
    <s v="Truck"/>
  </r>
  <r>
    <n v="824"/>
    <s v="Tesla,Hatchback"/>
    <x v="1"/>
    <n v="16"/>
    <n v="55840"/>
    <x v="1"/>
    <s v="White"/>
    <x v="3"/>
    <s v="Hatchback"/>
  </r>
  <r>
    <n v="825"/>
    <s v="Ford,Sedan"/>
    <x v="1"/>
    <n v="43"/>
    <n v="35956"/>
    <x v="0"/>
    <s v="Silver"/>
    <x v="0"/>
    <s v="Sedan"/>
  </r>
  <r>
    <n v="826"/>
    <s v="Nissan,Convertible"/>
    <x v="2"/>
    <n v="16"/>
    <n v="71884"/>
    <x v="0"/>
    <s v="Red"/>
    <x v="5"/>
    <s v="Convertible"/>
  </r>
  <r>
    <n v="827"/>
    <s v="Audi,Hatchback"/>
    <x v="0"/>
    <n v="18"/>
    <n v="42087"/>
    <x v="4"/>
    <s v="Blue"/>
    <x v="7"/>
    <s v="Hatchback"/>
  </r>
  <r>
    <n v="828"/>
    <s v="Volkswagen,SUV"/>
    <x v="1"/>
    <n v="35"/>
    <n v="34601"/>
    <x v="4"/>
    <s v="Gray"/>
    <x v="6"/>
    <s v="SUV"/>
  </r>
  <r>
    <n v="829"/>
    <s v="Volkswagen,Sedan"/>
    <x v="1"/>
    <n v="48"/>
    <n v="33400"/>
    <x v="6"/>
    <s v="Gray"/>
    <x v="6"/>
    <s v="Sedan"/>
  </r>
  <r>
    <n v="830"/>
    <s v="Volkswagen,SUV"/>
    <x v="2"/>
    <n v="4"/>
    <n v="76499"/>
    <x v="6"/>
    <s v="Blue"/>
    <x v="6"/>
    <s v="SUV"/>
  </r>
  <r>
    <n v="831"/>
    <s v="Tesla,Hatchback"/>
    <x v="1"/>
    <n v="49"/>
    <n v="40602"/>
    <x v="7"/>
    <s v="Red"/>
    <x v="3"/>
    <s v="Hatchback"/>
  </r>
  <r>
    <n v="832"/>
    <s v="Nissan,Coupe"/>
    <x v="3"/>
    <n v="15"/>
    <n v="72557"/>
    <x v="1"/>
    <s v="Blue"/>
    <x v="5"/>
    <s v="Coupe"/>
  </r>
  <r>
    <n v="833"/>
    <s v="Audi,Coupe"/>
    <x v="0"/>
    <n v="37"/>
    <n v="56658"/>
    <x v="7"/>
    <s v="Gray"/>
    <x v="7"/>
    <s v="Coupe"/>
  </r>
  <r>
    <n v="834"/>
    <s v="Hyundai,Convertible"/>
    <x v="2"/>
    <n v="25"/>
    <n v="82009"/>
    <x v="5"/>
    <s v="Red"/>
    <x v="8"/>
    <s v="Convertible"/>
  </r>
  <r>
    <n v="835"/>
    <s v="Hyundai,Convertible"/>
    <x v="3"/>
    <n v="23"/>
    <n v="41515"/>
    <x v="1"/>
    <s v="Black"/>
    <x v="8"/>
    <s v="Convertible"/>
  </r>
  <r>
    <n v="836"/>
    <s v="Chevrolet,Convertible"/>
    <x v="3"/>
    <n v="12"/>
    <n v="61309"/>
    <x v="6"/>
    <s v="Red"/>
    <x v="2"/>
    <s v="Convertible"/>
  </r>
  <r>
    <n v="837"/>
    <s v="Volkswagen,SUV"/>
    <x v="0"/>
    <n v="12"/>
    <n v="69282"/>
    <x v="6"/>
    <s v="White"/>
    <x v="6"/>
    <s v="SUV"/>
  </r>
  <r>
    <n v="838"/>
    <s v="Audi,Truck"/>
    <x v="2"/>
    <n v="16"/>
    <n v="94534"/>
    <x v="6"/>
    <s v="Silver"/>
    <x v="7"/>
    <s v="Truck"/>
  </r>
  <r>
    <n v="839"/>
    <s v="Chevrolet,Truck"/>
    <x v="1"/>
    <n v="38"/>
    <n v="97526"/>
    <x v="3"/>
    <s v="Blue"/>
    <x v="2"/>
    <s v="Truck"/>
  </r>
  <r>
    <n v="840"/>
    <s v="Volkswagen,Truck"/>
    <x v="2"/>
    <n v="21"/>
    <n v="36028"/>
    <x v="4"/>
    <s v="Silver"/>
    <x v="6"/>
    <s v="Truck"/>
  </r>
  <r>
    <n v="841"/>
    <s v="Volkswagen,Coupe"/>
    <x v="1"/>
    <n v="48"/>
    <n v="84645"/>
    <x v="0"/>
    <s v="Red"/>
    <x v="6"/>
    <s v="Coupe"/>
  </r>
  <r>
    <n v="842"/>
    <s v="Toyota,Coupe"/>
    <x v="0"/>
    <n v="45"/>
    <n v="27846"/>
    <x v="0"/>
    <s v="Red"/>
    <x v="1"/>
    <s v="Coupe"/>
  </r>
  <r>
    <n v="843"/>
    <s v="Volkswagen,Minivan"/>
    <x v="0"/>
    <n v="23"/>
    <n v="33076"/>
    <x v="2"/>
    <s v="Red"/>
    <x v="6"/>
    <s v="Minivan"/>
  </r>
  <r>
    <n v="844"/>
    <s v="Ford,Truck"/>
    <x v="3"/>
    <n v="38"/>
    <n v="87993"/>
    <x v="0"/>
    <s v="White"/>
    <x v="0"/>
    <s v="Truck"/>
  </r>
  <r>
    <n v="845"/>
    <s v="Tesla,Hatchback"/>
    <x v="3"/>
    <n v="2"/>
    <n v="65998"/>
    <x v="6"/>
    <s v="Silver"/>
    <x v="3"/>
    <s v="Hatchback"/>
  </r>
  <r>
    <n v="846"/>
    <s v="Tesla,Convertible"/>
    <x v="3"/>
    <n v="46"/>
    <n v="31641"/>
    <x v="1"/>
    <s v="Silver"/>
    <x v="3"/>
    <s v="Convertible"/>
  </r>
  <r>
    <n v="847"/>
    <s v="Chevrolet,Sedan"/>
    <x v="0"/>
    <n v="45"/>
    <n v="50629"/>
    <x v="1"/>
    <s v="Blue"/>
    <x v="2"/>
    <s v="Sedan"/>
  </r>
  <r>
    <n v="848"/>
    <s v="Ford,Minivan"/>
    <x v="1"/>
    <n v="23"/>
    <n v="97702"/>
    <x v="7"/>
    <s v="Red"/>
    <x v="0"/>
    <s v="Minivan"/>
  </r>
  <r>
    <n v="849"/>
    <s v="Honda,Hatchback"/>
    <x v="0"/>
    <n v="37"/>
    <n v="30605"/>
    <x v="1"/>
    <s v="Blue"/>
    <x v="4"/>
    <s v="Hatchback"/>
  </r>
  <r>
    <n v="850"/>
    <s v="Tesla,Hatchback"/>
    <x v="0"/>
    <n v="37"/>
    <n v="71706"/>
    <x v="2"/>
    <s v="White"/>
    <x v="3"/>
    <s v="Hatchback"/>
  </r>
  <r>
    <n v="851"/>
    <s v="Honda,Truck"/>
    <x v="3"/>
    <n v="10"/>
    <n v="86134"/>
    <x v="1"/>
    <s v="Black"/>
    <x v="4"/>
    <s v="Truck"/>
  </r>
  <r>
    <n v="852"/>
    <s v="Nissan,Sedan"/>
    <x v="2"/>
    <n v="37"/>
    <n v="42692"/>
    <x v="7"/>
    <s v="Gray"/>
    <x v="5"/>
    <s v="Sedan"/>
  </r>
  <r>
    <n v="853"/>
    <s v="Ford,Truck"/>
    <x v="3"/>
    <n v="13"/>
    <n v="95613"/>
    <x v="3"/>
    <s v="Gray"/>
    <x v="0"/>
    <s v="Truck"/>
  </r>
  <r>
    <n v="854"/>
    <s v="Honda,Sedan"/>
    <x v="2"/>
    <n v="32"/>
    <n v="26167"/>
    <x v="0"/>
    <s v="White"/>
    <x v="4"/>
    <s v="Sedan"/>
  </r>
  <r>
    <n v="855"/>
    <s v="Toyota,Convertible"/>
    <x v="1"/>
    <n v="35"/>
    <n v="43670"/>
    <x v="0"/>
    <s v="Black"/>
    <x v="1"/>
    <s v="Convertible"/>
  </r>
  <r>
    <n v="856"/>
    <s v="Audi,Hatchback"/>
    <x v="1"/>
    <n v="20"/>
    <n v="96717"/>
    <x v="7"/>
    <s v="Red"/>
    <x v="7"/>
    <s v="Hatchback"/>
  </r>
  <r>
    <n v="857"/>
    <s v="Hyundai,Coupe"/>
    <x v="1"/>
    <n v="12"/>
    <n v="52258"/>
    <x v="6"/>
    <s v="Gray"/>
    <x v="8"/>
    <s v="Coupe"/>
  </r>
  <r>
    <n v="858"/>
    <s v="Volkswagen,Truck"/>
    <x v="3"/>
    <n v="32"/>
    <n v="83772"/>
    <x v="1"/>
    <s v="Silver"/>
    <x v="6"/>
    <s v="Truck"/>
  </r>
  <r>
    <n v="859"/>
    <s v="Hyundai,Truck"/>
    <x v="3"/>
    <n v="3"/>
    <n v="27710"/>
    <x v="7"/>
    <s v="Silver"/>
    <x v="8"/>
    <s v="Truck"/>
  </r>
  <r>
    <n v="860"/>
    <s v="Chevrolet,Hatchback"/>
    <x v="3"/>
    <n v="6"/>
    <n v="65375"/>
    <x v="1"/>
    <s v="Blue"/>
    <x v="2"/>
    <s v="Hatchback"/>
  </r>
  <r>
    <n v="861"/>
    <s v="Toyota,Minivan"/>
    <x v="0"/>
    <n v="4"/>
    <n v="79634"/>
    <x v="7"/>
    <s v="Black"/>
    <x v="1"/>
    <s v="Minivan"/>
  </r>
  <r>
    <n v="862"/>
    <s v="Tesla,Hatchback"/>
    <x v="3"/>
    <n v="15"/>
    <n v="57786"/>
    <x v="6"/>
    <s v="Blue"/>
    <x v="3"/>
    <s v="Hatchback"/>
  </r>
  <r>
    <n v="863"/>
    <s v="Chevrolet,Convertible"/>
    <x v="0"/>
    <n v="39"/>
    <n v="82534"/>
    <x v="5"/>
    <s v="Red"/>
    <x v="2"/>
    <s v="Convertible"/>
  </r>
  <r>
    <n v="864"/>
    <s v="Chevrolet,Minivan"/>
    <x v="1"/>
    <n v="15"/>
    <n v="77575"/>
    <x v="0"/>
    <s v="Silver"/>
    <x v="2"/>
    <s v="Minivan"/>
  </r>
  <r>
    <n v="865"/>
    <s v="Hyundai,SUV"/>
    <x v="3"/>
    <n v="2"/>
    <n v="94671"/>
    <x v="1"/>
    <s v="Blue"/>
    <x v="8"/>
    <s v="SUV"/>
  </r>
  <r>
    <n v="866"/>
    <s v="Ford,Truck"/>
    <x v="0"/>
    <n v="34"/>
    <n v="48137"/>
    <x v="5"/>
    <s v="Black"/>
    <x v="0"/>
    <s v="Truck"/>
  </r>
  <r>
    <n v="867"/>
    <s v="Tesla,Sedan"/>
    <x v="1"/>
    <n v="31"/>
    <n v="28199"/>
    <x v="5"/>
    <s v="Red"/>
    <x v="3"/>
    <s v="Sedan"/>
  </r>
  <r>
    <n v="868"/>
    <s v="Chevrolet,Convertible"/>
    <x v="1"/>
    <n v="1"/>
    <n v="65557"/>
    <x v="0"/>
    <s v="Red"/>
    <x v="2"/>
    <s v="Convertible"/>
  </r>
  <r>
    <n v="869"/>
    <s v="Volkswagen,Hatchback"/>
    <x v="3"/>
    <n v="22"/>
    <n v="84528"/>
    <x v="4"/>
    <s v="Black"/>
    <x v="6"/>
    <s v="Hatchback"/>
  </r>
  <r>
    <n v="870"/>
    <s v="Tesla,SUV"/>
    <x v="2"/>
    <n v="40"/>
    <n v="72159"/>
    <x v="1"/>
    <s v="Blue"/>
    <x v="3"/>
    <s v="SUV"/>
  </r>
  <r>
    <n v="871"/>
    <s v="Audi,Truck"/>
    <x v="2"/>
    <n v="13"/>
    <n v="77908"/>
    <x v="5"/>
    <s v="White"/>
    <x v="7"/>
    <s v="Truck"/>
  </r>
  <r>
    <n v="872"/>
    <s v="Ford,Truck"/>
    <x v="1"/>
    <n v="9"/>
    <n v="93756"/>
    <x v="7"/>
    <s v="Blue"/>
    <x v="0"/>
    <s v="Truck"/>
  </r>
  <r>
    <n v="873"/>
    <s v="Nissan,Hatchback"/>
    <x v="2"/>
    <n v="22"/>
    <n v="25260"/>
    <x v="4"/>
    <s v="Gray"/>
    <x v="5"/>
    <s v="Hatchback"/>
  </r>
  <r>
    <n v="874"/>
    <s v="Tesla,Hatchback"/>
    <x v="2"/>
    <n v="46"/>
    <n v="89726"/>
    <x v="0"/>
    <s v="Black"/>
    <x v="3"/>
    <s v="Hatchback"/>
  </r>
  <r>
    <n v="875"/>
    <s v="Honda,Hatchback"/>
    <x v="0"/>
    <n v="12"/>
    <n v="27062"/>
    <x v="0"/>
    <s v="Silver"/>
    <x v="4"/>
    <s v="Hatchback"/>
  </r>
  <r>
    <n v="876"/>
    <s v="Chevrolet,Coupe"/>
    <x v="0"/>
    <n v="21"/>
    <n v="86202"/>
    <x v="3"/>
    <s v="Blue"/>
    <x v="2"/>
    <s v="Coupe"/>
  </r>
  <r>
    <n v="877"/>
    <s v="Honda,SUV"/>
    <x v="0"/>
    <n v="4"/>
    <n v="57244"/>
    <x v="3"/>
    <s v="White"/>
    <x v="4"/>
    <s v="SUV"/>
  </r>
  <r>
    <n v="878"/>
    <s v="Ford,Convertible"/>
    <x v="1"/>
    <n v="2"/>
    <n v="49256"/>
    <x v="4"/>
    <s v="Blue"/>
    <x v="0"/>
    <s v="Convertible"/>
  </r>
  <r>
    <n v="879"/>
    <s v="Toyota,Hatchback"/>
    <x v="2"/>
    <n v="10"/>
    <n v="99465"/>
    <x v="4"/>
    <s v="Silver"/>
    <x v="1"/>
    <s v="Hatchback"/>
  </r>
  <r>
    <n v="880"/>
    <s v="Honda,Sedan"/>
    <x v="3"/>
    <n v="38"/>
    <n v="43756"/>
    <x v="1"/>
    <s v="Red"/>
    <x v="4"/>
    <s v="Sedan"/>
  </r>
  <r>
    <n v="881"/>
    <s v="Chevrolet,Truck"/>
    <x v="2"/>
    <n v="46"/>
    <n v="83517"/>
    <x v="1"/>
    <s v="Blue"/>
    <x v="2"/>
    <s v="Truck"/>
  </r>
  <r>
    <n v="882"/>
    <s v="Volkswagen,Convertible"/>
    <x v="1"/>
    <n v="10"/>
    <n v="55851"/>
    <x v="2"/>
    <s v="Red"/>
    <x v="6"/>
    <s v="Convertible"/>
  </r>
  <r>
    <n v="883"/>
    <s v="Volkswagen,Coupe"/>
    <x v="0"/>
    <n v="50"/>
    <n v="69731"/>
    <x v="0"/>
    <s v="Gray"/>
    <x v="6"/>
    <s v="Coupe"/>
  </r>
  <r>
    <n v="884"/>
    <s v="Chevrolet,Hatchback"/>
    <x v="1"/>
    <n v="8"/>
    <n v="79867"/>
    <x v="7"/>
    <s v="Silver"/>
    <x v="2"/>
    <s v="Hatchback"/>
  </r>
  <r>
    <n v="885"/>
    <s v="Hyundai,Minivan"/>
    <x v="0"/>
    <n v="34"/>
    <n v="68995"/>
    <x v="4"/>
    <s v="White"/>
    <x v="8"/>
    <s v="Minivan"/>
  </r>
  <r>
    <n v="886"/>
    <s v="Ford,Truck"/>
    <x v="1"/>
    <n v="24"/>
    <n v="41060"/>
    <x v="0"/>
    <s v="Blue"/>
    <x v="0"/>
    <s v="Truck"/>
  </r>
  <r>
    <n v="887"/>
    <s v="Hyundai,Minivan"/>
    <x v="3"/>
    <n v="5"/>
    <n v="76300"/>
    <x v="6"/>
    <s v="Red"/>
    <x v="8"/>
    <s v="Minivan"/>
  </r>
  <r>
    <n v="888"/>
    <s v="Chevrolet,SUV"/>
    <x v="0"/>
    <n v="24"/>
    <n v="98219"/>
    <x v="0"/>
    <s v="White"/>
    <x v="2"/>
    <s v="SUV"/>
  </r>
  <r>
    <n v="889"/>
    <s v="Audi,Hatchback"/>
    <x v="0"/>
    <n v="46"/>
    <n v="84765"/>
    <x v="3"/>
    <s v="Red"/>
    <x v="7"/>
    <s v="Hatchback"/>
  </r>
  <r>
    <n v="890"/>
    <s v="Chevrolet,Hatchback"/>
    <x v="2"/>
    <n v="43"/>
    <n v="99143"/>
    <x v="5"/>
    <s v="Red"/>
    <x v="2"/>
    <s v="Hatchback"/>
  </r>
  <r>
    <n v="891"/>
    <s v="Nissan,Minivan"/>
    <x v="1"/>
    <n v="26"/>
    <n v="58342"/>
    <x v="2"/>
    <s v="Red"/>
    <x v="5"/>
    <s v="Minivan"/>
  </r>
  <r>
    <n v="892"/>
    <s v="Nissan,Hatchback"/>
    <x v="2"/>
    <n v="38"/>
    <n v="65634"/>
    <x v="4"/>
    <s v="Blue"/>
    <x v="5"/>
    <s v="Hatchback"/>
  </r>
  <r>
    <n v="893"/>
    <s v="Hyundai,Hatchback"/>
    <x v="1"/>
    <n v="7"/>
    <n v="39724"/>
    <x v="3"/>
    <s v="Red"/>
    <x v="8"/>
    <s v="Hatchback"/>
  </r>
  <r>
    <n v="894"/>
    <s v="Hyundai,Convertible"/>
    <x v="3"/>
    <n v="22"/>
    <n v="99854"/>
    <x v="3"/>
    <s v="Gray"/>
    <x v="8"/>
    <s v="Convertible"/>
  </r>
  <r>
    <n v="895"/>
    <s v="Ford,Sedan"/>
    <x v="2"/>
    <n v="20"/>
    <n v="93328"/>
    <x v="3"/>
    <s v="Gray"/>
    <x v="0"/>
    <s v="Sedan"/>
  </r>
  <r>
    <n v="896"/>
    <s v="Volkswagen,Hatchback"/>
    <x v="0"/>
    <n v="21"/>
    <n v="73221"/>
    <x v="0"/>
    <s v="Silver"/>
    <x v="6"/>
    <s v="Hatchback"/>
  </r>
  <r>
    <n v="897"/>
    <s v="Toyota,Hatchback"/>
    <x v="3"/>
    <n v="9"/>
    <n v="74692"/>
    <x v="2"/>
    <s v="Black"/>
    <x v="1"/>
    <s v="Hatchback"/>
  </r>
  <r>
    <n v="898"/>
    <s v="Audi,Coupe"/>
    <x v="1"/>
    <n v="11"/>
    <n v="99155"/>
    <x v="3"/>
    <s v="White"/>
    <x v="7"/>
    <s v="Coupe"/>
  </r>
  <r>
    <n v="899"/>
    <s v="BMW,Convertible"/>
    <x v="0"/>
    <n v="47"/>
    <n v="98613"/>
    <x v="1"/>
    <s v="Gray"/>
    <x v="9"/>
    <s v="Convertible"/>
  </r>
  <r>
    <n v="900"/>
    <s v="Volkswagen,Truck"/>
    <x v="1"/>
    <n v="28"/>
    <n v="41737"/>
    <x v="4"/>
    <s v="White"/>
    <x v="6"/>
    <s v="Truck"/>
  </r>
  <r>
    <n v="901"/>
    <s v="Chevrolet,Sedan"/>
    <x v="0"/>
    <n v="41"/>
    <n v="41456"/>
    <x v="1"/>
    <s v="Gray"/>
    <x v="2"/>
    <s v="Sedan"/>
  </r>
  <r>
    <n v="902"/>
    <s v="Toyota,Truck"/>
    <x v="1"/>
    <n v="32"/>
    <n v="72003"/>
    <x v="1"/>
    <s v="Blue"/>
    <x v="1"/>
    <s v="Truck"/>
  </r>
  <r>
    <n v="903"/>
    <s v="Ford,Truck"/>
    <x v="0"/>
    <n v="42"/>
    <n v="94587"/>
    <x v="7"/>
    <s v="Blue"/>
    <x v="0"/>
    <s v="Truck"/>
  </r>
  <r>
    <n v="904"/>
    <s v="Tesla,SUV"/>
    <x v="1"/>
    <n v="21"/>
    <n v="45541"/>
    <x v="4"/>
    <s v="Blue"/>
    <x v="3"/>
    <s v="SUV"/>
  </r>
  <r>
    <n v="905"/>
    <s v="Volkswagen,SUV"/>
    <x v="2"/>
    <n v="12"/>
    <n v="33279"/>
    <x v="2"/>
    <s v="Gray"/>
    <x v="6"/>
    <s v="SUV"/>
  </r>
  <r>
    <n v="906"/>
    <s v="Volkswagen,Truck"/>
    <x v="0"/>
    <n v="46"/>
    <n v="49975"/>
    <x v="4"/>
    <s v="Black"/>
    <x v="6"/>
    <s v="Truck"/>
  </r>
  <r>
    <n v="907"/>
    <s v="Toyota,Minivan"/>
    <x v="0"/>
    <n v="36"/>
    <n v="61254"/>
    <x v="4"/>
    <s v="Silver"/>
    <x v="1"/>
    <s v="Minivan"/>
  </r>
  <r>
    <n v="908"/>
    <s v="Chevrolet,Coupe"/>
    <x v="2"/>
    <n v="45"/>
    <n v="47286"/>
    <x v="4"/>
    <s v="White"/>
    <x v="2"/>
    <s v="Coupe"/>
  </r>
  <r>
    <n v="909"/>
    <s v="Volkswagen,SUV"/>
    <x v="1"/>
    <n v="40"/>
    <n v="80513"/>
    <x v="4"/>
    <s v="White"/>
    <x v="6"/>
    <s v="SUV"/>
  </r>
  <r>
    <n v="910"/>
    <s v="Toyota,SUV"/>
    <x v="0"/>
    <n v="23"/>
    <n v="55350"/>
    <x v="7"/>
    <s v="Blue"/>
    <x v="1"/>
    <s v="SUV"/>
  </r>
  <r>
    <n v="911"/>
    <s v="Honda,SUV"/>
    <x v="2"/>
    <n v="15"/>
    <n v="31143"/>
    <x v="1"/>
    <s v="Blue"/>
    <x v="4"/>
    <s v="SUV"/>
  </r>
  <r>
    <n v="912"/>
    <s v="Hyundai,SUV"/>
    <x v="1"/>
    <n v="43"/>
    <n v="72631"/>
    <x v="5"/>
    <s v="Silver"/>
    <x v="8"/>
    <s v="SUV"/>
  </r>
  <r>
    <n v="913"/>
    <s v="Nissan,Sedan"/>
    <x v="0"/>
    <n v="38"/>
    <n v="95527"/>
    <x v="5"/>
    <s v="Gray"/>
    <x v="5"/>
    <s v="Sedan"/>
  </r>
  <r>
    <n v="914"/>
    <s v="Hyundai,Truck"/>
    <x v="0"/>
    <n v="12"/>
    <n v="94429"/>
    <x v="0"/>
    <s v="Red"/>
    <x v="8"/>
    <s v="Truck"/>
  </r>
  <r>
    <n v="915"/>
    <s v="Chevrolet,Minivan"/>
    <x v="1"/>
    <n v="25"/>
    <n v="97929"/>
    <x v="5"/>
    <s v="Silver"/>
    <x v="2"/>
    <s v="Minivan"/>
  </r>
  <r>
    <n v="916"/>
    <s v="Honda,Minivan"/>
    <x v="2"/>
    <n v="20"/>
    <n v="25603"/>
    <x v="4"/>
    <s v="Blue"/>
    <x v="4"/>
    <s v="Minivan"/>
  </r>
  <r>
    <n v="917"/>
    <s v="Volkswagen,Sedan"/>
    <x v="0"/>
    <n v="47"/>
    <n v="70467"/>
    <x v="3"/>
    <s v="Gray"/>
    <x v="6"/>
    <s v="Sedan"/>
  </r>
  <r>
    <n v="918"/>
    <s v="Audi,Convertible"/>
    <x v="1"/>
    <n v="45"/>
    <n v="74838"/>
    <x v="4"/>
    <s v="White"/>
    <x v="7"/>
    <s v="Convertible"/>
  </r>
  <r>
    <n v="919"/>
    <s v="Hyundai,Minivan"/>
    <x v="0"/>
    <n v="19"/>
    <n v="29134"/>
    <x v="6"/>
    <s v="Silver"/>
    <x v="8"/>
    <s v="Minivan"/>
  </r>
  <r>
    <n v="920"/>
    <s v="Ford,Convertible"/>
    <x v="1"/>
    <n v="9"/>
    <n v="47299"/>
    <x v="7"/>
    <s v="Red"/>
    <x v="0"/>
    <s v="Convertible"/>
  </r>
  <r>
    <n v="921"/>
    <s v="Hyundai,Minivan"/>
    <x v="0"/>
    <n v="12"/>
    <n v="58215"/>
    <x v="5"/>
    <s v="Gray"/>
    <x v="8"/>
    <s v="Minivan"/>
  </r>
  <r>
    <n v="922"/>
    <s v="BMW,Hatchback"/>
    <x v="3"/>
    <n v="47"/>
    <n v="77730"/>
    <x v="7"/>
    <s v="Black"/>
    <x v="9"/>
    <s v="Hatchback"/>
  </r>
  <r>
    <n v="923"/>
    <s v="Audi,Convertible"/>
    <x v="2"/>
    <n v="1"/>
    <n v="87445"/>
    <x v="0"/>
    <s v="Black"/>
    <x v="7"/>
    <s v="Convertible"/>
  </r>
  <r>
    <n v="924"/>
    <s v="BMW,Sedan"/>
    <x v="2"/>
    <n v="45"/>
    <n v="34514"/>
    <x v="0"/>
    <s v="White"/>
    <x v="9"/>
    <s v="Sedan"/>
  </r>
  <r>
    <n v="925"/>
    <s v="BMW,Hatchback"/>
    <x v="3"/>
    <n v="37"/>
    <n v="82148"/>
    <x v="0"/>
    <s v="Red"/>
    <x v="9"/>
    <s v="Hatchback"/>
  </r>
  <r>
    <n v="926"/>
    <s v="Ford,Truck"/>
    <x v="1"/>
    <n v="26"/>
    <n v="49495"/>
    <x v="7"/>
    <s v="Silver"/>
    <x v="0"/>
    <s v="Truck"/>
  </r>
  <r>
    <n v="927"/>
    <s v="Honda,Minivan"/>
    <x v="2"/>
    <n v="50"/>
    <n v="51093"/>
    <x v="0"/>
    <s v="Blue"/>
    <x v="4"/>
    <s v="Minivan"/>
  </r>
  <r>
    <n v="928"/>
    <s v="BMW,Convertible"/>
    <x v="1"/>
    <n v="37"/>
    <n v="90151"/>
    <x v="6"/>
    <s v="Blue"/>
    <x v="9"/>
    <s v="Convertible"/>
  </r>
  <r>
    <n v="929"/>
    <s v="Audi,SUV"/>
    <x v="0"/>
    <n v="3"/>
    <n v="75511"/>
    <x v="6"/>
    <s v="Red"/>
    <x v="7"/>
    <s v="SUV"/>
  </r>
  <r>
    <n v="930"/>
    <s v="Hyundai,Convertible"/>
    <x v="3"/>
    <n v="12"/>
    <n v="96933"/>
    <x v="0"/>
    <s v="Silver"/>
    <x v="8"/>
    <s v="Convertible"/>
  </r>
  <r>
    <n v="931"/>
    <s v="Chevrolet,Coupe"/>
    <x v="1"/>
    <n v="39"/>
    <n v="54028"/>
    <x v="0"/>
    <s v="Red"/>
    <x v="2"/>
    <s v="Coupe"/>
  </r>
  <r>
    <n v="932"/>
    <s v="Audi,SUV"/>
    <x v="1"/>
    <n v="21"/>
    <n v="61694"/>
    <x v="1"/>
    <s v="Silver"/>
    <x v="7"/>
    <s v="SUV"/>
  </r>
  <r>
    <n v="933"/>
    <s v="Nissan,SUV"/>
    <x v="2"/>
    <n v="40"/>
    <n v="65016"/>
    <x v="0"/>
    <s v="Black"/>
    <x v="5"/>
    <s v="SUV"/>
  </r>
  <r>
    <n v="934"/>
    <s v="Toyota,SUV"/>
    <x v="0"/>
    <n v="15"/>
    <n v="75927"/>
    <x v="3"/>
    <s v="Silver"/>
    <x v="1"/>
    <s v="SUV"/>
  </r>
  <r>
    <n v="935"/>
    <s v="Hyundai,Minivan"/>
    <x v="2"/>
    <n v="41"/>
    <n v="31787"/>
    <x v="7"/>
    <s v="Silver"/>
    <x v="8"/>
    <s v="Minivan"/>
  </r>
  <r>
    <n v="936"/>
    <s v="Ford,Hatchback"/>
    <x v="0"/>
    <n v="37"/>
    <n v="61127"/>
    <x v="6"/>
    <s v="Blue"/>
    <x v="0"/>
    <s v="Hatchback"/>
  </r>
  <r>
    <n v="937"/>
    <s v="BMW,Minivan"/>
    <x v="2"/>
    <n v="7"/>
    <n v="36331"/>
    <x v="5"/>
    <s v="White"/>
    <x v="9"/>
    <s v="Minivan"/>
  </r>
  <r>
    <n v="938"/>
    <s v="Chevrolet,Convertible"/>
    <x v="1"/>
    <n v="32"/>
    <n v="36693"/>
    <x v="6"/>
    <s v="Gray"/>
    <x v="2"/>
    <s v="Convertible"/>
  </r>
  <r>
    <n v="939"/>
    <s v="BMW,Minivan"/>
    <x v="1"/>
    <n v="10"/>
    <n v="71062"/>
    <x v="7"/>
    <s v="Gray"/>
    <x v="9"/>
    <s v="Minivan"/>
  </r>
  <r>
    <n v="940"/>
    <s v="Ford,SUV"/>
    <x v="3"/>
    <n v="22"/>
    <n v="95867"/>
    <x v="4"/>
    <s v="Blue"/>
    <x v="0"/>
    <s v="SUV"/>
  </r>
  <r>
    <n v="941"/>
    <s v="Audi,Hatchback"/>
    <x v="1"/>
    <n v="48"/>
    <n v="80425"/>
    <x v="4"/>
    <s v="Black"/>
    <x v="7"/>
    <s v="Hatchback"/>
  </r>
  <r>
    <n v="942"/>
    <s v="Nissan,Coupe"/>
    <x v="1"/>
    <n v="5"/>
    <n v="30573"/>
    <x v="7"/>
    <s v="Red"/>
    <x v="5"/>
    <s v="Coupe"/>
  </r>
  <r>
    <n v="943"/>
    <s v="Toyota,Sedan"/>
    <x v="1"/>
    <n v="16"/>
    <n v="76158"/>
    <x v="2"/>
    <s v="Blue"/>
    <x v="1"/>
    <s v="Sedan"/>
  </r>
  <r>
    <n v="944"/>
    <s v="Nissan,Coupe"/>
    <x v="1"/>
    <n v="23"/>
    <n v="29322"/>
    <x v="7"/>
    <s v="Red"/>
    <x v="5"/>
    <s v="Coupe"/>
  </r>
  <r>
    <n v="945"/>
    <s v="Hyundai,Truck"/>
    <x v="3"/>
    <n v="21"/>
    <n v="99228"/>
    <x v="4"/>
    <s v="Blue"/>
    <x v="8"/>
    <s v="Truck"/>
  </r>
  <r>
    <n v="946"/>
    <s v="Audi,Hatchback"/>
    <x v="0"/>
    <n v="11"/>
    <n v="46835"/>
    <x v="7"/>
    <s v="Gray"/>
    <x v="7"/>
    <s v="Hatchback"/>
  </r>
  <r>
    <n v="947"/>
    <s v="Toyota,Hatchback"/>
    <x v="3"/>
    <n v="41"/>
    <n v="80653"/>
    <x v="5"/>
    <s v="White"/>
    <x v="1"/>
    <s v="Hatchback"/>
  </r>
  <r>
    <n v="948"/>
    <s v="Tesla,SUV"/>
    <x v="3"/>
    <n v="6"/>
    <n v="91380"/>
    <x v="2"/>
    <s v="White"/>
    <x v="3"/>
    <s v="SUV"/>
  </r>
  <r>
    <n v="949"/>
    <s v="Nissan,Coupe"/>
    <x v="2"/>
    <n v="46"/>
    <n v="36673"/>
    <x v="3"/>
    <s v="Blue"/>
    <x v="5"/>
    <s v="Coupe"/>
  </r>
  <r>
    <n v="950"/>
    <s v="BMW,Convertible"/>
    <x v="0"/>
    <n v="43"/>
    <n v="58485"/>
    <x v="7"/>
    <s v="Blue"/>
    <x v="9"/>
    <s v="Convertible"/>
  </r>
  <r>
    <n v="951"/>
    <s v="Volkswagen,Truck"/>
    <x v="2"/>
    <n v="41"/>
    <n v="82720"/>
    <x v="3"/>
    <s v="Gray"/>
    <x v="6"/>
    <s v="Truck"/>
  </r>
  <r>
    <n v="952"/>
    <s v="Hyundai,Minivan"/>
    <x v="3"/>
    <n v="47"/>
    <n v="25616"/>
    <x v="1"/>
    <s v="Red"/>
    <x v="8"/>
    <s v="Minivan"/>
  </r>
  <r>
    <n v="953"/>
    <s v="Hyundai,Hatchback"/>
    <x v="1"/>
    <n v="22"/>
    <n v="72803"/>
    <x v="4"/>
    <s v="Red"/>
    <x v="8"/>
    <s v="Hatchback"/>
  </r>
  <r>
    <n v="954"/>
    <s v="Toyota,Minivan"/>
    <x v="0"/>
    <n v="29"/>
    <n v="62878"/>
    <x v="4"/>
    <s v="Gray"/>
    <x v="1"/>
    <s v="Minivan"/>
  </r>
  <r>
    <n v="955"/>
    <s v="Tesla,Coupe"/>
    <x v="1"/>
    <n v="1"/>
    <n v="65450"/>
    <x v="5"/>
    <s v="Black"/>
    <x v="3"/>
    <s v="Coupe"/>
  </r>
  <r>
    <n v="956"/>
    <s v="Chevrolet,SUV"/>
    <x v="3"/>
    <n v="17"/>
    <n v="84205"/>
    <x v="4"/>
    <s v="Black"/>
    <x v="2"/>
    <s v="SUV"/>
  </r>
  <r>
    <n v="957"/>
    <s v="Nissan,Convertible"/>
    <x v="3"/>
    <n v="14"/>
    <n v="95995"/>
    <x v="0"/>
    <s v="Blue"/>
    <x v="5"/>
    <s v="Convertible"/>
  </r>
  <r>
    <n v="958"/>
    <s v="Honda,SUV"/>
    <x v="3"/>
    <n v="16"/>
    <n v="61841"/>
    <x v="2"/>
    <s v="White"/>
    <x v="4"/>
    <s v="SUV"/>
  </r>
  <r>
    <n v="959"/>
    <s v="Chevrolet,Truck"/>
    <x v="0"/>
    <n v="45"/>
    <n v="46920"/>
    <x v="7"/>
    <s v="Black"/>
    <x v="2"/>
    <s v="Truck"/>
  </r>
  <r>
    <n v="960"/>
    <s v="Hyundai,Minivan"/>
    <x v="2"/>
    <n v="5"/>
    <n v="96669"/>
    <x v="3"/>
    <s v="Black"/>
    <x v="8"/>
    <s v="Minivan"/>
  </r>
  <r>
    <n v="961"/>
    <s v="Hyundai,Minivan"/>
    <x v="2"/>
    <n v="23"/>
    <n v="77711"/>
    <x v="5"/>
    <s v="Silver"/>
    <x v="8"/>
    <s v="Minivan"/>
  </r>
  <r>
    <n v="962"/>
    <s v="Ford,Coupe"/>
    <x v="1"/>
    <n v="17"/>
    <n v="94633"/>
    <x v="2"/>
    <s v="White"/>
    <x v="0"/>
    <s v="Coupe"/>
  </r>
  <r>
    <n v="963"/>
    <s v="Toyota,Minivan"/>
    <x v="0"/>
    <n v="7"/>
    <n v="75292"/>
    <x v="2"/>
    <s v="Red"/>
    <x v="1"/>
    <s v="Minivan"/>
  </r>
  <r>
    <n v="964"/>
    <s v="Volkswagen,SUV"/>
    <x v="1"/>
    <n v="47"/>
    <n v="62193"/>
    <x v="1"/>
    <s v="Red"/>
    <x v="6"/>
    <s v="SUV"/>
  </r>
  <r>
    <n v="965"/>
    <s v="Tesla,Truck"/>
    <x v="1"/>
    <n v="1"/>
    <n v="54846"/>
    <x v="3"/>
    <s v="Gray"/>
    <x v="3"/>
    <s v="Truck"/>
  </r>
  <r>
    <n v="966"/>
    <s v="Honda,Hatchback"/>
    <x v="2"/>
    <n v="4"/>
    <n v="33534"/>
    <x v="1"/>
    <s v="Red"/>
    <x v="4"/>
    <s v="Hatchback"/>
  </r>
  <r>
    <n v="967"/>
    <s v="Chevrolet,Convertible"/>
    <x v="0"/>
    <n v="25"/>
    <n v="80947"/>
    <x v="3"/>
    <s v="Silver"/>
    <x v="2"/>
    <s v="Convertible"/>
  </r>
  <r>
    <n v="968"/>
    <s v="Nissan,Coupe"/>
    <x v="3"/>
    <n v="29"/>
    <n v="98003"/>
    <x v="5"/>
    <s v="Blue"/>
    <x v="5"/>
    <s v="Coupe"/>
  </r>
  <r>
    <n v="969"/>
    <s v="Toyota,Coupe"/>
    <x v="1"/>
    <n v="47"/>
    <n v="97568"/>
    <x v="0"/>
    <s v="Blue"/>
    <x v="1"/>
    <s v="Coupe"/>
  </r>
  <r>
    <n v="970"/>
    <s v="Nissan,Minivan"/>
    <x v="3"/>
    <n v="27"/>
    <n v="74882"/>
    <x v="4"/>
    <s v="Red"/>
    <x v="5"/>
    <s v="Minivan"/>
  </r>
  <r>
    <n v="971"/>
    <s v="Audi,Truck"/>
    <x v="0"/>
    <n v="11"/>
    <n v="29709"/>
    <x v="3"/>
    <s v="White"/>
    <x v="7"/>
    <s v="Truck"/>
  </r>
  <r>
    <n v="972"/>
    <s v="Ford,Minivan"/>
    <x v="1"/>
    <n v="27"/>
    <n v="42117"/>
    <x v="5"/>
    <s v="Silver"/>
    <x v="0"/>
    <s v="Minivan"/>
  </r>
  <r>
    <n v="973"/>
    <s v="Tesla,Coupe"/>
    <x v="3"/>
    <n v="32"/>
    <n v="93180"/>
    <x v="2"/>
    <s v="Red"/>
    <x v="3"/>
    <s v="Coupe"/>
  </r>
  <r>
    <n v="974"/>
    <s v="Ford,Convertible"/>
    <x v="3"/>
    <n v="25"/>
    <n v="36197"/>
    <x v="1"/>
    <s v="Red"/>
    <x v="0"/>
    <s v="Convertible"/>
  </r>
  <r>
    <n v="975"/>
    <s v="Hyundai,Convertible"/>
    <x v="2"/>
    <n v="23"/>
    <n v="38286"/>
    <x v="6"/>
    <s v="Blue"/>
    <x v="8"/>
    <s v="Convertible"/>
  </r>
  <r>
    <n v="976"/>
    <s v="Ford,Coupe"/>
    <x v="0"/>
    <n v="35"/>
    <n v="55747"/>
    <x v="6"/>
    <s v="Gray"/>
    <x v="0"/>
    <s v="Coupe"/>
  </r>
  <r>
    <n v="977"/>
    <s v="Honda,SUV"/>
    <x v="0"/>
    <n v="25"/>
    <n v="87534"/>
    <x v="7"/>
    <s v="White"/>
    <x v="4"/>
    <s v="SUV"/>
  </r>
  <r>
    <n v="978"/>
    <s v="Hyundai,Minivan"/>
    <x v="0"/>
    <n v="7"/>
    <n v="69553"/>
    <x v="3"/>
    <s v="Silver"/>
    <x v="8"/>
    <s v="Minivan"/>
  </r>
  <r>
    <n v="979"/>
    <s v="Chevrolet,SUV"/>
    <x v="1"/>
    <n v="31"/>
    <n v="81839"/>
    <x v="3"/>
    <s v="Silver"/>
    <x v="2"/>
    <s v="SUV"/>
  </r>
  <r>
    <n v="980"/>
    <s v="Nissan,Minivan"/>
    <x v="2"/>
    <n v="37"/>
    <n v="44044"/>
    <x v="0"/>
    <s v="Black"/>
    <x v="5"/>
    <s v="Minivan"/>
  </r>
  <r>
    <n v="981"/>
    <s v="Chevrolet,Convertible"/>
    <x v="1"/>
    <n v="42"/>
    <n v="87637"/>
    <x v="5"/>
    <s v="White"/>
    <x v="2"/>
    <s v="Convertible"/>
  </r>
  <r>
    <n v="982"/>
    <s v="Audi,SUV"/>
    <x v="0"/>
    <n v="49"/>
    <n v="32869"/>
    <x v="1"/>
    <s v="Blue"/>
    <x v="7"/>
    <s v="SUV"/>
  </r>
  <r>
    <n v="983"/>
    <s v="Hyundai,Minivan"/>
    <x v="1"/>
    <n v="44"/>
    <n v="81338"/>
    <x v="2"/>
    <s v="Gray"/>
    <x v="8"/>
    <s v="Minivan"/>
  </r>
  <r>
    <n v="984"/>
    <s v="Hyundai,Truck"/>
    <x v="3"/>
    <n v="15"/>
    <n v="29603"/>
    <x v="5"/>
    <s v="Gray"/>
    <x v="8"/>
    <s v="Truck"/>
  </r>
  <r>
    <n v="985"/>
    <s v="Tesla,Sedan"/>
    <x v="1"/>
    <n v="11"/>
    <n v="33914"/>
    <x v="2"/>
    <s v="Black"/>
    <x v="3"/>
    <s v="Sedan"/>
  </r>
  <r>
    <n v="986"/>
    <s v="Hyundai,Hatchback"/>
    <x v="1"/>
    <n v="29"/>
    <n v="74697"/>
    <x v="4"/>
    <s v="Blue"/>
    <x v="8"/>
    <s v="Hatchback"/>
  </r>
  <r>
    <n v="987"/>
    <s v="Nissan,Coupe"/>
    <x v="0"/>
    <n v="5"/>
    <n v="81285"/>
    <x v="0"/>
    <s v="Red"/>
    <x v="5"/>
    <s v="Coupe"/>
  </r>
  <r>
    <n v="988"/>
    <s v="Honda,Minivan"/>
    <x v="3"/>
    <n v="3"/>
    <n v="52253"/>
    <x v="0"/>
    <s v="Black"/>
    <x v="4"/>
    <s v="Minivan"/>
  </r>
  <r>
    <n v="989"/>
    <s v="Audi,Truck"/>
    <x v="0"/>
    <n v="19"/>
    <n v="54230"/>
    <x v="0"/>
    <s v="Blue"/>
    <x v="7"/>
    <s v="Truck"/>
  </r>
  <r>
    <n v="990"/>
    <s v="Tesla,Convertible"/>
    <x v="3"/>
    <n v="2"/>
    <n v="70224"/>
    <x v="4"/>
    <s v="Red"/>
    <x v="3"/>
    <s v="Convertible"/>
  </r>
  <r>
    <n v="991"/>
    <s v="Volkswagen,Sedan"/>
    <x v="3"/>
    <n v="21"/>
    <n v="43663"/>
    <x v="6"/>
    <s v="Blue"/>
    <x v="6"/>
    <s v="Sedan"/>
  </r>
  <r>
    <n v="992"/>
    <s v="Nissan,Hatchback"/>
    <x v="3"/>
    <n v="17"/>
    <n v="81538"/>
    <x v="5"/>
    <s v="Gray"/>
    <x v="5"/>
    <s v="Hatchback"/>
  </r>
  <r>
    <n v="993"/>
    <s v="Honda,Minivan"/>
    <x v="0"/>
    <n v="7"/>
    <n v="91264"/>
    <x v="6"/>
    <s v="White"/>
    <x v="4"/>
    <s v="Minivan"/>
  </r>
  <r>
    <n v="994"/>
    <s v="Ford,Convertible"/>
    <x v="3"/>
    <n v="5"/>
    <n v="37810"/>
    <x v="7"/>
    <s v="Blue"/>
    <x v="0"/>
    <s v="Convertible"/>
  </r>
  <r>
    <n v="995"/>
    <s v="Chevrolet,Minivan"/>
    <x v="2"/>
    <n v="22"/>
    <n v="98131"/>
    <x v="3"/>
    <s v="White"/>
    <x v="2"/>
    <s v="Minivan"/>
  </r>
  <r>
    <n v="996"/>
    <s v="Audi,Sedan"/>
    <x v="2"/>
    <n v="11"/>
    <n v="89586"/>
    <x v="7"/>
    <s v="Blue"/>
    <x v="7"/>
    <s v="Sedan"/>
  </r>
  <r>
    <n v="997"/>
    <s v="BMW,Truck"/>
    <x v="2"/>
    <n v="25"/>
    <n v="38270"/>
    <x v="0"/>
    <s v="Red"/>
    <x v="9"/>
    <s v="Truck"/>
  </r>
  <r>
    <n v="998"/>
    <s v="Nissan,Sedan"/>
    <x v="2"/>
    <n v="11"/>
    <n v="32927"/>
    <x v="3"/>
    <s v="White"/>
    <x v="5"/>
    <s v="Sedan"/>
  </r>
  <r>
    <n v="999"/>
    <s v="Chevrolet,Minivan"/>
    <x v="0"/>
    <n v="47"/>
    <n v="41625"/>
    <x v="6"/>
    <s v="Silver"/>
    <x v="2"/>
    <s v="Minivan"/>
  </r>
  <r>
    <n v="1000"/>
    <s v="Toyota,SUV"/>
    <x v="1"/>
    <n v="5"/>
    <n v="34442"/>
    <x v="1"/>
    <s v="White"/>
    <x v="1"/>
    <s v="SU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30"/>
    <n v="77024"/>
    <x v="0"/>
    <x v="0"/>
  </r>
  <r>
    <n v="2"/>
    <x v="1"/>
    <x v="1"/>
    <x v="1"/>
    <n v="15"/>
    <n v="37515"/>
    <x v="1"/>
    <x v="1"/>
  </r>
  <r>
    <n v="3"/>
    <x v="2"/>
    <x v="0"/>
    <x v="2"/>
    <n v="26"/>
    <n v="93173"/>
    <x v="2"/>
    <x v="2"/>
  </r>
  <r>
    <n v="4"/>
    <x v="3"/>
    <x v="2"/>
    <x v="1"/>
    <n v="41"/>
    <n v="79996"/>
    <x v="3"/>
    <x v="2"/>
  </r>
  <r>
    <n v="5"/>
    <x v="3"/>
    <x v="3"/>
    <x v="3"/>
    <n v="12"/>
    <n v="31822"/>
    <x v="1"/>
    <x v="3"/>
  </r>
  <r>
    <n v="6"/>
    <x v="4"/>
    <x v="3"/>
    <x v="2"/>
    <n v="12"/>
    <n v="75831"/>
    <x v="4"/>
    <x v="4"/>
  </r>
  <r>
    <n v="7"/>
    <x v="0"/>
    <x v="1"/>
    <x v="1"/>
    <n v="41"/>
    <n v="96909"/>
    <x v="5"/>
    <x v="5"/>
  </r>
  <r>
    <n v="8"/>
    <x v="5"/>
    <x v="4"/>
    <x v="0"/>
    <n v="43"/>
    <n v="98569"/>
    <x v="0"/>
    <x v="1"/>
  </r>
  <r>
    <n v="9"/>
    <x v="0"/>
    <x v="2"/>
    <x v="3"/>
    <n v="28"/>
    <n v="78423"/>
    <x v="6"/>
    <x v="4"/>
  </r>
  <r>
    <n v="10"/>
    <x v="6"/>
    <x v="5"/>
    <x v="1"/>
    <n v="26"/>
    <n v="29769"/>
    <x v="3"/>
    <x v="5"/>
  </r>
  <r>
    <n v="11"/>
    <x v="7"/>
    <x v="4"/>
    <x v="3"/>
    <n v="2"/>
    <n v="59644"/>
    <x v="5"/>
    <x v="4"/>
  </r>
  <r>
    <n v="12"/>
    <x v="1"/>
    <x v="3"/>
    <x v="1"/>
    <n v="48"/>
    <n v="84311"/>
    <x v="1"/>
    <x v="2"/>
  </r>
  <r>
    <n v="13"/>
    <x v="1"/>
    <x v="4"/>
    <x v="0"/>
    <n v="40"/>
    <n v="65822"/>
    <x v="5"/>
    <x v="2"/>
  </r>
  <r>
    <n v="14"/>
    <x v="0"/>
    <x v="0"/>
    <x v="2"/>
    <n v="13"/>
    <n v="41907"/>
    <x v="6"/>
    <x v="1"/>
  </r>
  <r>
    <n v="15"/>
    <x v="3"/>
    <x v="0"/>
    <x v="1"/>
    <n v="29"/>
    <n v="32717"/>
    <x v="7"/>
    <x v="2"/>
  </r>
  <r>
    <n v="16"/>
    <x v="3"/>
    <x v="3"/>
    <x v="3"/>
    <n v="38"/>
    <n v="70228"/>
    <x v="7"/>
    <x v="2"/>
  </r>
  <r>
    <n v="17"/>
    <x v="5"/>
    <x v="2"/>
    <x v="0"/>
    <n v="28"/>
    <n v="63314"/>
    <x v="3"/>
    <x v="3"/>
  </r>
  <r>
    <n v="18"/>
    <x v="6"/>
    <x v="3"/>
    <x v="2"/>
    <n v="25"/>
    <n v="58509"/>
    <x v="7"/>
    <x v="3"/>
  </r>
  <r>
    <n v="19"/>
    <x v="1"/>
    <x v="4"/>
    <x v="3"/>
    <n v="1"/>
    <n v="46884"/>
    <x v="1"/>
    <x v="2"/>
  </r>
  <r>
    <n v="20"/>
    <x v="5"/>
    <x v="4"/>
    <x v="0"/>
    <n v="46"/>
    <n v="49657"/>
    <x v="6"/>
    <x v="1"/>
  </r>
  <r>
    <n v="21"/>
    <x v="3"/>
    <x v="0"/>
    <x v="3"/>
    <n v="14"/>
    <n v="78900"/>
    <x v="2"/>
    <x v="1"/>
  </r>
  <r>
    <n v="22"/>
    <x v="5"/>
    <x v="2"/>
    <x v="0"/>
    <n v="14"/>
    <n v="72159"/>
    <x v="1"/>
    <x v="4"/>
  </r>
  <r>
    <n v="23"/>
    <x v="7"/>
    <x v="5"/>
    <x v="2"/>
    <n v="18"/>
    <n v="55875"/>
    <x v="2"/>
    <x v="2"/>
  </r>
  <r>
    <n v="24"/>
    <x v="3"/>
    <x v="1"/>
    <x v="2"/>
    <n v="49"/>
    <n v="40668"/>
    <x v="3"/>
    <x v="2"/>
  </r>
  <r>
    <n v="25"/>
    <x v="8"/>
    <x v="5"/>
    <x v="3"/>
    <n v="46"/>
    <n v="29660"/>
    <x v="4"/>
    <x v="0"/>
  </r>
  <r>
    <n v="26"/>
    <x v="6"/>
    <x v="3"/>
    <x v="0"/>
    <n v="5"/>
    <n v="40017"/>
    <x v="1"/>
    <x v="4"/>
  </r>
  <r>
    <n v="27"/>
    <x v="2"/>
    <x v="4"/>
    <x v="1"/>
    <n v="37"/>
    <n v="67150"/>
    <x v="5"/>
    <x v="3"/>
  </r>
  <r>
    <n v="28"/>
    <x v="1"/>
    <x v="5"/>
    <x v="2"/>
    <n v="7"/>
    <n v="60180"/>
    <x v="5"/>
    <x v="3"/>
  </r>
  <r>
    <n v="29"/>
    <x v="4"/>
    <x v="2"/>
    <x v="1"/>
    <n v="35"/>
    <n v="96396"/>
    <x v="1"/>
    <x v="1"/>
  </r>
  <r>
    <n v="30"/>
    <x v="7"/>
    <x v="2"/>
    <x v="1"/>
    <n v="12"/>
    <n v="96639"/>
    <x v="2"/>
    <x v="5"/>
  </r>
  <r>
    <n v="31"/>
    <x v="9"/>
    <x v="4"/>
    <x v="3"/>
    <n v="24"/>
    <n v="67390"/>
    <x v="5"/>
    <x v="5"/>
  </r>
  <r>
    <n v="32"/>
    <x v="2"/>
    <x v="6"/>
    <x v="3"/>
    <n v="21"/>
    <n v="34904"/>
    <x v="1"/>
    <x v="2"/>
  </r>
  <r>
    <n v="33"/>
    <x v="4"/>
    <x v="0"/>
    <x v="3"/>
    <n v="13"/>
    <n v="96628"/>
    <x v="6"/>
    <x v="2"/>
  </r>
  <r>
    <n v="34"/>
    <x v="3"/>
    <x v="1"/>
    <x v="0"/>
    <n v="30"/>
    <n v="75254"/>
    <x v="1"/>
    <x v="4"/>
  </r>
  <r>
    <n v="35"/>
    <x v="9"/>
    <x v="4"/>
    <x v="2"/>
    <n v="8"/>
    <n v="80934"/>
    <x v="0"/>
    <x v="0"/>
  </r>
  <r>
    <n v="36"/>
    <x v="0"/>
    <x v="1"/>
    <x v="2"/>
    <n v="17"/>
    <n v="65565"/>
    <x v="4"/>
    <x v="0"/>
  </r>
  <r>
    <n v="37"/>
    <x v="0"/>
    <x v="2"/>
    <x v="1"/>
    <n v="43"/>
    <n v="84273"/>
    <x v="2"/>
    <x v="1"/>
  </r>
  <r>
    <n v="38"/>
    <x v="7"/>
    <x v="4"/>
    <x v="3"/>
    <n v="32"/>
    <n v="37016"/>
    <x v="0"/>
    <x v="4"/>
  </r>
  <r>
    <n v="39"/>
    <x v="0"/>
    <x v="4"/>
    <x v="0"/>
    <n v="34"/>
    <n v="54005"/>
    <x v="5"/>
    <x v="5"/>
  </r>
  <r>
    <n v="40"/>
    <x v="9"/>
    <x v="1"/>
    <x v="2"/>
    <n v="41"/>
    <n v="86030"/>
    <x v="5"/>
    <x v="0"/>
  </r>
  <r>
    <n v="41"/>
    <x v="9"/>
    <x v="2"/>
    <x v="0"/>
    <n v="21"/>
    <n v="93030"/>
    <x v="2"/>
    <x v="5"/>
  </r>
  <r>
    <n v="42"/>
    <x v="6"/>
    <x v="2"/>
    <x v="3"/>
    <n v="39"/>
    <n v="52788"/>
    <x v="1"/>
    <x v="4"/>
  </r>
  <r>
    <n v="43"/>
    <x v="2"/>
    <x v="1"/>
    <x v="3"/>
    <n v="25"/>
    <n v="81201"/>
    <x v="4"/>
    <x v="0"/>
  </r>
  <r>
    <n v="44"/>
    <x v="1"/>
    <x v="5"/>
    <x v="2"/>
    <n v="40"/>
    <n v="83974"/>
    <x v="3"/>
    <x v="3"/>
  </r>
  <r>
    <n v="45"/>
    <x v="8"/>
    <x v="4"/>
    <x v="1"/>
    <n v="26"/>
    <n v="67158"/>
    <x v="6"/>
    <x v="2"/>
  </r>
  <r>
    <n v="46"/>
    <x v="5"/>
    <x v="6"/>
    <x v="1"/>
    <n v="38"/>
    <n v="28192"/>
    <x v="0"/>
    <x v="0"/>
  </r>
  <r>
    <n v="47"/>
    <x v="0"/>
    <x v="5"/>
    <x v="3"/>
    <n v="8"/>
    <n v="38766"/>
    <x v="4"/>
    <x v="0"/>
  </r>
  <r>
    <n v="48"/>
    <x v="7"/>
    <x v="3"/>
    <x v="3"/>
    <n v="23"/>
    <n v="93042"/>
    <x v="3"/>
    <x v="4"/>
  </r>
  <r>
    <n v="49"/>
    <x v="0"/>
    <x v="3"/>
    <x v="1"/>
    <n v="23"/>
    <n v="37039"/>
    <x v="6"/>
    <x v="1"/>
  </r>
  <r>
    <n v="50"/>
    <x v="5"/>
    <x v="0"/>
    <x v="3"/>
    <n v="30"/>
    <n v="75522"/>
    <x v="1"/>
    <x v="3"/>
  </r>
  <r>
    <n v="51"/>
    <x v="2"/>
    <x v="2"/>
    <x v="2"/>
    <n v="40"/>
    <n v="63907"/>
    <x v="2"/>
    <x v="2"/>
  </r>
  <r>
    <n v="52"/>
    <x v="6"/>
    <x v="6"/>
    <x v="2"/>
    <n v="12"/>
    <n v="30965"/>
    <x v="7"/>
    <x v="3"/>
  </r>
  <r>
    <n v="53"/>
    <x v="9"/>
    <x v="2"/>
    <x v="0"/>
    <n v="44"/>
    <n v="87144"/>
    <x v="4"/>
    <x v="4"/>
  </r>
  <r>
    <n v="54"/>
    <x v="6"/>
    <x v="2"/>
    <x v="1"/>
    <n v="46"/>
    <n v="65150"/>
    <x v="1"/>
    <x v="4"/>
  </r>
  <r>
    <n v="55"/>
    <x v="3"/>
    <x v="4"/>
    <x v="3"/>
    <n v="20"/>
    <n v="60773"/>
    <x v="7"/>
    <x v="2"/>
  </r>
  <r>
    <n v="56"/>
    <x v="0"/>
    <x v="6"/>
    <x v="0"/>
    <n v="40"/>
    <n v="83223"/>
    <x v="3"/>
    <x v="3"/>
  </r>
  <r>
    <n v="57"/>
    <x v="1"/>
    <x v="3"/>
    <x v="2"/>
    <n v="38"/>
    <n v="90033"/>
    <x v="4"/>
    <x v="3"/>
  </r>
  <r>
    <n v="58"/>
    <x v="3"/>
    <x v="4"/>
    <x v="1"/>
    <n v="6"/>
    <n v="29674"/>
    <x v="0"/>
    <x v="1"/>
  </r>
  <r>
    <n v="59"/>
    <x v="2"/>
    <x v="6"/>
    <x v="2"/>
    <n v="44"/>
    <n v="63119"/>
    <x v="1"/>
    <x v="5"/>
  </r>
  <r>
    <n v="60"/>
    <x v="0"/>
    <x v="1"/>
    <x v="3"/>
    <n v="9"/>
    <n v="46509"/>
    <x v="3"/>
    <x v="3"/>
  </r>
  <r>
    <n v="61"/>
    <x v="3"/>
    <x v="5"/>
    <x v="0"/>
    <n v="21"/>
    <n v="37152"/>
    <x v="3"/>
    <x v="4"/>
  </r>
  <r>
    <n v="62"/>
    <x v="0"/>
    <x v="4"/>
    <x v="3"/>
    <n v="8"/>
    <n v="93097"/>
    <x v="5"/>
    <x v="2"/>
  </r>
  <r>
    <n v="63"/>
    <x v="7"/>
    <x v="2"/>
    <x v="3"/>
    <n v="16"/>
    <n v="55208"/>
    <x v="6"/>
    <x v="2"/>
  </r>
  <r>
    <n v="64"/>
    <x v="2"/>
    <x v="1"/>
    <x v="1"/>
    <n v="20"/>
    <n v="70627"/>
    <x v="2"/>
    <x v="1"/>
  </r>
  <r>
    <n v="65"/>
    <x v="8"/>
    <x v="5"/>
    <x v="1"/>
    <n v="8"/>
    <n v="64098"/>
    <x v="3"/>
    <x v="5"/>
  </r>
  <r>
    <n v="66"/>
    <x v="9"/>
    <x v="6"/>
    <x v="3"/>
    <n v="12"/>
    <n v="58827"/>
    <x v="7"/>
    <x v="2"/>
  </r>
  <r>
    <n v="67"/>
    <x v="4"/>
    <x v="4"/>
    <x v="1"/>
    <n v="24"/>
    <n v="65852"/>
    <x v="1"/>
    <x v="1"/>
  </r>
  <r>
    <n v="68"/>
    <x v="9"/>
    <x v="2"/>
    <x v="0"/>
    <n v="45"/>
    <n v="61904"/>
    <x v="1"/>
    <x v="2"/>
  </r>
  <r>
    <n v="69"/>
    <x v="9"/>
    <x v="0"/>
    <x v="0"/>
    <n v="10"/>
    <n v="96255"/>
    <x v="5"/>
    <x v="0"/>
  </r>
  <r>
    <n v="70"/>
    <x v="3"/>
    <x v="0"/>
    <x v="3"/>
    <n v="33"/>
    <n v="82405"/>
    <x v="7"/>
    <x v="4"/>
  </r>
  <r>
    <n v="71"/>
    <x v="2"/>
    <x v="3"/>
    <x v="0"/>
    <n v="25"/>
    <n v="51773"/>
    <x v="4"/>
    <x v="3"/>
  </r>
  <r>
    <n v="72"/>
    <x v="0"/>
    <x v="1"/>
    <x v="3"/>
    <n v="27"/>
    <n v="60691"/>
    <x v="0"/>
    <x v="5"/>
  </r>
  <r>
    <n v="73"/>
    <x v="6"/>
    <x v="4"/>
    <x v="0"/>
    <n v="39"/>
    <n v="32869"/>
    <x v="0"/>
    <x v="3"/>
  </r>
  <r>
    <n v="74"/>
    <x v="4"/>
    <x v="1"/>
    <x v="2"/>
    <n v="9"/>
    <n v="28555"/>
    <x v="7"/>
    <x v="3"/>
  </r>
  <r>
    <n v="75"/>
    <x v="5"/>
    <x v="6"/>
    <x v="3"/>
    <n v="37"/>
    <n v="39519"/>
    <x v="6"/>
    <x v="0"/>
  </r>
  <r>
    <n v="76"/>
    <x v="3"/>
    <x v="2"/>
    <x v="0"/>
    <n v="25"/>
    <n v="84785"/>
    <x v="5"/>
    <x v="5"/>
  </r>
  <r>
    <n v="77"/>
    <x v="4"/>
    <x v="0"/>
    <x v="2"/>
    <n v="28"/>
    <n v="31027"/>
    <x v="6"/>
    <x v="3"/>
  </r>
  <r>
    <n v="78"/>
    <x v="8"/>
    <x v="2"/>
    <x v="3"/>
    <n v="12"/>
    <n v="79362"/>
    <x v="7"/>
    <x v="1"/>
  </r>
  <r>
    <n v="79"/>
    <x v="7"/>
    <x v="1"/>
    <x v="0"/>
    <n v="32"/>
    <n v="49083"/>
    <x v="6"/>
    <x v="2"/>
  </r>
  <r>
    <n v="80"/>
    <x v="2"/>
    <x v="2"/>
    <x v="0"/>
    <n v="41"/>
    <n v="66335"/>
    <x v="4"/>
    <x v="4"/>
  </r>
  <r>
    <n v="81"/>
    <x v="5"/>
    <x v="3"/>
    <x v="2"/>
    <n v="35"/>
    <n v="93382"/>
    <x v="7"/>
    <x v="2"/>
  </r>
  <r>
    <n v="82"/>
    <x v="3"/>
    <x v="4"/>
    <x v="1"/>
    <n v="45"/>
    <n v="52078"/>
    <x v="2"/>
    <x v="4"/>
  </r>
  <r>
    <n v="83"/>
    <x v="9"/>
    <x v="0"/>
    <x v="1"/>
    <n v="42"/>
    <n v="65316"/>
    <x v="6"/>
    <x v="1"/>
  </r>
  <r>
    <n v="84"/>
    <x v="1"/>
    <x v="1"/>
    <x v="2"/>
    <n v="12"/>
    <n v="45607"/>
    <x v="7"/>
    <x v="2"/>
  </r>
  <r>
    <n v="85"/>
    <x v="3"/>
    <x v="1"/>
    <x v="2"/>
    <n v="36"/>
    <n v="35768"/>
    <x v="4"/>
    <x v="0"/>
  </r>
  <r>
    <n v="86"/>
    <x v="1"/>
    <x v="2"/>
    <x v="3"/>
    <n v="11"/>
    <n v="42146"/>
    <x v="3"/>
    <x v="1"/>
  </r>
  <r>
    <n v="87"/>
    <x v="9"/>
    <x v="4"/>
    <x v="1"/>
    <n v="32"/>
    <n v="37839"/>
    <x v="5"/>
    <x v="0"/>
  </r>
  <r>
    <n v="88"/>
    <x v="7"/>
    <x v="2"/>
    <x v="3"/>
    <n v="19"/>
    <n v="51734"/>
    <x v="1"/>
    <x v="5"/>
  </r>
  <r>
    <n v="89"/>
    <x v="2"/>
    <x v="3"/>
    <x v="0"/>
    <n v="9"/>
    <n v="67678"/>
    <x v="2"/>
    <x v="2"/>
  </r>
  <r>
    <n v="90"/>
    <x v="0"/>
    <x v="6"/>
    <x v="2"/>
    <n v="12"/>
    <n v="59718"/>
    <x v="1"/>
    <x v="0"/>
  </r>
  <r>
    <n v="91"/>
    <x v="3"/>
    <x v="3"/>
    <x v="3"/>
    <n v="21"/>
    <n v="62827"/>
    <x v="1"/>
    <x v="2"/>
  </r>
  <r>
    <n v="92"/>
    <x v="6"/>
    <x v="6"/>
    <x v="2"/>
    <n v="29"/>
    <n v="36230"/>
    <x v="6"/>
    <x v="5"/>
  </r>
  <r>
    <n v="93"/>
    <x v="9"/>
    <x v="5"/>
    <x v="3"/>
    <n v="40"/>
    <n v="56668"/>
    <x v="7"/>
    <x v="3"/>
  </r>
  <r>
    <n v="94"/>
    <x v="3"/>
    <x v="1"/>
    <x v="0"/>
    <n v="4"/>
    <n v="25173"/>
    <x v="3"/>
    <x v="2"/>
  </r>
  <r>
    <n v="95"/>
    <x v="8"/>
    <x v="1"/>
    <x v="0"/>
    <n v="23"/>
    <n v="28990"/>
    <x v="3"/>
    <x v="5"/>
  </r>
  <r>
    <n v="96"/>
    <x v="7"/>
    <x v="0"/>
    <x v="1"/>
    <n v="1"/>
    <n v="26440"/>
    <x v="5"/>
    <x v="1"/>
  </r>
  <r>
    <n v="97"/>
    <x v="8"/>
    <x v="5"/>
    <x v="1"/>
    <n v="32"/>
    <n v="76505"/>
    <x v="2"/>
    <x v="2"/>
  </r>
  <r>
    <n v="98"/>
    <x v="4"/>
    <x v="1"/>
    <x v="0"/>
    <n v="9"/>
    <n v="86067"/>
    <x v="2"/>
    <x v="1"/>
  </r>
  <r>
    <n v="99"/>
    <x v="2"/>
    <x v="6"/>
    <x v="3"/>
    <n v="13"/>
    <n v="40674"/>
    <x v="5"/>
    <x v="5"/>
  </r>
  <r>
    <n v="100"/>
    <x v="4"/>
    <x v="4"/>
    <x v="2"/>
    <n v="25"/>
    <n v="82750"/>
    <x v="6"/>
    <x v="1"/>
  </r>
  <r>
    <n v="101"/>
    <x v="3"/>
    <x v="6"/>
    <x v="0"/>
    <n v="36"/>
    <n v="62409"/>
    <x v="6"/>
    <x v="0"/>
  </r>
  <r>
    <n v="102"/>
    <x v="5"/>
    <x v="2"/>
    <x v="0"/>
    <n v="33"/>
    <n v="61410"/>
    <x v="0"/>
    <x v="3"/>
  </r>
  <r>
    <n v="103"/>
    <x v="5"/>
    <x v="1"/>
    <x v="3"/>
    <n v="42"/>
    <n v="64707"/>
    <x v="1"/>
    <x v="1"/>
  </r>
  <r>
    <n v="104"/>
    <x v="2"/>
    <x v="1"/>
    <x v="0"/>
    <n v="32"/>
    <n v="80119"/>
    <x v="7"/>
    <x v="0"/>
  </r>
  <r>
    <n v="105"/>
    <x v="6"/>
    <x v="2"/>
    <x v="0"/>
    <n v="27"/>
    <n v="58807"/>
    <x v="5"/>
    <x v="3"/>
  </r>
  <r>
    <n v="106"/>
    <x v="7"/>
    <x v="6"/>
    <x v="3"/>
    <n v="44"/>
    <n v="58282"/>
    <x v="4"/>
    <x v="5"/>
  </r>
  <r>
    <n v="107"/>
    <x v="6"/>
    <x v="4"/>
    <x v="0"/>
    <n v="32"/>
    <n v="87144"/>
    <x v="1"/>
    <x v="5"/>
  </r>
  <r>
    <n v="108"/>
    <x v="7"/>
    <x v="5"/>
    <x v="1"/>
    <n v="27"/>
    <n v="65200"/>
    <x v="3"/>
    <x v="2"/>
  </r>
  <r>
    <n v="109"/>
    <x v="9"/>
    <x v="1"/>
    <x v="1"/>
    <n v="46"/>
    <n v="63043"/>
    <x v="3"/>
    <x v="0"/>
  </r>
  <r>
    <n v="110"/>
    <x v="3"/>
    <x v="0"/>
    <x v="1"/>
    <n v="29"/>
    <n v="50521"/>
    <x v="5"/>
    <x v="4"/>
  </r>
  <r>
    <n v="111"/>
    <x v="4"/>
    <x v="6"/>
    <x v="1"/>
    <n v="32"/>
    <n v="40846"/>
    <x v="2"/>
    <x v="3"/>
  </r>
  <r>
    <n v="112"/>
    <x v="5"/>
    <x v="6"/>
    <x v="0"/>
    <n v="11"/>
    <n v="34294"/>
    <x v="3"/>
    <x v="2"/>
  </r>
  <r>
    <n v="113"/>
    <x v="8"/>
    <x v="0"/>
    <x v="2"/>
    <n v="6"/>
    <n v="64172"/>
    <x v="5"/>
    <x v="2"/>
  </r>
  <r>
    <n v="114"/>
    <x v="0"/>
    <x v="2"/>
    <x v="1"/>
    <n v="37"/>
    <n v="71689"/>
    <x v="5"/>
    <x v="5"/>
  </r>
  <r>
    <n v="115"/>
    <x v="1"/>
    <x v="6"/>
    <x v="1"/>
    <n v="2"/>
    <n v="63110"/>
    <x v="0"/>
    <x v="1"/>
  </r>
  <r>
    <n v="116"/>
    <x v="0"/>
    <x v="0"/>
    <x v="0"/>
    <n v="49"/>
    <n v="66332"/>
    <x v="1"/>
    <x v="3"/>
  </r>
  <r>
    <n v="117"/>
    <x v="4"/>
    <x v="0"/>
    <x v="0"/>
    <n v="15"/>
    <n v="81488"/>
    <x v="0"/>
    <x v="4"/>
  </r>
  <r>
    <n v="118"/>
    <x v="4"/>
    <x v="0"/>
    <x v="3"/>
    <n v="19"/>
    <n v="97032"/>
    <x v="6"/>
    <x v="5"/>
  </r>
  <r>
    <n v="119"/>
    <x v="7"/>
    <x v="4"/>
    <x v="1"/>
    <n v="3"/>
    <n v="60843"/>
    <x v="2"/>
    <x v="5"/>
  </r>
  <r>
    <n v="120"/>
    <x v="6"/>
    <x v="5"/>
    <x v="3"/>
    <n v="18"/>
    <n v="87914"/>
    <x v="0"/>
    <x v="4"/>
  </r>
  <r>
    <n v="121"/>
    <x v="0"/>
    <x v="5"/>
    <x v="1"/>
    <n v="15"/>
    <n v="84063"/>
    <x v="0"/>
    <x v="1"/>
  </r>
  <r>
    <n v="122"/>
    <x v="7"/>
    <x v="3"/>
    <x v="2"/>
    <n v="35"/>
    <n v="58054"/>
    <x v="7"/>
    <x v="0"/>
  </r>
  <r>
    <n v="123"/>
    <x v="7"/>
    <x v="4"/>
    <x v="0"/>
    <n v="19"/>
    <n v="54524"/>
    <x v="0"/>
    <x v="0"/>
  </r>
  <r>
    <n v="124"/>
    <x v="6"/>
    <x v="3"/>
    <x v="0"/>
    <n v="11"/>
    <n v="44167"/>
    <x v="3"/>
    <x v="4"/>
  </r>
  <r>
    <n v="125"/>
    <x v="8"/>
    <x v="1"/>
    <x v="3"/>
    <n v="50"/>
    <n v="71582"/>
    <x v="5"/>
    <x v="3"/>
  </r>
  <r>
    <n v="126"/>
    <x v="5"/>
    <x v="2"/>
    <x v="3"/>
    <n v="30"/>
    <n v="33399"/>
    <x v="3"/>
    <x v="1"/>
  </r>
  <r>
    <n v="127"/>
    <x v="2"/>
    <x v="5"/>
    <x v="0"/>
    <n v="37"/>
    <n v="31121"/>
    <x v="1"/>
    <x v="1"/>
  </r>
  <r>
    <n v="128"/>
    <x v="5"/>
    <x v="5"/>
    <x v="0"/>
    <n v="48"/>
    <n v="34404"/>
    <x v="6"/>
    <x v="2"/>
  </r>
  <r>
    <n v="129"/>
    <x v="1"/>
    <x v="5"/>
    <x v="0"/>
    <n v="50"/>
    <n v="58260"/>
    <x v="6"/>
    <x v="1"/>
  </r>
  <r>
    <n v="130"/>
    <x v="0"/>
    <x v="6"/>
    <x v="1"/>
    <n v="50"/>
    <n v="37098"/>
    <x v="2"/>
    <x v="4"/>
  </r>
  <r>
    <n v="131"/>
    <x v="5"/>
    <x v="3"/>
    <x v="1"/>
    <n v="32"/>
    <n v="82343"/>
    <x v="1"/>
    <x v="3"/>
  </r>
  <r>
    <n v="132"/>
    <x v="2"/>
    <x v="2"/>
    <x v="2"/>
    <n v="36"/>
    <n v="78187"/>
    <x v="2"/>
    <x v="1"/>
  </r>
  <r>
    <n v="133"/>
    <x v="9"/>
    <x v="4"/>
    <x v="1"/>
    <n v="33"/>
    <n v="58490"/>
    <x v="7"/>
    <x v="2"/>
  </r>
  <r>
    <n v="134"/>
    <x v="0"/>
    <x v="3"/>
    <x v="0"/>
    <n v="8"/>
    <n v="67914"/>
    <x v="5"/>
    <x v="0"/>
  </r>
  <r>
    <n v="135"/>
    <x v="2"/>
    <x v="1"/>
    <x v="1"/>
    <n v="37"/>
    <n v="46197"/>
    <x v="6"/>
    <x v="1"/>
  </r>
  <r>
    <n v="136"/>
    <x v="7"/>
    <x v="5"/>
    <x v="3"/>
    <n v="8"/>
    <n v="71320"/>
    <x v="5"/>
    <x v="1"/>
  </r>
  <r>
    <n v="137"/>
    <x v="4"/>
    <x v="4"/>
    <x v="0"/>
    <n v="18"/>
    <n v="84233"/>
    <x v="3"/>
    <x v="3"/>
  </r>
  <r>
    <n v="138"/>
    <x v="8"/>
    <x v="3"/>
    <x v="1"/>
    <n v="50"/>
    <n v="71143"/>
    <x v="1"/>
    <x v="4"/>
  </r>
  <r>
    <n v="139"/>
    <x v="1"/>
    <x v="5"/>
    <x v="0"/>
    <n v="35"/>
    <n v="77511"/>
    <x v="2"/>
    <x v="4"/>
  </r>
  <r>
    <n v="140"/>
    <x v="2"/>
    <x v="5"/>
    <x v="3"/>
    <n v="24"/>
    <n v="68349"/>
    <x v="3"/>
    <x v="2"/>
  </r>
  <r>
    <n v="141"/>
    <x v="5"/>
    <x v="4"/>
    <x v="3"/>
    <n v="35"/>
    <n v="91751"/>
    <x v="4"/>
    <x v="1"/>
  </r>
  <r>
    <n v="142"/>
    <x v="4"/>
    <x v="1"/>
    <x v="1"/>
    <n v="49"/>
    <n v="40733"/>
    <x v="0"/>
    <x v="3"/>
  </r>
  <r>
    <n v="143"/>
    <x v="5"/>
    <x v="0"/>
    <x v="0"/>
    <n v="3"/>
    <n v="39716"/>
    <x v="2"/>
    <x v="2"/>
  </r>
  <r>
    <n v="144"/>
    <x v="0"/>
    <x v="4"/>
    <x v="2"/>
    <n v="49"/>
    <n v="70187"/>
    <x v="2"/>
    <x v="4"/>
  </r>
  <r>
    <n v="145"/>
    <x v="2"/>
    <x v="0"/>
    <x v="3"/>
    <n v="47"/>
    <n v="47401"/>
    <x v="6"/>
    <x v="5"/>
  </r>
  <r>
    <n v="146"/>
    <x v="5"/>
    <x v="1"/>
    <x v="2"/>
    <n v="29"/>
    <n v="92848"/>
    <x v="5"/>
    <x v="2"/>
  </r>
  <r>
    <n v="147"/>
    <x v="6"/>
    <x v="6"/>
    <x v="1"/>
    <n v="35"/>
    <n v="66070"/>
    <x v="4"/>
    <x v="5"/>
  </r>
  <r>
    <n v="148"/>
    <x v="3"/>
    <x v="2"/>
    <x v="3"/>
    <n v="14"/>
    <n v="80936"/>
    <x v="6"/>
    <x v="5"/>
  </r>
  <r>
    <n v="149"/>
    <x v="4"/>
    <x v="4"/>
    <x v="2"/>
    <n v="28"/>
    <n v="60649"/>
    <x v="0"/>
    <x v="2"/>
  </r>
  <r>
    <n v="150"/>
    <x v="9"/>
    <x v="0"/>
    <x v="3"/>
    <n v="7"/>
    <n v="37395"/>
    <x v="6"/>
    <x v="2"/>
  </r>
  <r>
    <n v="151"/>
    <x v="4"/>
    <x v="1"/>
    <x v="2"/>
    <n v="48"/>
    <n v="67138"/>
    <x v="6"/>
    <x v="3"/>
  </r>
  <r>
    <n v="152"/>
    <x v="5"/>
    <x v="3"/>
    <x v="0"/>
    <n v="42"/>
    <n v="98941"/>
    <x v="6"/>
    <x v="2"/>
  </r>
  <r>
    <n v="153"/>
    <x v="5"/>
    <x v="5"/>
    <x v="0"/>
    <n v="49"/>
    <n v="28134"/>
    <x v="5"/>
    <x v="0"/>
  </r>
  <r>
    <n v="154"/>
    <x v="1"/>
    <x v="6"/>
    <x v="1"/>
    <n v="16"/>
    <n v="93947"/>
    <x v="6"/>
    <x v="4"/>
  </r>
  <r>
    <n v="155"/>
    <x v="6"/>
    <x v="4"/>
    <x v="3"/>
    <n v="20"/>
    <n v="90093"/>
    <x v="6"/>
    <x v="1"/>
  </r>
  <r>
    <n v="156"/>
    <x v="9"/>
    <x v="0"/>
    <x v="2"/>
    <n v="3"/>
    <n v="68509"/>
    <x v="6"/>
    <x v="2"/>
  </r>
  <r>
    <n v="157"/>
    <x v="8"/>
    <x v="3"/>
    <x v="1"/>
    <n v="29"/>
    <n v="96428"/>
    <x v="6"/>
    <x v="5"/>
  </r>
  <r>
    <n v="158"/>
    <x v="1"/>
    <x v="0"/>
    <x v="0"/>
    <n v="17"/>
    <n v="62641"/>
    <x v="2"/>
    <x v="5"/>
  </r>
  <r>
    <n v="159"/>
    <x v="0"/>
    <x v="1"/>
    <x v="0"/>
    <n v="23"/>
    <n v="32831"/>
    <x v="4"/>
    <x v="2"/>
  </r>
  <r>
    <n v="160"/>
    <x v="9"/>
    <x v="4"/>
    <x v="1"/>
    <n v="6"/>
    <n v="76091"/>
    <x v="3"/>
    <x v="1"/>
  </r>
  <r>
    <n v="161"/>
    <x v="2"/>
    <x v="1"/>
    <x v="3"/>
    <n v="29"/>
    <n v="63718"/>
    <x v="3"/>
    <x v="1"/>
  </r>
  <r>
    <n v="162"/>
    <x v="3"/>
    <x v="0"/>
    <x v="2"/>
    <n v="8"/>
    <n v="58159"/>
    <x v="3"/>
    <x v="3"/>
  </r>
  <r>
    <n v="163"/>
    <x v="1"/>
    <x v="4"/>
    <x v="0"/>
    <n v="50"/>
    <n v="40952"/>
    <x v="0"/>
    <x v="3"/>
  </r>
  <r>
    <n v="164"/>
    <x v="3"/>
    <x v="2"/>
    <x v="1"/>
    <n v="16"/>
    <n v="48902"/>
    <x v="7"/>
    <x v="3"/>
  </r>
  <r>
    <n v="165"/>
    <x v="6"/>
    <x v="0"/>
    <x v="0"/>
    <n v="14"/>
    <n v="52021"/>
    <x v="7"/>
    <x v="1"/>
  </r>
  <r>
    <n v="166"/>
    <x v="0"/>
    <x v="5"/>
    <x v="0"/>
    <n v="48"/>
    <n v="67975"/>
    <x v="0"/>
    <x v="5"/>
  </r>
  <r>
    <n v="167"/>
    <x v="0"/>
    <x v="4"/>
    <x v="2"/>
    <n v="38"/>
    <n v="99278"/>
    <x v="2"/>
    <x v="3"/>
  </r>
  <r>
    <n v="168"/>
    <x v="8"/>
    <x v="2"/>
    <x v="3"/>
    <n v="45"/>
    <n v="99881"/>
    <x v="2"/>
    <x v="2"/>
  </r>
  <r>
    <n v="169"/>
    <x v="0"/>
    <x v="4"/>
    <x v="3"/>
    <n v="23"/>
    <n v="39851"/>
    <x v="0"/>
    <x v="3"/>
  </r>
  <r>
    <n v="170"/>
    <x v="5"/>
    <x v="6"/>
    <x v="2"/>
    <n v="46"/>
    <n v="57598"/>
    <x v="5"/>
    <x v="2"/>
  </r>
  <r>
    <n v="171"/>
    <x v="4"/>
    <x v="5"/>
    <x v="1"/>
    <n v="40"/>
    <n v="59472"/>
    <x v="0"/>
    <x v="2"/>
  </r>
  <r>
    <n v="172"/>
    <x v="4"/>
    <x v="4"/>
    <x v="1"/>
    <n v="41"/>
    <n v="83041"/>
    <x v="4"/>
    <x v="5"/>
  </r>
  <r>
    <n v="173"/>
    <x v="8"/>
    <x v="3"/>
    <x v="3"/>
    <n v="28"/>
    <n v="72013"/>
    <x v="5"/>
    <x v="4"/>
  </r>
  <r>
    <n v="174"/>
    <x v="5"/>
    <x v="0"/>
    <x v="0"/>
    <n v="11"/>
    <n v="50120"/>
    <x v="1"/>
    <x v="2"/>
  </r>
  <r>
    <n v="175"/>
    <x v="4"/>
    <x v="3"/>
    <x v="0"/>
    <n v="40"/>
    <n v="80386"/>
    <x v="6"/>
    <x v="3"/>
  </r>
  <r>
    <n v="176"/>
    <x v="2"/>
    <x v="0"/>
    <x v="1"/>
    <n v="9"/>
    <n v="54810"/>
    <x v="4"/>
    <x v="5"/>
  </r>
  <r>
    <n v="177"/>
    <x v="5"/>
    <x v="1"/>
    <x v="2"/>
    <n v="14"/>
    <n v="54102"/>
    <x v="7"/>
    <x v="5"/>
  </r>
  <r>
    <n v="178"/>
    <x v="6"/>
    <x v="0"/>
    <x v="0"/>
    <n v="14"/>
    <n v="51592"/>
    <x v="1"/>
    <x v="1"/>
  </r>
  <r>
    <n v="179"/>
    <x v="7"/>
    <x v="6"/>
    <x v="1"/>
    <n v="4"/>
    <n v="85527"/>
    <x v="0"/>
    <x v="2"/>
  </r>
  <r>
    <n v="180"/>
    <x v="3"/>
    <x v="2"/>
    <x v="2"/>
    <n v="37"/>
    <n v="44533"/>
    <x v="7"/>
    <x v="3"/>
  </r>
  <r>
    <n v="181"/>
    <x v="5"/>
    <x v="1"/>
    <x v="3"/>
    <n v="23"/>
    <n v="63058"/>
    <x v="2"/>
    <x v="2"/>
  </r>
  <r>
    <n v="182"/>
    <x v="3"/>
    <x v="4"/>
    <x v="2"/>
    <n v="35"/>
    <n v="38871"/>
    <x v="1"/>
    <x v="3"/>
  </r>
  <r>
    <n v="183"/>
    <x v="2"/>
    <x v="0"/>
    <x v="3"/>
    <n v="18"/>
    <n v="80593"/>
    <x v="4"/>
    <x v="0"/>
  </r>
  <r>
    <n v="184"/>
    <x v="7"/>
    <x v="6"/>
    <x v="1"/>
    <n v="39"/>
    <n v="43935"/>
    <x v="0"/>
    <x v="1"/>
  </r>
  <r>
    <n v="185"/>
    <x v="9"/>
    <x v="3"/>
    <x v="2"/>
    <n v="35"/>
    <n v="38057"/>
    <x v="3"/>
    <x v="5"/>
  </r>
  <r>
    <n v="186"/>
    <x v="8"/>
    <x v="2"/>
    <x v="1"/>
    <n v="11"/>
    <n v="72444"/>
    <x v="0"/>
    <x v="1"/>
  </r>
  <r>
    <n v="187"/>
    <x v="5"/>
    <x v="1"/>
    <x v="3"/>
    <n v="21"/>
    <n v="92351"/>
    <x v="2"/>
    <x v="0"/>
  </r>
  <r>
    <n v="188"/>
    <x v="8"/>
    <x v="2"/>
    <x v="0"/>
    <n v="46"/>
    <n v="33600"/>
    <x v="7"/>
    <x v="4"/>
  </r>
  <r>
    <n v="189"/>
    <x v="0"/>
    <x v="1"/>
    <x v="0"/>
    <n v="19"/>
    <n v="70785"/>
    <x v="7"/>
    <x v="1"/>
  </r>
  <r>
    <n v="190"/>
    <x v="3"/>
    <x v="6"/>
    <x v="3"/>
    <n v="19"/>
    <n v="70172"/>
    <x v="6"/>
    <x v="1"/>
  </r>
  <r>
    <n v="191"/>
    <x v="3"/>
    <x v="3"/>
    <x v="0"/>
    <n v="37"/>
    <n v="63485"/>
    <x v="1"/>
    <x v="0"/>
  </r>
  <r>
    <n v="192"/>
    <x v="0"/>
    <x v="1"/>
    <x v="0"/>
    <n v="18"/>
    <n v="25687"/>
    <x v="3"/>
    <x v="1"/>
  </r>
  <r>
    <n v="193"/>
    <x v="9"/>
    <x v="4"/>
    <x v="2"/>
    <n v="33"/>
    <n v="56913"/>
    <x v="2"/>
    <x v="1"/>
  </r>
  <r>
    <n v="194"/>
    <x v="1"/>
    <x v="2"/>
    <x v="2"/>
    <n v="44"/>
    <n v="80258"/>
    <x v="2"/>
    <x v="0"/>
  </r>
  <r>
    <n v="195"/>
    <x v="6"/>
    <x v="0"/>
    <x v="0"/>
    <n v="7"/>
    <n v="98948"/>
    <x v="5"/>
    <x v="0"/>
  </r>
  <r>
    <n v="196"/>
    <x v="5"/>
    <x v="2"/>
    <x v="2"/>
    <n v="9"/>
    <n v="49380"/>
    <x v="4"/>
    <x v="5"/>
  </r>
  <r>
    <n v="197"/>
    <x v="3"/>
    <x v="2"/>
    <x v="3"/>
    <n v="49"/>
    <n v="96080"/>
    <x v="5"/>
    <x v="4"/>
  </r>
  <r>
    <n v="198"/>
    <x v="6"/>
    <x v="5"/>
    <x v="2"/>
    <n v="27"/>
    <n v="61805"/>
    <x v="6"/>
    <x v="3"/>
  </r>
  <r>
    <n v="199"/>
    <x v="3"/>
    <x v="3"/>
    <x v="2"/>
    <n v="4"/>
    <n v="57181"/>
    <x v="5"/>
    <x v="3"/>
  </r>
  <r>
    <n v="200"/>
    <x v="1"/>
    <x v="2"/>
    <x v="2"/>
    <n v="18"/>
    <n v="94661"/>
    <x v="0"/>
    <x v="4"/>
  </r>
  <r>
    <n v="201"/>
    <x v="0"/>
    <x v="0"/>
    <x v="1"/>
    <n v="42"/>
    <n v="57117"/>
    <x v="2"/>
    <x v="4"/>
  </r>
  <r>
    <n v="202"/>
    <x v="1"/>
    <x v="5"/>
    <x v="3"/>
    <n v="9"/>
    <n v="92239"/>
    <x v="2"/>
    <x v="4"/>
  </r>
  <r>
    <n v="203"/>
    <x v="3"/>
    <x v="1"/>
    <x v="0"/>
    <n v="45"/>
    <n v="99016"/>
    <x v="4"/>
    <x v="0"/>
  </r>
  <r>
    <n v="204"/>
    <x v="0"/>
    <x v="5"/>
    <x v="0"/>
    <n v="9"/>
    <n v="98275"/>
    <x v="0"/>
    <x v="3"/>
  </r>
  <r>
    <n v="205"/>
    <x v="1"/>
    <x v="3"/>
    <x v="1"/>
    <n v="16"/>
    <n v="87305"/>
    <x v="1"/>
    <x v="2"/>
  </r>
  <r>
    <n v="206"/>
    <x v="9"/>
    <x v="0"/>
    <x v="2"/>
    <n v="10"/>
    <n v="54003"/>
    <x v="6"/>
    <x v="2"/>
  </r>
  <r>
    <n v="207"/>
    <x v="0"/>
    <x v="1"/>
    <x v="3"/>
    <n v="46"/>
    <n v="75129"/>
    <x v="1"/>
    <x v="2"/>
  </r>
  <r>
    <n v="208"/>
    <x v="5"/>
    <x v="2"/>
    <x v="3"/>
    <n v="21"/>
    <n v="67432"/>
    <x v="2"/>
    <x v="5"/>
  </r>
  <r>
    <n v="209"/>
    <x v="3"/>
    <x v="1"/>
    <x v="0"/>
    <n v="16"/>
    <n v="89967"/>
    <x v="2"/>
    <x v="4"/>
  </r>
  <r>
    <n v="210"/>
    <x v="2"/>
    <x v="2"/>
    <x v="1"/>
    <n v="49"/>
    <n v="67295"/>
    <x v="1"/>
    <x v="4"/>
  </r>
  <r>
    <n v="211"/>
    <x v="8"/>
    <x v="1"/>
    <x v="1"/>
    <n v="44"/>
    <n v="85230"/>
    <x v="5"/>
    <x v="3"/>
  </r>
  <r>
    <n v="212"/>
    <x v="3"/>
    <x v="1"/>
    <x v="1"/>
    <n v="26"/>
    <n v="77228"/>
    <x v="0"/>
    <x v="1"/>
  </r>
  <r>
    <n v="213"/>
    <x v="5"/>
    <x v="2"/>
    <x v="1"/>
    <n v="32"/>
    <n v="43097"/>
    <x v="4"/>
    <x v="0"/>
  </r>
  <r>
    <n v="214"/>
    <x v="4"/>
    <x v="5"/>
    <x v="3"/>
    <n v="10"/>
    <n v="45479"/>
    <x v="4"/>
    <x v="3"/>
  </r>
  <r>
    <n v="215"/>
    <x v="6"/>
    <x v="1"/>
    <x v="2"/>
    <n v="37"/>
    <n v="55706"/>
    <x v="6"/>
    <x v="5"/>
  </r>
  <r>
    <n v="216"/>
    <x v="6"/>
    <x v="6"/>
    <x v="0"/>
    <n v="41"/>
    <n v="68832"/>
    <x v="3"/>
    <x v="1"/>
  </r>
  <r>
    <n v="217"/>
    <x v="8"/>
    <x v="1"/>
    <x v="3"/>
    <n v="18"/>
    <n v="52662"/>
    <x v="5"/>
    <x v="4"/>
  </r>
  <r>
    <n v="218"/>
    <x v="3"/>
    <x v="1"/>
    <x v="1"/>
    <n v="41"/>
    <n v="73970"/>
    <x v="6"/>
    <x v="0"/>
  </r>
  <r>
    <n v="219"/>
    <x v="8"/>
    <x v="6"/>
    <x v="1"/>
    <n v="27"/>
    <n v="72256"/>
    <x v="1"/>
    <x v="1"/>
  </r>
  <r>
    <n v="220"/>
    <x v="7"/>
    <x v="0"/>
    <x v="0"/>
    <n v="25"/>
    <n v="33476"/>
    <x v="1"/>
    <x v="0"/>
  </r>
  <r>
    <n v="221"/>
    <x v="3"/>
    <x v="2"/>
    <x v="2"/>
    <n v="29"/>
    <n v="46064"/>
    <x v="6"/>
    <x v="2"/>
  </r>
  <r>
    <n v="222"/>
    <x v="0"/>
    <x v="4"/>
    <x v="2"/>
    <n v="5"/>
    <n v="98433"/>
    <x v="4"/>
    <x v="4"/>
  </r>
  <r>
    <n v="223"/>
    <x v="0"/>
    <x v="6"/>
    <x v="2"/>
    <n v="41"/>
    <n v="29662"/>
    <x v="4"/>
    <x v="4"/>
  </r>
  <r>
    <n v="224"/>
    <x v="7"/>
    <x v="3"/>
    <x v="1"/>
    <n v="50"/>
    <n v="90387"/>
    <x v="0"/>
    <x v="4"/>
  </r>
  <r>
    <n v="225"/>
    <x v="9"/>
    <x v="0"/>
    <x v="3"/>
    <n v="6"/>
    <n v="26501"/>
    <x v="7"/>
    <x v="0"/>
  </r>
  <r>
    <n v="226"/>
    <x v="7"/>
    <x v="1"/>
    <x v="3"/>
    <n v="26"/>
    <n v="48383"/>
    <x v="4"/>
    <x v="0"/>
  </r>
  <r>
    <n v="227"/>
    <x v="7"/>
    <x v="5"/>
    <x v="2"/>
    <n v="33"/>
    <n v="52838"/>
    <x v="1"/>
    <x v="5"/>
  </r>
  <r>
    <n v="228"/>
    <x v="8"/>
    <x v="6"/>
    <x v="0"/>
    <n v="48"/>
    <n v="57828"/>
    <x v="0"/>
    <x v="5"/>
  </r>
  <r>
    <n v="229"/>
    <x v="1"/>
    <x v="0"/>
    <x v="2"/>
    <n v="18"/>
    <n v="25084"/>
    <x v="4"/>
    <x v="5"/>
  </r>
  <r>
    <n v="230"/>
    <x v="0"/>
    <x v="0"/>
    <x v="2"/>
    <n v="45"/>
    <n v="68863"/>
    <x v="2"/>
    <x v="3"/>
  </r>
  <r>
    <n v="231"/>
    <x v="1"/>
    <x v="1"/>
    <x v="0"/>
    <n v="24"/>
    <n v="50227"/>
    <x v="0"/>
    <x v="2"/>
  </r>
  <r>
    <n v="232"/>
    <x v="7"/>
    <x v="4"/>
    <x v="2"/>
    <n v="30"/>
    <n v="82825"/>
    <x v="5"/>
    <x v="2"/>
  </r>
  <r>
    <n v="233"/>
    <x v="9"/>
    <x v="5"/>
    <x v="0"/>
    <n v="32"/>
    <n v="38080"/>
    <x v="5"/>
    <x v="0"/>
  </r>
  <r>
    <n v="234"/>
    <x v="0"/>
    <x v="5"/>
    <x v="0"/>
    <n v="21"/>
    <n v="42649"/>
    <x v="7"/>
    <x v="5"/>
  </r>
  <r>
    <n v="235"/>
    <x v="3"/>
    <x v="5"/>
    <x v="3"/>
    <n v="38"/>
    <n v="56502"/>
    <x v="1"/>
    <x v="4"/>
  </r>
  <r>
    <n v="236"/>
    <x v="3"/>
    <x v="2"/>
    <x v="0"/>
    <n v="1"/>
    <n v="78599"/>
    <x v="3"/>
    <x v="4"/>
  </r>
  <r>
    <n v="237"/>
    <x v="3"/>
    <x v="3"/>
    <x v="2"/>
    <n v="50"/>
    <n v="27824"/>
    <x v="4"/>
    <x v="2"/>
  </r>
  <r>
    <n v="238"/>
    <x v="5"/>
    <x v="0"/>
    <x v="0"/>
    <n v="47"/>
    <n v="25018"/>
    <x v="7"/>
    <x v="2"/>
  </r>
  <r>
    <n v="239"/>
    <x v="8"/>
    <x v="3"/>
    <x v="2"/>
    <n v="6"/>
    <n v="90932"/>
    <x v="6"/>
    <x v="0"/>
  </r>
  <r>
    <n v="240"/>
    <x v="4"/>
    <x v="3"/>
    <x v="0"/>
    <n v="47"/>
    <n v="32893"/>
    <x v="5"/>
    <x v="0"/>
  </r>
  <r>
    <n v="241"/>
    <x v="7"/>
    <x v="0"/>
    <x v="3"/>
    <n v="30"/>
    <n v="38839"/>
    <x v="0"/>
    <x v="1"/>
  </r>
  <r>
    <n v="242"/>
    <x v="4"/>
    <x v="2"/>
    <x v="2"/>
    <n v="41"/>
    <n v="92963"/>
    <x v="3"/>
    <x v="1"/>
  </r>
  <r>
    <n v="243"/>
    <x v="2"/>
    <x v="5"/>
    <x v="2"/>
    <n v="43"/>
    <n v="34485"/>
    <x v="0"/>
    <x v="0"/>
  </r>
  <r>
    <n v="244"/>
    <x v="8"/>
    <x v="0"/>
    <x v="2"/>
    <n v="45"/>
    <n v="88620"/>
    <x v="2"/>
    <x v="1"/>
  </r>
  <r>
    <n v="245"/>
    <x v="3"/>
    <x v="2"/>
    <x v="0"/>
    <n v="23"/>
    <n v="42104"/>
    <x v="5"/>
    <x v="2"/>
  </r>
  <r>
    <n v="246"/>
    <x v="0"/>
    <x v="4"/>
    <x v="3"/>
    <n v="5"/>
    <n v="98195"/>
    <x v="2"/>
    <x v="0"/>
  </r>
  <r>
    <n v="247"/>
    <x v="8"/>
    <x v="2"/>
    <x v="3"/>
    <n v="35"/>
    <n v="38436"/>
    <x v="2"/>
    <x v="0"/>
  </r>
  <r>
    <n v="248"/>
    <x v="5"/>
    <x v="0"/>
    <x v="3"/>
    <n v="26"/>
    <n v="98049"/>
    <x v="5"/>
    <x v="5"/>
  </r>
  <r>
    <n v="249"/>
    <x v="0"/>
    <x v="1"/>
    <x v="3"/>
    <n v="14"/>
    <n v="71131"/>
    <x v="2"/>
    <x v="2"/>
  </r>
  <r>
    <n v="250"/>
    <x v="1"/>
    <x v="2"/>
    <x v="0"/>
    <n v="28"/>
    <n v="26796"/>
    <x v="7"/>
    <x v="2"/>
  </r>
  <r>
    <n v="251"/>
    <x v="5"/>
    <x v="0"/>
    <x v="2"/>
    <n v="14"/>
    <n v="60827"/>
    <x v="1"/>
    <x v="3"/>
  </r>
  <r>
    <n v="252"/>
    <x v="1"/>
    <x v="2"/>
    <x v="1"/>
    <n v="32"/>
    <n v="79735"/>
    <x v="3"/>
    <x v="3"/>
  </r>
  <r>
    <n v="253"/>
    <x v="0"/>
    <x v="6"/>
    <x v="3"/>
    <n v="18"/>
    <n v="71863"/>
    <x v="2"/>
    <x v="5"/>
  </r>
  <r>
    <n v="254"/>
    <x v="3"/>
    <x v="4"/>
    <x v="1"/>
    <n v="21"/>
    <n v="95516"/>
    <x v="6"/>
    <x v="3"/>
  </r>
  <r>
    <n v="255"/>
    <x v="4"/>
    <x v="6"/>
    <x v="0"/>
    <n v="19"/>
    <n v="65342"/>
    <x v="4"/>
    <x v="1"/>
  </r>
  <r>
    <n v="256"/>
    <x v="7"/>
    <x v="5"/>
    <x v="0"/>
    <n v="22"/>
    <s v="Sale Price"/>
    <x v="5"/>
    <x v="0"/>
  </r>
  <r>
    <n v="257"/>
    <x v="8"/>
    <x v="2"/>
    <x v="1"/>
    <n v="36"/>
    <n v="63178.482291184198"/>
    <x v="2"/>
    <x v="4"/>
  </r>
  <r>
    <n v="258"/>
    <x v="8"/>
    <x v="5"/>
    <x v="2"/>
    <n v="37"/>
    <n v="63180.628767417402"/>
    <x v="2"/>
    <x v="1"/>
  </r>
  <r>
    <n v="259"/>
    <x v="3"/>
    <x v="2"/>
    <x v="1"/>
    <n v="9"/>
    <n v="63182.775243650598"/>
    <x v="0"/>
    <x v="2"/>
  </r>
  <r>
    <n v="260"/>
    <x v="7"/>
    <x v="1"/>
    <x v="0"/>
    <n v="37"/>
    <n v="63184.921719883801"/>
    <x v="0"/>
    <x v="3"/>
  </r>
  <r>
    <n v="261"/>
    <x v="1"/>
    <x v="1"/>
    <x v="1"/>
    <n v="32"/>
    <n v="63187.068196116998"/>
    <x v="3"/>
    <x v="4"/>
  </r>
  <r>
    <n v="262"/>
    <x v="4"/>
    <x v="1"/>
    <x v="3"/>
    <n v="22"/>
    <n v="63189.214672350201"/>
    <x v="1"/>
    <x v="1"/>
  </r>
  <r>
    <n v="263"/>
    <x v="7"/>
    <x v="4"/>
    <x v="3"/>
    <n v="44"/>
    <n v="63191.361148583397"/>
    <x v="5"/>
    <x v="2"/>
  </r>
  <r>
    <n v="264"/>
    <x v="1"/>
    <x v="2"/>
    <x v="2"/>
    <n v="49"/>
    <n v="63193.507624816702"/>
    <x v="0"/>
    <x v="3"/>
  </r>
  <r>
    <n v="265"/>
    <x v="7"/>
    <x v="2"/>
    <x v="1"/>
    <n v="4"/>
    <n v="63195.654101049899"/>
    <x v="4"/>
    <x v="0"/>
  </r>
  <r>
    <n v="266"/>
    <x v="2"/>
    <x v="3"/>
    <x v="1"/>
    <n v="3"/>
    <n v="63197.800577283102"/>
    <x v="4"/>
    <x v="0"/>
  </r>
  <r>
    <n v="267"/>
    <x v="8"/>
    <x v="0"/>
    <x v="1"/>
    <n v="7"/>
    <n v="63199.947053516298"/>
    <x v="2"/>
    <x v="3"/>
  </r>
  <r>
    <n v="268"/>
    <x v="2"/>
    <x v="6"/>
    <x v="1"/>
    <n v="41"/>
    <n v="63202.093529749502"/>
    <x v="1"/>
    <x v="0"/>
  </r>
  <r>
    <n v="269"/>
    <x v="7"/>
    <x v="2"/>
    <x v="2"/>
    <n v="30"/>
    <n v="63204.240005982698"/>
    <x v="1"/>
    <x v="5"/>
  </r>
  <r>
    <n v="270"/>
    <x v="5"/>
    <x v="4"/>
    <x v="0"/>
    <n v="2"/>
    <n v="63206.386482215901"/>
    <x v="3"/>
    <x v="3"/>
  </r>
  <r>
    <n v="271"/>
    <x v="8"/>
    <x v="6"/>
    <x v="2"/>
    <n v="8"/>
    <n v="63208.532958449097"/>
    <x v="3"/>
    <x v="5"/>
  </r>
  <r>
    <n v="272"/>
    <x v="4"/>
    <x v="0"/>
    <x v="0"/>
    <n v="11"/>
    <n v="63210.679434682301"/>
    <x v="4"/>
    <x v="3"/>
  </r>
  <r>
    <n v="273"/>
    <x v="3"/>
    <x v="3"/>
    <x v="0"/>
    <n v="29"/>
    <n v="63212.825910915497"/>
    <x v="2"/>
    <x v="5"/>
  </r>
  <r>
    <n v="274"/>
    <x v="2"/>
    <x v="6"/>
    <x v="0"/>
    <n v="30"/>
    <n v="63214.972387148802"/>
    <x v="6"/>
    <x v="0"/>
  </r>
  <r>
    <n v="275"/>
    <x v="3"/>
    <x v="4"/>
    <x v="1"/>
    <n v="1"/>
    <n v="63217.118863381998"/>
    <x v="2"/>
    <x v="0"/>
  </r>
  <r>
    <n v="276"/>
    <x v="1"/>
    <x v="0"/>
    <x v="2"/>
    <n v="28"/>
    <n v="63219.265339615202"/>
    <x v="2"/>
    <x v="1"/>
  </r>
  <r>
    <n v="277"/>
    <x v="6"/>
    <x v="1"/>
    <x v="0"/>
    <n v="13"/>
    <n v="63221.411815848398"/>
    <x v="5"/>
    <x v="2"/>
  </r>
  <r>
    <n v="278"/>
    <x v="5"/>
    <x v="1"/>
    <x v="3"/>
    <n v="45"/>
    <n v="63223.558292081601"/>
    <x v="5"/>
    <x v="5"/>
  </r>
  <r>
    <n v="279"/>
    <x v="1"/>
    <x v="1"/>
    <x v="0"/>
    <n v="9"/>
    <n v="63225.704768314798"/>
    <x v="1"/>
    <x v="4"/>
  </r>
  <r>
    <n v="280"/>
    <x v="9"/>
    <x v="0"/>
    <x v="2"/>
    <n v="42"/>
    <n v="63227.851244548001"/>
    <x v="5"/>
    <x v="3"/>
  </r>
  <r>
    <n v="281"/>
    <x v="1"/>
    <x v="3"/>
    <x v="1"/>
    <n v="20"/>
    <n v="63229.997720781197"/>
    <x v="0"/>
    <x v="0"/>
  </r>
  <r>
    <n v="282"/>
    <x v="1"/>
    <x v="4"/>
    <x v="3"/>
    <n v="11"/>
    <n v="63232.144197014401"/>
    <x v="2"/>
    <x v="0"/>
  </r>
  <r>
    <n v="283"/>
    <x v="6"/>
    <x v="2"/>
    <x v="0"/>
    <n v="18"/>
    <n v="63234.290673247597"/>
    <x v="0"/>
    <x v="3"/>
  </r>
  <r>
    <n v="284"/>
    <x v="8"/>
    <x v="1"/>
    <x v="1"/>
    <n v="6"/>
    <n v="63236.437149480902"/>
    <x v="1"/>
    <x v="2"/>
  </r>
  <r>
    <n v="285"/>
    <x v="5"/>
    <x v="0"/>
    <x v="2"/>
    <n v="42"/>
    <n v="63238.583625714098"/>
    <x v="4"/>
    <x v="3"/>
  </r>
  <r>
    <n v="286"/>
    <x v="5"/>
    <x v="6"/>
    <x v="2"/>
    <n v="24"/>
    <n v="63240.730101947302"/>
    <x v="4"/>
    <x v="4"/>
  </r>
  <r>
    <n v="287"/>
    <x v="4"/>
    <x v="1"/>
    <x v="3"/>
    <n v="17"/>
    <n v="63242.876578180498"/>
    <x v="7"/>
    <x v="5"/>
  </r>
  <r>
    <n v="288"/>
    <x v="1"/>
    <x v="5"/>
    <x v="3"/>
    <n v="6"/>
    <n v="63245.023054413701"/>
    <x v="4"/>
    <x v="5"/>
  </r>
  <r>
    <n v="289"/>
    <x v="5"/>
    <x v="4"/>
    <x v="0"/>
    <n v="24"/>
    <n v="63247.169530646897"/>
    <x v="6"/>
    <x v="4"/>
  </r>
  <r>
    <n v="290"/>
    <x v="0"/>
    <x v="6"/>
    <x v="1"/>
    <n v="43"/>
    <n v="63249.316006880101"/>
    <x v="5"/>
    <x v="4"/>
  </r>
  <r>
    <n v="291"/>
    <x v="4"/>
    <x v="3"/>
    <x v="1"/>
    <n v="42"/>
    <n v="63251.462483113297"/>
    <x v="3"/>
    <x v="1"/>
  </r>
  <r>
    <n v="292"/>
    <x v="0"/>
    <x v="3"/>
    <x v="2"/>
    <n v="11"/>
    <n v="63253.6089593465"/>
    <x v="6"/>
    <x v="4"/>
  </r>
  <r>
    <n v="293"/>
    <x v="6"/>
    <x v="0"/>
    <x v="2"/>
    <n v="4"/>
    <n v="63255.755435579696"/>
    <x v="4"/>
    <x v="4"/>
  </r>
  <r>
    <n v="294"/>
    <x v="0"/>
    <x v="3"/>
    <x v="0"/>
    <n v="26"/>
    <n v="63257.901911813002"/>
    <x v="1"/>
    <x v="3"/>
  </r>
  <r>
    <n v="295"/>
    <x v="3"/>
    <x v="5"/>
    <x v="0"/>
    <n v="41"/>
    <n v="63260.048388046198"/>
    <x v="3"/>
    <x v="0"/>
  </r>
  <r>
    <n v="296"/>
    <x v="7"/>
    <x v="1"/>
    <x v="2"/>
    <n v="20"/>
    <n v="63262.194864279401"/>
    <x v="3"/>
    <x v="1"/>
  </r>
  <r>
    <n v="297"/>
    <x v="0"/>
    <x v="6"/>
    <x v="2"/>
    <n v="47"/>
    <n v="63264.341340512598"/>
    <x v="3"/>
    <x v="3"/>
  </r>
  <r>
    <n v="298"/>
    <x v="6"/>
    <x v="1"/>
    <x v="1"/>
    <n v="45"/>
    <n v="63266.487816745801"/>
    <x v="0"/>
    <x v="3"/>
  </r>
  <r>
    <n v="299"/>
    <x v="3"/>
    <x v="2"/>
    <x v="1"/>
    <n v="49"/>
    <n v="63268.634292978997"/>
    <x v="7"/>
    <x v="0"/>
  </r>
  <r>
    <n v="300"/>
    <x v="6"/>
    <x v="4"/>
    <x v="1"/>
    <n v="15"/>
    <n v="63270.780769212201"/>
    <x v="7"/>
    <x v="2"/>
  </r>
  <r>
    <n v="301"/>
    <x v="6"/>
    <x v="1"/>
    <x v="0"/>
    <n v="28"/>
    <n v="63272.927245445397"/>
    <x v="1"/>
    <x v="3"/>
  </r>
  <r>
    <n v="302"/>
    <x v="1"/>
    <x v="0"/>
    <x v="1"/>
    <n v="42"/>
    <n v="63275.0737216786"/>
    <x v="3"/>
    <x v="1"/>
  </r>
  <r>
    <n v="303"/>
    <x v="6"/>
    <x v="1"/>
    <x v="3"/>
    <n v="6"/>
    <n v="63277.220197911804"/>
    <x v="3"/>
    <x v="0"/>
  </r>
  <r>
    <n v="304"/>
    <x v="0"/>
    <x v="4"/>
    <x v="3"/>
    <n v="46"/>
    <n v="63279.366674145102"/>
    <x v="5"/>
    <x v="5"/>
  </r>
  <r>
    <n v="305"/>
    <x v="7"/>
    <x v="6"/>
    <x v="1"/>
    <n v="7"/>
    <n v="63281.513150378298"/>
    <x v="4"/>
    <x v="2"/>
  </r>
  <r>
    <n v="306"/>
    <x v="6"/>
    <x v="5"/>
    <x v="1"/>
    <n v="1"/>
    <n v="63283.659626611501"/>
    <x v="3"/>
    <x v="0"/>
  </r>
  <r>
    <n v="307"/>
    <x v="6"/>
    <x v="6"/>
    <x v="2"/>
    <n v="14"/>
    <n v="63285.806102844697"/>
    <x v="1"/>
    <x v="1"/>
  </r>
  <r>
    <n v="308"/>
    <x v="5"/>
    <x v="6"/>
    <x v="2"/>
    <n v="31"/>
    <n v="63287.952579077901"/>
    <x v="5"/>
    <x v="3"/>
  </r>
  <r>
    <n v="309"/>
    <x v="9"/>
    <x v="0"/>
    <x v="0"/>
    <n v="5"/>
    <n v="63290.099055311097"/>
    <x v="6"/>
    <x v="1"/>
  </r>
  <r>
    <n v="310"/>
    <x v="2"/>
    <x v="4"/>
    <x v="3"/>
    <n v="9"/>
    <n v="63292.2455315443"/>
    <x v="6"/>
    <x v="4"/>
  </r>
  <r>
    <n v="311"/>
    <x v="3"/>
    <x v="6"/>
    <x v="3"/>
    <n v="38"/>
    <n v="63294.392007777496"/>
    <x v="5"/>
    <x v="3"/>
  </r>
  <r>
    <n v="312"/>
    <x v="9"/>
    <x v="6"/>
    <x v="0"/>
    <n v="15"/>
    <n v="63296.5384840107"/>
    <x v="0"/>
    <x v="0"/>
  </r>
  <r>
    <n v="313"/>
    <x v="3"/>
    <x v="5"/>
    <x v="1"/>
    <n v="34"/>
    <n v="63298.684960243903"/>
    <x v="4"/>
    <x v="2"/>
  </r>
  <r>
    <n v="314"/>
    <x v="2"/>
    <x v="3"/>
    <x v="1"/>
    <n v="44"/>
    <n v="63300.831436477201"/>
    <x v="4"/>
    <x v="0"/>
  </r>
  <r>
    <n v="315"/>
    <x v="7"/>
    <x v="5"/>
    <x v="0"/>
    <n v="29"/>
    <n v="63302.977912710398"/>
    <x v="4"/>
    <x v="4"/>
  </r>
  <r>
    <n v="316"/>
    <x v="4"/>
    <x v="4"/>
    <x v="3"/>
    <n v="1"/>
    <n v="63305.124388943601"/>
    <x v="7"/>
    <x v="4"/>
  </r>
  <r>
    <n v="317"/>
    <x v="2"/>
    <x v="4"/>
    <x v="3"/>
    <n v="1"/>
    <n v="63307.270865176797"/>
    <x v="7"/>
    <x v="1"/>
  </r>
  <r>
    <n v="318"/>
    <x v="8"/>
    <x v="0"/>
    <x v="1"/>
    <n v="45"/>
    <n v="63309.417341410001"/>
    <x v="2"/>
    <x v="1"/>
  </r>
  <r>
    <n v="319"/>
    <x v="9"/>
    <x v="1"/>
    <x v="2"/>
    <n v="22"/>
    <n v="63311.563817643197"/>
    <x v="2"/>
    <x v="5"/>
  </r>
  <r>
    <n v="320"/>
    <x v="0"/>
    <x v="1"/>
    <x v="0"/>
    <n v="8"/>
    <n v="63313.7102938764"/>
    <x v="0"/>
    <x v="5"/>
  </r>
  <r>
    <n v="321"/>
    <x v="1"/>
    <x v="1"/>
    <x v="0"/>
    <n v="28"/>
    <n v="63315.856770109604"/>
    <x v="0"/>
    <x v="3"/>
  </r>
  <r>
    <n v="322"/>
    <x v="8"/>
    <x v="3"/>
    <x v="1"/>
    <n v="45"/>
    <n v="63318.0032463428"/>
    <x v="5"/>
    <x v="4"/>
  </r>
  <r>
    <n v="323"/>
    <x v="6"/>
    <x v="4"/>
    <x v="0"/>
    <n v="9"/>
    <n v="63320.149722576003"/>
    <x v="0"/>
    <x v="1"/>
  </r>
  <r>
    <n v="324"/>
    <x v="6"/>
    <x v="3"/>
    <x v="3"/>
    <n v="31"/>
    <n v="63322.296198809301"/>
    <x v="4"/>
    <x v="5"/>
  </r>
  <r>
    <n v="325"/>
    <x v="0"/>
    <x v="1"/>
    <x v="1"/>
    <n v="5"/>
    <n v="63324.442675042497"/>
    <x v="4"/>
    <x v="4"/>
  </r>
  <r>
    <n v="326"/>
    <x v="0"/>
    <x v="1"/>
    <x v="3"/>
    <n v="15"/>
    <n v="63326.589151275701"/>
    <x v="0"/>
    <x v="5"/>
  </r>
  <r>
    <n v="327"/>
    <x v="5"/>
    <x v="5"/>
    <x v="2"/>
    <n v="25"/>
    <n v="63328.735627508897"/>
    <x v="1"/>
    <x v="0"/>
  </r>
  <r>
    <n v="328"/>
    <x v="3"/>
    <x v="4"/>
    <x v="0"/>
    <n v="6"/>
    <n v="63330.8821037421"/>
    <x v="5"/>
    <x v="3"/>
  </r>
  <r>
    <n v="329"/>
    <x v="5"/>
    <x v="1"/>
    <x v="0"/>
    <n v="47"/>
    <n v="63333.028579975296"/>
    <x v="2"/>
    <x v="2"/>
  </r>
  <r>
    <n v="330"/>
    <x v="2"/>
    <x v="6"/>
    <x v="3"/>
    <n v="7"/>
    <n v="63335.1750562085"/>
    <x v="0"/>
    <x v="0"/>
  </r>
  <r>
    <n v="331"/>
    <x v="4"/>
    <x v="2"/>
    <x v="1"/>
    <n v="7"/>
    <n v="63337.321532441703"/>
    <x v="6"/>
    <x v="3"/>
  </r>
  <r>
    <n v="332"/>
    <x v="9"/>
    <x v="4"/>
    <x v="1"/>
    <n v="21"/>
    <n v="63339.468008674899"/>
    <x v="3"/>
    <x v="3"/>
  </r>
  <r>
    <n v="333"/>
    <x v="0"/>
    <x v="3"/>
    <x v="0"/>
    <n v="24"/>
    <n v="63341.614484908103"/>
    <x v="0"/>
    <x v="0"/>
  </r>
  <r>
    <n v="334"/>
    <x v="3"/>
    <x v="4"/>
    <x v="3"/>
    <n v="20"/>
    <n v="63343.760961141299"/>
    <x v="5"/>
    <x v="5"/>
  </r>
  <r>
    <n v="335"/>
    <x v="9"/>
    <x v="0"/>
    <x v="2"/>
    <n v="9"/>
    <n v="63345.907437374597"/>
    <x v="2"/>
    <x v="5"/>
  </r>
  <r>
    <n v="336"/>
    <x v="2"/>
    <x v="6"/>
    <x v="3"/>
    <n v="25"/>
    <n v="63348.0539136078"/>
    <x v="1"/>
    <x v="4"/>
  </r>
  <r>
    <n v="337"/>
    <x v="4"/>
    <x v="1"/>
    <x v="1"/>
    <n v="50"/>
    <n v="63350.200389840997"/>
    <x v="5"/>
    <x v="2"/>
  </r>
  <r>
    <n v="338"/>
    <x v="8"/>
    <x v="0"/>
    <x v="0"/>
    <n v="49"/>
    <n v="63352.3468660742"/>
    <x v="4"/>
    <x v="2"/>
  </r>
  <r>
    <n v="339"/>
    <x v="5"/>
    <x v="5"/>
    <x v="0"/>
    <n v="9"/>
    <n v="63354.493342307404"/>
    <x v="5"/>
    <x v="3"/>
  </r>
  <r>
    <n v="340"/>
    <x v="2"/>
    <x v="4"/>
    <x v="0"/>
    <n v="42"/>
    <n v="63356.6398185406"/>
    <x v="7"/>
    <x v="4"/>
  </r>
  <r>
    <n v="341"/>
    <x v="6"/>
    <x v="4"/>
    <x v="2"/>
    <n v="44"/>
    <n v="63358.786294773803"/>
    <x v="7"/>
    <x v="2"/>
  </r>
  <r>
    <n v="342"/>
    <x v="5"/>
    <x v="5"/>
    <x v="2"/>
    <n v="10"/>
    <n v="63360.932771006999"/>
    <x v="4"/>
    <x v="0"/>
  </r>
  <r>
    <n v="343"/>
    <x v="1"/>
    <x v="2"/>
    <x v="1"/>
    <n v="5"/>
    <n v="63363.079247240203"/>
    <x v="2"/>
    <x v="4"/>
  </r>
  <r>
    <n v="344"/>
    <x v="5"/>
    <x v="0"/>
    <x v="3"/>
    <n v="34"/>
    <n v="63365.225723473399"/>
    <x v="5"/>
    <x v="2"/>
  </r>
  <r>
    <n v="345"/>
    <x v="2"/>
    <x v="6"/>
    <x v="3"/>
    <n v="37"/>
    <n v="63367.372199706697"/>
    <x v="0"/>
    <x v="1"/>
  </r>
  <r>
    <n v="346"/>
    <x v="0"/>
    <x v="1"/>
    <x v="3"/>
    <n v="1"/>
    <n v="63369.5186759399"/>
    <x v="7"/>
    <x v="3"/>
  </r>
  <r>
    <n v="347"/>
    <x v="4"/>
    <x v="0"/>
    <x v="2"/>
    <n v="40"/>
    <n v="63371.665152173096"/>
    <x v="0"/>
    <x v="1"/>
  </r>
  <r>
    <n v="348"/>
    <x v="2"/>
    <x v="3"/>
    <x v="0"/>
    <n v="42"/>
    <n v="63373.8116284063"/>
    <x v="0"/>
    <x v="3"/>
  </r>
  <r>
    <n v="349"/>
    <x v="0"/>
    <x v="1"/>
    <x v="1"/>
    <n v="11"/>
    <n v="63375.958104639503"/>
    <x v="5"/>
    <x v="3"/>
  </r>
  <r>
    <n v="350"/>
    <x v="0"/>
    <x v="0"/>
    <x v="1"/>
    <n v="29"/>
    <n v="63378.104580872699"/>
    <x v="7"/>
    <x v="0"/>
  </r>
  <r>
    <n v="351"/>
    <x v="5"/>
    <x v="6"/>
    <x v="2"/>
    <n v="23"/>
    <n v="63380.251057105903"/>
    <x v="1"/>
    <x v="5"/>
  </r>
  <r>
    <n v="352"/>
    <x v="4"/>
    <x v="4"/>
    <x v="2"/>
    <n v="47"/>
    <n v="63382.397533339099"/>
    <x v="5"/>
    <x v="2"/>
  </r>
  <r>
    <n v="353"/>
    <x v="2"/>
    <x v="0"/>
    <x v="0"/>
    <n v="14"/>
    <n v="63384.544009572302"/>
    <x v="6"/>
    <x v="1"/>
  </r>
  <r>
    <n v="354"/>
    <x v="2"/>
    <x v="5"/>
    <x v="0"/>
    <n v="41"/>
    <n v="63386.690485805499"/>
    <x v="7"/>
    <x v="2"/>
  </r>
  <r>
    <n v="355"/>
    <x v="6"/>
    <x v="6"/>
    <x v="2"/>
    <n v="48"/>
    <n v="63388.836962038797"/>
    <x v="2"/>
    <x v="3"/>
  </r>
  <r>
    <n v="356"/>
    <x v="3"/>
    <x v="2"/>
    <x v="1"/>
    <n v="10"/>
    <n v="63390.983438272"/>
    <x v="6"/>
    <x v="1"/>
  </r>
  <r>
    <n v="357"/>
    <x v="9"/>
    <x v="2"/>
    <x v="0"/>
    <n v="27"/>
    <n v="63393.129914505203"/>
    <x v="1"/>
    <x v="1"/>
  </r>
  <r>
    <n v="358"/>
    <x v="3"/>
    <x v="4"/>
    <x v="0"/>
    <n v="40"/>
    <n v="63395.2763907384"/>
    <x v="1"/>
    <x v="4"/>
  </r>
  <r>
    <n v="359"/>
    <x v="2"/>
    <x v="6"/>
    <x v="1"/>
    <n v="44"/>
    <n v="63397.422866971603"/>
    <x v="1"/>
    <x v="3"/>
  </r>
  <r>
    <n v="360"/>
    <x v="5"/>
    <x v="1"/>
    <x v="0"/>
    <n v="29"/>
    <n v="63399.569343204799"/>
    <x v="6"/>
    <x v="2"/>
  </r>
  <r>
    <n v="361"/>
    <x v="8"/>
    <x v="5"/>
    <x v="1"/>
    <n v="14"/>
    <n v="63401.715819438003"/>
    <x v="4"/>
    <x v="1"/>
  </r>
  <r>
    <n v="362"/>
    <x v="2"/>
    <x v="1"/>
    <x v="3"/>
    <n v="6"/>
    <n v="63403.862295671199"/>
    <x v="1"/>
    <x v="2"/>
  </r>
  <r>
    <n v="363"/>
    <x v="1"/>
    <x v="1"/>
    <x v="0"/>
    <n v="7"/>
    <n v="63406.008771904402"/>
    <x v="1"/>
    <x v="1"/>
  </r>
  <r>
    <n v="364"/>
    <x v="0"/>
    <x v="3"/>
    <x v="0"/>
    <n v="9"/>
    <n v="63408.155248137598"/>
    <x v="6"/>
    <x v="5"/>
  </r>
  <r>
    <n v="365"/>
    <x v="7"/>
    <x v="6"/>
    <x v="3"/>
    <n v="49"/>
    <n v="63410.301724370896"/>
    <x v="5"/>
    <x v="0"/>
  </r>
  <r>
    <n v="366"/>
    <x v="2"/>
    <x v="6"/>
    <x v="1"/>
    <n v="8"/>
    <n v="63412.4482006041"/>
    <x v="3"/>
    <x v="4"/>
  </r>
  <r>
    <n v="367"/>
    <x v="1"/>
    <x v="2"/>
    <x v="0"/>
    <n v="38"/>
    <n v="63414.594676837303"/>
    <x v="1"/>
    <x v="3"/>
  </r>
  <r>
    <n v="368"/>
    <x v="1"/>
    <x v="0"/>
    <x v="3"/>
    <n v="47"/>
    <n v="63416.741153070499"/>
    <x v="6"/>
    <x v="0"/>
  </r>
  <r>
    <n v="369"/>
    <x v="9"/>
    <x v="5"/>
    <x v="1"/>
    <n v="25"/>
    <n v="63418.887629303703"/>
    <x v="5"/>
    <x v="4"/>
  </r>
  <r>
    <n v="370"/>
    <x v="4"/>
    <x v="5"/>
    <x v="0"/>
    <n v="23"/>
    <n v="63421.034105536899"/>
    <x v="5"/>
    <x v="2"/>
  </r>
  <r>
    <n v="371"/>
    <x v="2"/>
    <x v="2"/>
    <x v="2"/>
    <n v="28"/>
    <n v="63423.180581770102"/>
    <x v="5"/>
    <x v="4"/>
  </r>
  <r>
    <n v="372"/>
    <x v="4"/>
    <x v="3"/>
    <x v="3"/>
    <n v="21"/>
    <n v="63425.327058003299"/>
    <x v="1"/>
    <x v="0"/>
  </r>
  <r>
    <n v="373"/>
    <x v="8"/>
    <x v="5"/>
    <x v="1"/>
    <n v="9"/>
    <n v="63427.473534236502"/>
    <x v="6"/>
    <x v="0"/>
  </r>
  <r>
    <n v="374"/>
    <x v="5"/>
    <x v="6"/>
    <x v="2"/>
    <n v="16"/>
    <n v="63429.620010469698"/>
    <x v="3"/>
    <x v="0"/>
  </r>
  <r>
    <n v="375"/>
    <x v="7"/>
    <x v="2"/>
    <x v="1"/>
    <n v="18"/>
    <n v="63431.766486703003"/>
    <x v="4"/>
    <x v="0"/>
  </r>
  <r>
    <n v="376"/>
    <x v="5"/>
    <x v="2"/>
    <x v="2"/>
    <n v="42"/>
    <n v="63433.9129629362"/>
    <x v="4"/>
    <x v="3"/>
  </r>
  <r>
    <n v="377"/>
    <x v="1"/>
    <x v="3"/>
    <x v="2"/>
    <n v="6"/>
    <n v="63436.059439169403"/>
    <x v="5"/>
    <x v="5"/>
  </r>
  <r>
    <n v="378"/>
    <x v="0"/>
    <x v="5"/>
    <x v="3"/>
    <n v="16"/>
    <s v="Sale Price"/>
    <x v="3"/>
    <x v="4"/>
  </r>
  <r>
    <n v="379"/>
    <x v="0"/>
    <x v="3"/>
    <x v="3"/>
    <n v="36"/>
    <n v="63178.482291184198"/>
    <x v="0"/>
    <x v="5"/>
  </r>
  <r>
    <n v="380"/>
    <x v="4"/>
    <x v="5"/>
    <x v="2"/>
    <n v="39"/>
    <n v="63180.628767417402"/>
    <x v="0"/>
    <x v="0"/>
  </r>
  <r>
    <n v="381"/>
    <x v="5"/>
    <x v="2"/>
    <x v="3"/>
    <n v="39"/>
    <n v="63182.775243650598"/>
    <x v="5"/>
    <x v="5"/>
  </r>
  <r>
    <n v="382"/>
    <x v="1"/>
    <x v="2"/>
    <x v="1"/>
    <n v="47"/>
    <n v="63184.921719883801"/>
    <x v="0"/>
    <x v="5"/>
  </r>
  <r>
    <n v="383"/>
    <x v="9"/>
    <x v="5"/>
    <x v="0"/>
    <n v="39"/>
    <n v="63187.068196116998"/>
    <x v="6"/>
    <x v="3"/>
  </r>
  <r>
    <n v="384"/>
    <x v="6"/>
    <x v="0"/>
    <x v="1"/>
    <n v="19"/>
    <n v="63189.214672350201"/>
    <x v="2"/>
    <x v="0"/>
  </r>
  <r>
    <n v="385"/>
    <x v="5"/>
    <x v="2"/>
    <x v="2"/>
    <n v="50"/>
    <n v="63191.361148583397"/>
    <x v="7"/>
    <x v="2"/>
  </r>
  <r>
    <n v="386"/>
    <x v="4"/>
    <x v="5"/>
    <x v="1"/>
    <n v="45"/>
    <n v="63193.507624816702"/>
    <x v="4"/>
    <x v="0"/>
  </r>
  <r>
    <n v="387"/>
    <x v="7"/>
    <x v="2"/>
    <x v="2"/>
    <n v="2"/>
    <n v="63195.654101049899"/>
    <x v="7"/>
    <x v="5"/>
  </r>
  <r>
    <n v="388"/>
    <x v="4"/>
    <x v="3"/>
    <x v="1"/>
    <n v="43"/>
    <n v="63197.800577283102"/>
    <x v="7"/>
    <x v="2"/>
  </r>
  <r>
    <n v="389"/>
    <x v="1"/>
    <x v="6"/>
    <x v="1"/>
    <n v="20"/>
    <n v="63199.947053516298"/>
    <x v="4"/>
    <x v="4"/>
  </r>
  <r>
    <n v="390"/>
    <x v="2"/>
    <x v="0"/>
    <x v="3"/>
    <n v="14"/>
    <n v="63202.093529749502"/>
    <x v="3"/>
    <x v="5"/>
  </r>
  <r>
    <n v="391"/>
    <x v="9"/>
    <x v="2"/>
    <x v="2"/>
    <n v="34"/>
    <n v="63204.240005982698"/>
    <x v="5"/>
    <x v="5"/>
  </r>
  <r>
    <n v="392"/>
    <x v="1"/>
    <x v="5"/>
    <x v="2"/>
    <n v="39"/>
    <n v="63206.386482215901"/>
    <x v="5"/>
    <x v="1"/>
  </r>
  <r>
    <n v="393"/>
    <x v="9"/>
    <x v="5"/>
    <x v="0"/>
    <n v="33"/>
    <n v="63208.532958449097"/>
    <x v="4"/>
    <x v="1"/>
  </r>
  <r>
    <n v="394"/>
    <x v="3"/>
    <x v="3"/>
    <x v="1"/>
    <n v="13"/>
    <n v="63210.679434682301"/>
    <x v="0"/>
    <x v="4"/>
  </r>
  <r>
    <n v="395"/>
    <x v="3"/>
    <x v="0"/>
    <x v="1"/>
    <n v="48"/>
    <n v="63212.825910915497"/>
    <x v="7"/>
    <x v="1"/>
  </r>
  <r>
    <n v="396"/>
    <x v="0"/>
    <x v="2"/>
    <x v="0"/>
    <n v="26"/>
    <n v="63214.972387148802"/>
    <x v="6"/>
    <x v="5"/>
  </r>
  <r>
    <n v="397"/>
    <x v="9"/>
    <x v="5"/>
    <x v="2"/>
    <n v="19"/>
    <n v="63217.118863381998"/>
    <x v="3"/>
    <x v="4"/>
  </r>
  <r>
    <n v="398"/>
    <x v="5"/>
    <x v="6"/>
    <x v="1"/>
    <n v="42"/>
    <n v="63219.265339615202"/>
    <x v="4"/>
    <x v="0"/>
  </r>
  <r>
    <n v="399"/>
    <x v="7"/>
    <x v="1"/>
    <x v="0"/>
    <n v="4"/>
    <n v="63221.411815848398"/>
    <x v="7"/>
    <x v="4"/>
  </r>
  <r>
    <n v="400"/>
    <x v="6"/>
    <x v="2"/>
    <x v="0"/>
    <n v="16"/>
    <n v="63223.558292081601"/>
    <x v="0"/>
    <x v="0"/>
  </r>
  <r>
    <n v="401"/>
    <x v="4"/>
    <x v="6"/>
    <x v="0"/>
    <n v="32"/>
    <n v="63225.704768314798"/>
    <x v="6"/>
    <x v="5"/>
  </r>
  <r>
    <n v="402"/>
    <x v="3"/>
    <x v="5"/>
    <x v="1"/>
    <n v="25"/>
    <n v="63227.851244548001"/>
    <x v="2"/>
    <x v="1"/>
  </r>
  <r>
    <n v="403"/>
    <x v="4"/>
    <x v="6"/>
    <x v="2"/>
    <n v="8"/>
    <n v="63229.997720781197"/>
    <x v="1"/>
    <x v="5"/>
  </r>
  <r>
    <n v="404"/>
    <x v="4"/>
    <x v="0"/>
    <x v="2"/>
    <n v="16"/>
    <n v="63232.144197014401"/>
    <x v="5"/>
    <x v="4"/>
  </r>
  <r>
    <n v="405"/>
    <x v="7"/>
    <x v="2"/>
    <x v="0"/>
    <n v="32"/>
    <n v="63234.290673247597"/>
    <x v="0"/>
    <x v="0"/>
  </r>
  <r>
    <n v="406"/>
    <x v="1"/>
    <x v="2"/>
    <x v="0"/>
    <n v="41"/>
    <n v="63236.437149480902"/>
    <x v="2"/>
    <x v="0"/>
  </r>
  <r>
    <n v="407"/>
    <x v="4"/>
    <x v="5"/>
    <x v="2"/>
    <n v="39"/>
    <n v="63238.583625714098"/>
    <x v="0"/>
    <x v="4"/>
  </r>
  <r>
    <n v="408"/>
    <x v="9"/>
    <x v="3"/>
    <x v="0"/>
    <n v="5"/>
    <n v="63240.730101947302"/>
    <x v="7"/>
    <x v="3"/>
  </r>
  <r>
    <n v="409"/>
    <x v="7"/>
    <x v="0"/>
    <x v="0"/>
    <n v="34"/>
    <n v="63242.876578180498"/>
    <x v="2"/>
    <x v="0"/>
  </r>
  <r>
    <n v="410"/>
    <x v="3"/>
    <x v="6"/>
    <x v="2"/>
    <n v="1"/>
    <n v="63245.023054413701"/>
    <x v="3"/>
    <x v="3"/>
  </r>
  <r>
    <n v="411"/>
    <x v="2"/>
    <x v="5"/>
    <x v="1"/>
    <n v="24"/>
    <n v="63247.169530646897"/>
    <x v="4"/>
    <x v="5"/>
  </r>
  <r>
    <n v="412"/>
    <x v="4"/>
    <x v="0"/>
    <x v="0"/>
    <n v="21"/>
    <n v="63249.316006880101"/>
    <x v="7"/>
    <x v="0"/>
  </r>
  <r>
    <n v="413"/>
    <x v="0"/>
    <x v="6"/>
    <x v="1"/>
    <n v="9"/>
    <n v="63251.462483113297"/>
    <x v="5"/>
    <x v="3"/>
  </r>
  <r>
    <n v="414"/>
    <x v="7"/>
    <x v="5"/>
    <x v="0"/>
    <n v="25"/>
    <n v="63253.6089593465"/>
    <x v="1"/>
    <x v="0"/>
  </r>
  <r>
    <n v="415"/>
    <x v="1"/>
    <x v="1"/>
    <x v="0"/>
    <n v="37"/>
    <n v="63255.755435579696"/>
    <x v="3"/>
    <x v="3"/>
  </r>
  <r>
    <n v="416"/>
    <x v="8"/>
    <x v="4"/>
    <x v="0"/>
    <n v="27"/>
    <n v="63257.901911813002"/>
    <x v="0"/>
    <x v="0"/>
  </r>
  <r>
    <n v="417"/>
    <x v="3"/>
    <x v="3"/>
    <x v="3"/>
    <n v="24"/>
    <n v="63260.048388046198"/>
    <x v="4"/>
    <x v="0"/>
  </r>
  <r>
    <n v="418"/>
    <x v="3"/>
    <x v="6"/>
    <x v="1"/>
    <n v="35"/>
    <n v="63262.194864279401"/>
    <x v="6"/>
    <x v="2"/>
  </r>
  <r>
    <n v="419"/>
    <x v="8"/>
    <x v="1"/>
    <x v="1"/>
    <n v="44"/>
    <n v="63264.341340512598"/>
    <x v="5"/>
    <x v="5"/>
  </r>
  <r>
    <n v="420"/>
    <x v="9"/>
    <x v="6"/>
    <x v="0"/>
    <n v="12"/>
    <n v="63266.487816745801"/>
    <x v="1"/>
    <x v="5"/>
  </r>
  <r>
    <n v="421"/>
    <x v="2"/>
    <x v="4"/>
    <x v="2"/>
    <n v="49"/>
    <n v="63268.634292978997"/>
    <x v="7"/>
    <x v="0"/>
  </r>
  <r>
    <n v="422"/>
    <x v="3"/>
    <x v="4"/>
    <x v="0"/>
    <n v="31"/>
    <n v="63270.780769212201"/>
    <x v="3"/>
    <x v="3"/>
  </r>
  <r>
    <n v="423"/>
    <x v="3"/>
    <x v="2"/>
    <x v="3"/>
    <n v="50"/>
    <n v="63272.927245445397"/>
    <x v="6"/>
    <x v="1"/>
  </r>
  <r>
    <n v="424"/>
    <x v="1"/>
    <x v="0"/>
    <x v="0"/>
    <n v="5"/>
    <n v="63275.0737216786"/>
    <x v="1"/>
    <x v="3"/>
  </r>
  <r>
    <n v="425"/>
    <x v="3"/>
    <x v="3"/>
    <x v="3"/>
    <n v="2"/>
    <n v="63277.220197911804"/>
    <x v="0"/>
    <x v="0"/>
  </r>
  <r>
    <n v="426"/>
    <x v="7"/>
    <x v="3"/>
    <x v="0"/>
    <n v="38"/>
    <n v="63279.366674145102"/>
    <x v="6"/>
    <x v="4"/>
  </r>
  <r>
    <n v="427"/>
    <x v="9"/>
    <x v="6"/>
    <x v="1"/>
    <n v="5"/>
    <n v="63281.513150378298"/>
    <x v="7"/>
    <x v="5"/>
  </r>
  <r>
    <n v="428"/>
    <x v="2"/>
    <x v="4"/>
    <x v="0"/>
    <n v="1"/>
    <n v="63283.659626611501"/>
    <x v="6"/>
    <x v="4"/>
  </r>
  <r>
    <n v="429"/>
    <x v="0"/>
    <x v="3"/>
    <x v="1"/>
    <n v="17"/>
    <n v="63285.806102844697"/>
    <x v="0"/>
    <x v="3"/>
  </r>
  <r>
    <n v="430"/>
    <x v="2"/>
    <x v="5"/>
    <x v="2"/>
    <n v="14"/>
    <n v="63287.952579077901"/>
    <x v="3"/>
    <x v="2"/>
  </r>
  <r>
    <n v="431"/>
    <x v="9"/>
    <x v="3"/>
    <x v="2"/>
    <n v="3"/>
    <n v="63290.099055311097"/>
    <x v="6"/>
    <x v="0"/>
  </r>
  <r>
    <n v="432"/>
    <x v="5"/>
    <x v="6"/>
    <x v="0"/>
    <n v="4"/>
    <n v="63292.2455315443"/>
    <x v="0"/>
    <x v="3"/>
  </r>
  <r>
    <n v="433"/>
    <x v="7"/>
    <x v="1"/>
    <x v="0"/>
    <n v="26"/>
    <n v="63294.392007777496"/>
    <x v="1"/>
    <x v="3"/>
  </r>
  <r>
    <n v="434"/>
    <x v="5"/>
    <x v="2"/>
    <x v="2"/>
    <n v="33"/>
    <n v="63296.5384840107"/>
    <x v="5"/>
    <x v="2"/>
  </r>
  <r>
    <n v="435"/>
    <x v="9"/>
    <x v="2"/>
    <x v="3"/>
    <n v="19"/>
    <n v="63298.684960243903"/>
    <x v="2"/>
    <x v="1"/>
  </r>
  <r>
    <n v="436"/>
    <x v="1"/>
    <x v="1"/>
    <x v="2"/>
    <n v="41"/>
    <n v="63300.831436477201"/>
    <x v="4"/>
    <x v="1"/>
  </r>
  <r>
    <n v="437"/>
    <x v="0"/>
    <x v="3"/>
    <x v="2"/>
    <n v="46"/>
    <n v="63302.977912710398"/>
    <x v="7"/>
    <x v="3"/>
  </r>
  <r>
    <n v="438"/>
    <x v="2"/>
    <x v="0"/>
    <x v="3"/>
    <n v="33"/>
    <n v="63305.124388943601"/>
    <x v="3"/>
    <x v="0"/>
  </r>
  <r>
    <n v="439"/>
    <x v="4"/>
    <x v="4"/>
    <x v="2"/>
    <n v="50"/>
    <n v="63307.270865176797"/>
    <x v="5"/>
    <x v="4"/>
  </r>
  <r>
    <n v="440"/>
    <x v="6"/>
    <x v="1"/>
    <x v="2"/>
    <n v="27"/>
    <n v="63309.417341410001"/>
    <x v="0"/>
    <x v="2"/>
  </r>
  <r>
    <n v="441"/>
    <x v="2"/>
    <x v="6"/>
    <x v="3"/>
    <n v="28"/>
    <n v="63311.563817643197"/>
    <x v="5"/>
    <x v="1"/>
  </r>
  <r>
    <n v="442"/>
    <x v="1"/>
    <x v="6"/>
    <x v="3"/>
    <n v="45"/>
    <n v="63313.7102938764"/>
    <x v="6"/>
    <x v="3"/>
  </r>
  <r>
    <n v="443"/>
    <x v="0"/>
    <x v="4"/>
    <x v="1"/>
    <n v="26"/>
    <n v="63315.856770109604"/>
    <x v="2"/>
    <x v="0"/>
  </r>
  <r>
    <n v="444"/>
    <x v="6"/>
    <x v="2"/>
    <x v="0"/>
    <n v="6"/>
    <n v="63318.0032463428"/>
    <x v="7"/>
    <x v="4"/>
  </r>
  <r>
    <n v="445"/>
    <x v="7"/>
    <x v="4"/>
    <x v="1"/>
    <n v="41"/>
    <n v="63320.149722576003"/>
    <x v="6"/>
    <x v="1"/>
  </r>
  <r>
    <n v="446"/>
    <x v="9"/>
    <x v="4"/>
    <x v="3"/>
    <n v="35"/>
    <n v="63322.296198809301"/>
    <x v="3"/>
    <x v="5"/>
  </r>
  <r>
    <n v="447"/>
    <x v="9"/>
    <x v="1"/>
    <x v="2"/>
    <n v="35"/>
    <n v="63324.442675042497"/>
    <x v="6"/>
    <x v="4"/>
  </r>
  <r>
    <n v="448"/>
    <x v="7"/>
    <x v="6"/>
    <x v="3"/>
    <n v="40"/>
    <n v="63326.589151275701"/>
    <x v="1"/>
    <x v="4"/>
  </r>
  <r>
    <n v="449"/>
    <x v="6"/>
    <x v="4"/>
    <x v="2"/>
    <n v="10"/>
    <n v="63328.735627508897"/>
    <x v="2"/>
    <x v="3"/>
  </r>
  <r>
    <n v="450"/>
    <x v="5"/>
    <x v="1"/>
    <x v="1"/>
    <n v="18"/>
    <n v="63330.8821037421"/>
    <x v="7"/>
    <x v="2"/>
  </r>
  <r>
    <n v="451"/>
    <x v="0"/>
    <x v="4"/>
    <x v="1"/>
    <n v="6"/>
    <n v="63333.028579975296"/>
    <x v="4"/>
    <x v="0"/>
  </r>
  <r>
    <n v="452"/>
    <x v="7"/>
    <x v="6"/>
    <x v="1"/>
    <n v="20"/>
    <n v="63335.1750562085"/>
    <x v="5"/>
    <x v="3"/>
  </r>
  <r>
    <n v="453"/>
    <x v="6"/>
    <x v="6"/>
    <x v="2"/>
    <n v="6"/>
    <n v="63337.321532441703"/>
    <x v="3"/>
    <x v="1"/>
  </r>
  <r>
    <n v="454"/>
    <x v="3"/>
    <x v="0"/>
    <x v="0"/>
    <n v="33"/>
    <n v="63339.468008674899"/>
    <x v="1"/>
    <x v="3"/>
  </r>
  <r>
    <n v="455"/>
    <x v="2"/>
    <x v="3"/>
    <x v="0"/>
    <n v="14"/>
    <n v="63341.614484908103"/>
    <x v="6"/>
    <x v="3"/>
  </r>
  <r>
    <n v="456"/>
    <x v="1"/>
    <x v="5"/>
    <x v="0"/>
    <n v="10"/>
    <n v="63343.760961141299"/>
    <x v="7"/>
    <x v="1"/>
  </r>
  <r>
    <n v="457"/>
    <x v="7"/>
    <x v="6"/>
    <x v="3"/>
    <n v="35"/>
    <n v="63345.907437374597"/>
    <x v="7"/>
    <x v="5"/>
  </r>
  <r>
    <n v="458"/>
    <x v="1"/>
    <x v="5"/>
    <x v="3"/>
    <n v="21"/>
    <n v="63348.0539136078"/>
    <x v="0"/>
    <x v="0"/>
  </r>
  <r>
    <n v="459"/>
    <x v="5"/>
    <x v="0"/>
    <x v="2"/>
    <n v="26"/>
    <n v="63350.200389840997"/>
    <x v="4"/>
    <x v="4"/>
  </r>
  <r>
    <n v="460"/>
    <x v="5"/>
    <x v="3"/>
    <x v="3"/>
    <n v="38"/>
    <n v="63352.3468660742"/>
    <x v="2"/>
    <x v="4"/>
  </r>
  <r>
    <n v="461"/>
    <x v="3"/>
    <x v="1"/>
    <x v="2"/>
    <n v="41"/>
    <n v="63354.493342307404"/>
    <x v="3"/>
    <x v="4"/>
  </r>
  <r>
    <n v="462"/>
    <x v="9"/>
    <x v="3"/>
    <x v="1"/>
    <n v="49"/>
    <n v="63356.6398185406"/>
    <x v="6"/>
    <x v="4"/>
  </r>
  <r>
    <n v="463"/>
    <x v="7"/>
    <x v="3"/>
    <x v="2"/>
    <n v="42"/>
    <n v="63358.786294773803"/>
    <x v="4"/>
    <x v="1"/>
  </r>
  <r>
    <n v="464"/>
    <x v="0"/>
    <x v="1"/>
    <x v="3"/>
    <n v="44"/>
    <n v="63360.932771006999"/>
    <x v="0"/>
    <x v="4"/>
  </r>
  <r>
    <n v="465"/>
    <x v="9"/>
    <x v="0"/>
    <x v="1"/>
    <n v="42"/>
    <n v="63363.079247240203"/>
    <x v="3"/>
    <x v="4"/>
  </r>
  <r>
    <n v="466"/>
    <x v="6"/>
    <x v="4"/>
    <x v="1"/>
    <n v="5"/>
    <n v="63365.225723473399"/>
    <x v="2"/>
    <x v="3"/>
  </r>
  <r>
    <n v="467"/>
    <x v="9"/>
    <x v="3"/>
    <x v="2"/>
    <n v="20"/>
    <n v="63367.372199706697"/>
    <x v="7"/>
    <x v="3"/>
  </r>
  <r>
    <n v="468"/>
    <x v="0"/>
    <x v="3"/>
    <x v="0"/>
    <n v="45"/>
    <n v="63369.5186759399"/>
    <x v="7"/>
    <x v="2"/>
  </r>
  <r>
    <n v="469"/>
    <x v="2"/>
    <x v="0"/>
    <x v="3"/>
    <n v="28"/>
    <n v="63371.665152173096"/>
    <x v="2"/>
    <x v="3"/>
  </r>
  <r>
    <n v="470"/>
    <x v="5"/>
    <x v="4"/>
    <x v="3"/>
    <n v="47"/>
    <n v="63373.8116284063"/>
    <x v="4"/>
    <x v="1"/>
  </r>
  <r>
    <n v="471"/>
    <x v="2"/>
    <x v="3"/>
    <x v="0"/>
    <n v="16"/>
    <n v="63375.958104639503"/>
    <x v="3"/>
    <x v="2"/>
  </r>
  <r>
    <n v="472"/>
    <x v="7"/>
    <x v="3"/>
    <x v="3"/>
    <n v="4"/>
    <n v="63378.104580872699"/>
    <x v="4"/>
    <x v="3"/>
  </r>
  <r>
    <n v="473"/>
    <x v="9"/>
    <x v="4"/>
    <x v="0"/>
    <n v="16"/>
    <n v="63380.251057105903"/>
    <x v="0"/>
    <x v="1"/>
  </r>
  <r>
    <n v="474"/>
    <x v="7"/>
    <x v="6"/>
    <x v="0"/>
    <n v="6"/>
    <n v="63382.397533339099"/>
    <x v="6"/>
    <x v="0"/>
  </r>
  <r>
    <n v="475"/>
    <x v="2"/>
    <x v="2"/>
    <x v="1"/>
    <n v="28"/>
    <n v="63384.544009572302"/>
    <x v="2"/>
    <x v="0"/>
  </r>
  <r>
    <n v="476"/>
    <x v="5"/>
    <x v="1"/>
    <x v="1"/>
    <n v="8"/>
    <n v="63386.690485805499"/>
    <x v="2"/>
    <x v="3"/>
  </r>
  <r>
    <n v="477"/>
    <x v="4"/>
    <x v="6"/>
    <x v="2"/>
    <n v="30"/>
    <n v="63388.836962038797"/>
    <x v="0"/>
    <x v="0"/>
  </r>
  <r>
    <n v="478"/>
    <x v="3"/>
    <x v="2"/>
    <x v="1"/>
    <n v="40"/>
    <n v="63390.983438272"/>
    <x v="6"/>
    <x v="3"/>
  </r>
  <r>
    <n v="479"/>
    <x v="7"/>
    <x v="1"/>
    <x v="0"/>
    <n v="39"/>
    <n v="63393.129914505203"/>
    <x v="7"/>
    <x v="4"/>
  </r>
  <r>
    <n v="480"/>
    <x v="7"/>
    <x v="1"/>
    <x v="2"/>
    <n v="4"/>
    <n v="63395.2763907384"/>
    <x v="1"/>
    <x v="2"/>
  </r>
  <r>
    <n v="481"/>
    <x v="4"/>
    <x v="2"/>
    <x v="3"/>
    <n v="20"/>
    <n v="63397.422866971603"/>
    <x v="2"/>
    <x v="0"/>
  </r>
  <r>
    <n v="482"/>
    <x v="6"/>
    <x v="3"/>
    <x v="0"/>
    <n v="43"/>
    <n v="63399.569343204799"/>
    <x v="4"/>
    <x v="2"/>
  </r>
  <r>
    <n v="483"/>
    <x v="6"/>
    <x v="1"/>
    <x v="2"/>
    <n v="48"/>
    <n v="63401.715819438003"/>
    <x v="5"/>
    <x v="2"/>
  </r>
  <r>
    <n v="484"/>
    <x v="2"/>
    <x v="2"/>
    <x v="1"/>
    <n v="43"/>
    <n v="63403.862295671199"/>
    <x v="7"/>
    <x v="2"/>
  </r>
  <r>
    <n v="485"/>
    <x v="7"/>
    <x v="5"/>
    <x v="0"/>
    <n v="48"/>
    <n v="63406.008771904402"/>
    <x v="0"/>
    <x v="5"/>
  </r>
  <r>
    <n v="486"/>
    <x v="5"/>
    <x v="4"/>
    <x v="2"/>
    <n v="12"/>
    <n v="63408.155248137598"/>
    <x v="0"/>
    <x v="1"/>
  </r>
  <r>
    <n v="487"/>
    <x v="1"/>
    <x v="4"/>
    <x v="3"/>
    <n v="8"/>
    <n v="63410.301724370896"/>
    <x v="5"/>
    <x v="4"/>
  </r>
  <r>
    <n v="488"/>
    <x v="2"/>
    <x v="5"/>
    <x v="0"/>
    <n v="1"/>
    <n v="63412.4482006041"/>
    <x v="0"/>
    <x v="3"/>
  </r>
  <r>
    <n v="489"/>
    <x v="2"/>
    <x v="4"/>
    <x v="0"/>
    <n v="46"/>
    <n v="63414.594676837303"/>
    <x v="6"/>
    <x v="4"/>
  </r>
  <r>
    <n v="490"/>
    <x v="3"/>
    <x v="0"/>
    <x v="2"/>
    <n v="9"/>
    <n v="63416.741153070499"/>
    <x v="4"/>
    <x v="2"/>
  </r>
  <r>
    <n v="491"/>
    <x v="7"/>
    <x v="2"/>
    <x v="2"/>
    <n v="45"/>
    <n v="63418.887629303703"/>
    <x v="2"/>
    <x v="4"/>
  </r>
  <r>
    <n v="492"/>
    <x v="6"/>
    <x v="4"/>
    <x v="1"/>
    <n v="1"/>
    <n v="63421.034105536899"/>
    <x v="2"/>
    <x v="3"/>
  </r>
  <r>
    <n v="493"/>
    <x v="6"/>
    <x v="4"/>
    <x v="1"/>
    <n v="11"/>
    <n v="63423.180581770102"/>
    <x v="0"/>
    <x v="2"/>
  </r>
  <r>
    <n v="494"/>
    <x v="9"/>
    <x v="4"/>
    <x v="0"/>
    <n v="32"/>
    <n v="63425.327058003299"/>
    <x v="5"/>
    <x v="1"/>
  </r>
  <r>
    <n v="495"/>
    <x v="8"/>
    <x v="1"/>
    <x v="3"/>
    <n v="23"/>
    <n v="63427.473534236502"/>
    <x v="4"/>
    <x v="4"/>
  </r>
  <r>
    <n v="496"/>
    <x v="8"/>
    <x v="6"/>
    <x v="1"/>
    <n v="34"/>
    <n v="63429.620010469698"/>
    <x v="3"/>
    <x v="0"/>
  </r>
  <r>
    <n v="497"/>
    <x v="8"/>
    <x v="0"/>
    <x v="3"/>
    <n v="34"/>
    <n v="63431.766486703003"/>
    <x v="4"/>
    <x v="3"/>
  </r>
  <r>
    <n v="498"/>
    <x v="3"/>
    <x v="4"/>
    <x v="2"/>
    <n v="47"/>
    <n v="63433.9129629362"/>
    <x v="0"/>
    <x v="5"/>
  </r>
  <r>
    <n v="499"/>
    <x v="5"/>
    <x v="0"/>
    <x v="2"/>
    <n v="17"/>
    <n v="63436.059439169403"/>
    <x v="5"/>
    <x v="3"/>
  </r>
  <r>
    <n v="500"/>
    <x v="8"/>
    <x v="1"/>
    <x v="1"/>
    <n v="11"/>
    <n v="63438.205915402599"/>
    <x v="5"/>
    <x v="1"/>
  </r>
  <r>
    <n v="501"/>
    <x v="4"/>
    <x v="0"/>
    <x v="0"/>
    <n v="24"/>
    <n v="63440.352391635803"/>
    <x v="2"/>
    <x v="4"/>
  </r>
  <r>
    <n v="502"/>
    <x v="0"/>
    <x v="0"/>
    <x v="2"/>
    <n v="9"/>
    <n v="63442.498867868999"/>
    <x v="0"/>
    <x v="2"/>
  </r>
  <r>
    <n v="503"/>
    <x v="2"/>
    <x v="5"/>
    <x v="3"/>
    <n v="48"/>
    <n v="63444.645344102202"/>
    <x v="7"/>
    <x v="4"/>
  </r>
  <r>
    <n v="504"/>
    <x v="5"/>
    <x v="1"/>
    <x v="0"/>
    <n v="50"/>
    <n v="63446.791820335398"/>
    <x v="1"/>
    <x v="3"/>
  </r>
  <r>
    <n v="505"/>
    <x v="6"/>
    <x v="4"/>
    <x v="1"/>
    <n v="18"/>
    <n v="63448.938296568602"/>
    <x v="4"/>
    <x v="1"/>
  </r>
  <r>
    <n v="506"/>
    <x v="9"/>
    <x v="6"/>
    <x v="2"/>
    <n v="47"/>
    <n v="63451.084772801798"/>
    <x v="7"/>
    <x v="2"/>
  </r>
  <r>
    <n v="507"/>
    <x v="0"/>
    <x v="6"/>
    <x v="1"/>
    <n v="8"/>
    <n v="63453.231249035103"/>
    <x v="2"/>
    <x v="0"/>
  </r>
  <r>
    <n v="508"/>
    <x v="3"/>
    <x v="2"/>
    <x v="0"/>
    <n v="50"/>
    <n v="63455.377725268299"/>
    <x v="6"/>
    <x v="1"/>
  </r>
  <r>
    <n v="509"/>
    <x v="2"/>
    <x v="6"/>
    <x v="0"/>
    <n v="2"/>
    <n v="63457.524201501503"/>
    <x v="2"/>
    <x v="5"/>
  </r>
  <r>
    <n v="510"/>
    <x v="3"/>
    <x v="6"/>
    <x v="0"/>
    <n v="22"/>
    <n v="63459.670677734699"/>
    <x v="3"/>
    <x v="3"/>
  </r>
  <r>
    <n v="511"/>
    <x v="3"/>
    <x v="4"/>
    <x v="3"/>
    <n v="28"/>
    <n v="63461.817153967902"/>
    <x v="1"/>
    <x v="1"/>
  </r>
  <r>
    <n v="512"/>
    <x v="4"/>
    <x v="6"/>
    <x v="0"/>
    <n v="18"/>
    <n v="63463.963630201099"/>
    <x v="6"/>
    <x v="2"/>
  </r>
  <r>
    <n v="513"/>
    <x v="1"/>
    <x v="1"/>
    <x v="0"/>
    <n v="34"/>
    <n v="63466.110106434302"/>
    <x v="0"/>
    <x v="2"/>
  </r>
  <r>
    <n v="514"/>
    <x v="1"/>
    <x v="1"/>
    <x v="2"/>
    <n v="5"/>
    <n v="63468.256582667498"/>
    <x v="4"/>
    <x v="5"/>
  </r>
  <r>
    <n v="515"/>
    <x v="3"/>
    <x v="0"/>
    <x v="3"/>
    <n v="17"/>
    <n v="63470.403058900702"/>
    <x v="5"/>
    <x v="3"/>
  </r>
  <r>
    <n v="516"/>
    <x v="8"/>
    <x v="2"/>
    <x v="3"/>
    <n v="46"/>
    <n v="63472.549535133898"/>
    <x v="2"/>
    <x v="2"/>
  </r>
  <r>
    <n v="517"/>
    <x v="6"/>
    <x v="5"/>
    <x v="1"/>
    <n v="37"/>
    <n v="63474.696011367203"/>
    <x v="1"/>
    <x v="2"/>
  </r>
  <r>
    <n v="518"/>
    <x v="0"/>
    <x v="3"/>
    <x v="0"/>
    <n v="41"/>
    <n v="63476.842487600399"/>
    <x v="2"/>
    <x v="2"/>
  </r>
  <r>
    <n v="519"/>
    <x v="8"/>
    <x v="6"/>
    <x v="2"/>
    <n v="5"/>
    <n v="63478.988963833603"/>
    <x v="3"/>
    <x v="1"/>
  </r>
  <r>
    <n v="520"/>
    <x v="7"/>
    <x v="3"/>
    <x v="1"/>
    <n v="32"/>
    <n v="63481.135440066799"/>
    <x v="3"/>
    <x v="4"/>
  </r>
  <r>
    <n v="521"/>
    <x v="6"/>
    <x v="3"/>
    <x v="0"/>
    <n v="30"/>
    <n v="63483.281916300002"/>
    <x v="3"/>
    <x v="1"/>
  </r>
  <r>
    <n v="522"/>
    <x v="3"/>
    <x v="3"/>
    <x v="3"/>
    <n v="33"/>
    <n v="63485.428392533198"/>
    <x v="7"/>
    <x v="3"/>
  </r>
  <r>
    <n v="523"/>
    <x v="7"/>
    <x v="0"/>
    <x v="0"/>
    <n v="24"/>
    <n v="63487.574868766402"/>
    <x v="4"/>
    <x v="5"/>
  </r>
  <r>
    <n v="524"/>
    <x v="8"/>
    <x v="1"/>
    <x v="0"/>
    <n v="4"/>
    <n v="63489.721344999598"/>
    <x v="4"/>
    <x v="3"/>
  </r>
  <r>
    <n v="525"/>
    <x v="7"/>
    <x v="6"/>
    <x v="2"/>
    <n v="32"/>
    <n v="63491.867821232801"/>
    <x v="7"/>
    <x v="4"/>
  </r>
  <r>
    <n v="526"/>
    <x v="3"/>
    <x v="4"/>
    <x v="2"/>
    <n v="37"/>
    <n v="63494.014297465998"/>
    <x v="6"/>
    <x v="5"/>
  </r>
  <r>
    <n v="527"/>
    <x v="4"/>
    <x v="0"/>
    <x v="2"/>
    <n v="11"/>
    <n v="63496.160773699303"/>
    <x v="3"/>
    <x v="4"/>
  </r>
  <r>
    <n v="528"/>
    <x v="1"/>
    <x v="2"/>
    <x v="1"/>
    <n v="24"/>
    <n v="63498.307249932499"/>
    <x v="0"/>
    <x v="0"/>
  </r>
  <r>
    <n v="529"/>
    <x v="0"/>
    <x v="1"/>
    <x v="2"/>
    <n v="11"/>
    <n v="63500.453726165702"/>
    <x v="6"/>
    <x v="2"/>
  </r>
  <r>
    <n v="530"/>
    <x v="7"/>
    <x v="2"/>
    <x v="1"/>
    <n v="17"/>
    <n v="63502.600202398899"/>
    <x v="3"/>
    <x v="5"/>
  </r>
  <r>
    <n v="531"/>
    <x v="3"/>
    <x v="4"/>
    <x v="0"/>
    <n v="50"/>
    <n v="63504.746678632102"/>
    <x v="7"/>
    <x v="2"/>
  </r>
  <r>
    <n v="532"/>
    <x v="4"/>
    <x v="2"/>
    <x v="1"/>
    <n v="7"/>
    <n v="63506.893154865298"/>
    <x v="1"/>
    <x v="4"/>
  </r>
  <r>
    <n v="533"/>
    <x v="5"/>
    <x v="1"/>
    <x v="1"/>
    <n v="37"/>
    <n v="63509.039631098502"/>
    <x v="0"/>
    <x v="5"/>
  </r>
  <r>
    <n v="534"/>
    <x v="8"/>
    <x v="6"/>
    <x v="2"/>
    <n v="44"/>
    <n v="63511.186107331698"/>
    <x v="5"/>
    <x v="0"/>
  </r>
  <r>
    <n v="535"/>
    <x v="1"/>
    <x v="0"/>
    <x v="2"/>
    <n v="47"/>
    <n v="63513.332583564901"/>
    <x v="7"/>
    <x v="5"/>
  </r>
  <r>
    <n v="536"/>
    <x v="5"/>
    <x v="3"/>
    <x v="3"/>
    <n v="8"/>
    <n v="63515.479059798097"/>
    <x v="2"/>
    <x v="3"/>
  </r>
  <r>
    <n v="537"/>
    <x v="3"/>
    <x v="0"/>
    <x v="1"/>
    <n v="15"/>
    <n v="63517.625536031301"/>
    <x v="6"/>
    <x v="1"/>
  </r>
  <r>
    <n v="538"/>
    <x v="0"/>
    <x v="0"/>
    <x v="0"/>
    <n v="48"/>
    <n v="63519.772012264599"/>
    <x v="3"/>
    <x v="2"/>
  </r>
  <r>
    <n v="539"/>
    <x v="8"/>
    <x v="6"/>
    <x v="3"/>
    <n v="33"/>
    <n v="63521.918488497802"/>
    <x v="7"/>
    <x v="1"/>
  </r>
  <r>
    <n v="540"/>
    <x v="4"/>
    <x v="3"/>
    <x v="3"/>
    <n v="1"/>
    <n v="63524.064964730998"/>
    <x v="6"/>
    <x v="5"/>
  </r>
  <r>
    <n v="541"/>
    <x v="8"/>
    <x v="3"/>
    <x v="3"/>
    <n v="3"/>
    <n v="63526.211440964202"/>
    <x v="0"/>
    <x v="3"/>
  </r>
  <r>
    <n v="542"/>
    <x v="5"/>
    <x v="5"/>
    <x v="2"/>
    <n v="1"/>
    <n v="63528.357917197398"/>
    <x v="3"/>
    <x v="5"/>
  </r>
  <r>
    <n v="543"/>
    <x v="5"/>
    <x v="5"/>
    <x v="2"/>
    <n v="16"/>
    <n v="63530.504393430601"/>
    <x v="0"/>
    <x v="0"/>
  </r>
  <r>
    <n v="544"/>
    <x v="6"/>
    <x v="1"/>
    <x v="2"/>
    <n v="3"/>
    <n v="63532.650869663797"/>
    <x v="7"/>
    <x v="0"/>
  </r>
  <r>
    <n v="545"/>
    <x v="9"/>
    <x v="4"/>
    <x v="0"/>
    <n v="31"/>
    <n v="63534.797345897001"/>
    <x v="2"/>
    <x v="0"/>
  </r>
  <r>
    <n v="546"/>
    <x v="8"/>
    <x v="5"/>
    <x v="1"/>
    <n v="24"/>
    <n v="63536.943822130197"/>
    <x v="1"/>
    <x v="5"/>
  </r>
  <r>
    <n v="547"/>
    <x v="6"/>
    <x v="2"/>
    <x v="3"/>
    <n v="25"/>
    <n v="63539.090298363401"/>
    <x v="2"/>
    <x v="4"/>
  </r>
  <r>
    <n v="548"/>
    <x v="5"/>
    <x v="6"/>
    <x v="2"/>
    <n v="10"/>
    <n v="63541.236774596699"/>
    <x v="7"/>
    <x v="0"/>
  </r>
  <r>
    <n v="549"/>
    <x v="7"/>
    <x v="0"/>
    <x v="1"/>
    <n v="12"/>
    <n v="63543.383250829902"/>
    <x v="5"/>
    <x v="4"/>
  </r>
  <r>
    <n v="550"/>
    <x v="5"/>
    <x v="2"/>
    <x v="3"/>
    <n v="3"/>
    <n v="63545.529727063098"/>
    <x v="7"/>
    <x v="4"/>
  </r>
  <r>
    <n v="551"/>
    <x v="8"/>
    <x v="3"/>
    <x v="1"/>
    <n v="36"/>
    <n v="63547.676203296302"/>
    <x v="3"/>
    <x v="5"/>
  </r>
  <r>
    <n v="552"/>
    <x v="4"/>
    <x v="0"/>
    <x v="3"/>
    <n v="46"/>
    <n v="63549.822679529498"/>
    <x v="5"/>
    <x v="5"/>
  </r>
  <r>
    <n v="553"/>
    <x v="8"/>
    <x v="6"/>
    <x v="1"/>
    <n v="48"/>
    <n v="63551.969155762701"/>
    <x v="3"/>
    <x v="3"/>
  </r>
  <r>
    <n v="554"/>
    <x v="8"/>
    <x v="2"/>
    <x v="2"/>
    <n v="42"/>
    <n v="63554.115631995897"/>
    <x v="6"/>
    <x v="4"/>
  </r>
  <r>
    <n v="555"/>
    <x v="2"/>
    <x v="0"/>
    <x v="1"/>
    <n v="27"/>
    <n v="63556.262108229101"/>
    <x v="3"/>
    <x v="2"/>
  </r>
  <r>
    <n v="556"/>
    <x v="3"/>
    <x v="3"/>
    <x v="1"/>
    <n v="15"/>
    <n v="63558.408584462297"/>
    <x v="3"/>
    <x v="1"/>
  </r>
  <r>
    <n v="557"/>
    <x v="2"/>
    <x v="5"/>
    <x v="3"/>
    <n v="21"/>
    <n v="63560.5550606955"/>
    <x v="6"/>
    <x v="4"/>
  </r>
  <r>
    <n v="558"/>
    <x v="5"/>
    <x v="2"/>
    <x v="1"/>
    <n v="16"/>
    <n v="63562.701536928798"/>
    <x v="1"/>
    <x v="2"/>
  </r>
  <r>
    <n v="559"/>
    <x v="8"/>
    <x v="4"/>
    <x v="0"/>
    <n v="27"/>
    <n v="63564.848013162002"/>
    <x v="6"/>
    <x v="1"/>
  </r>
  <r>
    <n v="560"/>
    <x v="3"/>
    <x v="2"/>
    <x v="3"/>
    <n v="47"/>
    <n v="63566.994489395198"/>
    <x v="6"/>
    <x v="1"/>
  </r>
  <r>
    <n v="561"/>
    <x v="2"/>
    <x v="3"/>
    <x v="1"/>
    <n v="21"/>
    <n v="63569.140965628401"/>
    <x v="6"/>
    <x v="5"/>
  </r>
  <r>
    <n v="562"/>
    <x v="8"/>
    <x v="2"/>
    <x v="0"/>
    <n v="18"/>
    <n v="63571.287441861597"/>
    <x v="4"/>
    <x v="0"/>
  </r>
  <r>
    <n v="563"/>
    <x v="0"/>
    <x v="2"/>
    <x v="3"/>
    <n v="5"/>
    <n v="63573.433918094801"/>
    <x v="1"/>
    <x v="0"/>
  </r>
  <r>
    <n v="564"/>
    <x v="2"/>
    <x v="3"/>
    <x v="2"/>
    <n v="37"/>
    <n v="63575.580394327997"/>
    <x v="3"/>
    <x v="0"/>
  </r>
  <r>
    <n v="565"/>
    <x v="3"/>
    <x v="3"/>
    <x v="3"/>
    <n v="24"/>
    <n v="63577.7268705612"/>
    <x v="2"/>
    <x v="2"/>
  </r>
  <r>
    <n v="566"/>
    <x v="2"/>
    <x v="1"/>
    <x v="3"/>
    <n v="8"/>
    <n v="63579.873346794397"/>
    <x v="0"/>
    <x v="0"/>
  </r>
  <r>
    <n v="567"/>
    <x v="9"/>
    <x v="1"/>
    <x v="1"/>
    <n v="33"/>
    <n v="63582.0198230276"/>
    <x v="1"/>
    <x v="4"/>
  </r>
  <r>
    <n v="568"/>
    <x v="9"/>
    <x v="3"/>
    <x v="0"/>
    <n v="44"/>
    <n v="63584.166299260898"/>
    <x v="3"/>
    <x v="3"/>
  </r>
  <r>
    <n v="569"/>
    <x v="5"/>
    <x v="6"/>
    <x v="3"/>
    <n v="4"/>
    <n v="63586.312775494102"/>
    <x v="4"/>
    <x v="5"/>
  </r>
  <r>
    <n v="570"/>
    <x v="0"/>
    <x v="3"/>
    <x v="3"/>
    <n v="12"/>
    <n v="63588.459251727298"/>
    <x v="4"/>
    <x v="0"/>
  </r>
  <r>
    <n v="571"/>
    <x v="4"/>
    <x v="1"/>
    <x v="3"/>
    <n v="15"/>
    <n v="63590.605727960501"/>
    <x v="1"/>
    <x v="4"/>
  </r>
  <r>
    <n v="572"/>
    <x v="4"/>
    <x v="2"/>
    <x v="1"/>
    <n v="34"/>
    <n v="63592.752204193697"/>
    <x v="2"/>
    <x v="4"/>
  </r>
  <r>
    <n v="573"/>
    <x v="3"/>
    <x v="1"/>
    <x v="3"/>
    <n v="3"/>
    <n v="63594.898680426901"/>
    <x v="4"/>
    <x v="0"/>
  </r>
  <r>
    <n v="574"/>
    <x v="7"/>
    <x v="0"/>
    <x v="0"/>
    <n v="26"/>
    <n v="63597.045156660097"/>
    <x v="0"/>
    <x v="0"/>
  </r>
  <r>
    <n v="575"/>
    <x v="4"/>
    <x v="6"/>
    <x v="1"/>
    <n v="5"/>
    <n v="63599.1916328933"/>
    <x v="2"/>
    <x v="2"/>
  </r>
  <r>
    <n v="576"/>
    <x v="3"/>
    <x v="5"/>
    <x v="2"/>
    <n v="30"/>
    <n v="63601.338109126496"/>
    <x v="2"/>
    <x v="5"/>
  </r>
  <r>
    <n v="577"/>
    <x v="0"/>
    <x v="0"/>
    <x v="2"/>
    <n v="19"/>
    <n v="63603.4845853597"/>
    <x v="2"/>
    <x v="3"/>
  </r>
  <r>
    <n v="578"/>
    <x v="7"/>
    <x v="1"/>
    <x v="1"/>
    <n v="50"/>
    <n v="63605.631061592998"/>
    <x v="2"/>
    <x v="0"/>
  </r>
  <r>
    <n v="579"/>
    <x v="7"/>
    <x v="2"/>
    <x v="0"/>
    <n v="20"/>
    <n v="63607.777537826201"/>
    <x v="1"/>
    <x v="1"/>
  </r>
  <r>
    <n v="580"/>
    <x v="9"/>
    <x v="0"/>
    <x v="1"/>
    <n v="21"/>
    <n v="63609.924014059397"/>
    <x v="1"/>
    <x v="2"/>
  </r>
  <r>
    <n v="581"/>
    <x v="5"/>
    <x v="0"/>
    <x v="1"/>
    <n v="6"/>
    <n v="63612.070490292601"/>
    <x v="2"/>
    <x v="0"/>
  </r>
  <r>
    <n v="582"/>
    <x v="8"/>
    <x v="0"/>
    <x v="1"/>
    <n v="36"/>
    <n v="63614.216966525797"/>
    <x v="6"/>
    <x v="0"/>
  </r>
  <r>
    <n v="583"/>
    <x v="7"/>
    <x v="6"/>
    <x v="1"/>
    <n v="30"/>
    <n v="63616.363442759"/>
    <x v="6"/>
    <x v="4"/>
  </r>
  <r>
    <n v="584"/>
    <x v="1"/>
    <x v="5"/>
    <x v="3"/>
    <n v="1"/>
    <n v="63618.509918992197"/>
    <x v="1"/>
    <x v="2"/>
  </r>
  <r>
    <n v="585"/>
    <x v="3"/>
    <x v="2"/>
    <x v="2"/>
    <n v="24"/>
    <n v="63620.6563952254"/>
    <x v="5"/>
    <x v="3"/>
  </r>
  <r>
    <n v="586"/>
    <x v="7"/>
    <x v="5"/>
    <x v="0"/>
    <n v="13"/>
    <n v="63622.802871458603"/>
    <x v="2"/>
    <x v="4"/>
  </r>
  <r>
    <n v="587"/>
    <x v="7"/>
    <x v="3"/>
    <x v="3"/>
    <n v="19"/>
    <n v="63624.9493476918"/>
    <x v="0"/>
    <x v="1"/>
  </r>
  <r>
    <n v="588"/>
    <x v="6"/>
    <x v="1"/>
    <x v="2"/>
    <n v="37"/>
    <n v="63627.095823925003"/>
    <x v="0"/>
    <x v="1"/>
  </r>
  <r>
    <n v="589"/>
    <x v="1"/>
    <x v="4"/>
    <x v="1"/>
    <n v="20"/>
    <n v="63629.242300158301"/>
    <x v="1"/>
    <x v="3"/>
  </r>
  <r>
    <n v="590"/>
    <x v="6"/>
    <x v="6"/>
    <x v="2"/>
    <n v="48"/>
    <n v="63631.388776391497"/>
    <x v="7"/>
    <x v="4"/>
  </r>
  <r>
    <n v="591"/>
    <x v="7"/>
    <x v="5"/>
    <x v="2"/>
    <n v="40"/>
    <n v="63633.535252624701"/>
    <x v="7"/>
    <x v="2"/>
  </r>
  <r>
    <n v="592"/>
    <x v="8"/>
    <x v="1"/>
    <x v="3"/>
    <n v="16"/>
    <n v="63635.681728857897"/>
    <x v="5"/>
    <x v="0"/>
  </r>
  <r>
    <n v="593"/>
    <x v="1"/>
    <x v="1"/>
    <x v="3"/>
    <n v="30"/>
    <n v="63637.8282050911"/>
    <x v="7"/>
    <x v="3"/>
  </r>
  <r>
    <n v="594"/>
    <x v="9"/>
    <x v="6"/>
    <x v="0"/>
    <n v="24"/>
    <n v="63639.974681324296"/>
    <x v="4"/>
    <x v="4"/>
  </r>
  <r>
    <n v="595"/>
    <x v="2"/>
    <x v="6"/>
    <x v="1"/>
    <n v="38"/>
    <n v="63642.1211575575"/>
    <x v="5"/>
    <x v="2"/>
  </r>
  <r>
    <n v="596"/>
    <x v="7"/>
    <x v="1"/>
    <x v="1"/>
    <n v="32"/>
    <n v="63644.267633790703"/>
    <x v="7"/>
    <x v="2"/>
  </r>
  <r>
    <n v="597"/>
    <x v="7"/>
    <x v="3"/>
    <x v="1"/>
    <n v="50"/>
    <n v="63646.414110023899"/>
    <x v="5"/>
    <x v="2"/>
  </r>
  <r>
    <n v="598"/>
    <x v="5"/>
    <x v="5"/>
    <x v="2"/>
    <n v="50"/>
    <n v="63648.560586257103"/>
    <x v="6"/>
    <x v="2"/>
  </r>
  <r>
    <n v="599"/>
    <x v="5"/>
    <x v="4"/>
    <x v="2"/>
    <n v="13"/>
    <n v="63650.707062490401"/>
    <x v="6"/>
    <x v="1"/>
  </r>
  <r>
    <n v="600"/>
    <x v="6"/>
    <x v="4"/>
    <x v="1"/>
    <n v="47"/>
    <n v="63652.853538723597"/>
    <x v="2"/>
    <x v="2"/>
  </r>
  <r>
    <n v="601"/>
    <x v="3"/>
    <x v="4"/>
    <x v="0"/>
    <n v="35"/>
    <n v="63655.0000149568"/>
    <x v="7"/>
    <x v="4"/>
  </r>
  <r>
    <n v="602"/>
    <x v="8"/>
    <x v="0"/>
    <x v="2"/>
    <n v="49"/>
    <n v="63657.146491189997"/>
    <x v="5"/>
    <x v="3"/>
  </r>
  <r>
    <n v="603"/>
    <x v="3"/>
    <x v="5"/>
    <x v="0"/>
    <n v="16"/>
    <n v="63659.2929674232"/>
    <x v="4"/>
    <x v="0"/>
  </r>
  <r>
    <n v="604"/>
    <x v="2"/>
    <x v="0"/>
    <x v="2"/>
    <n v="10"/>
    <n v="63661.439443656403"/>
    <x v="3"/>
    <x v="0"/>
  </r>
  <r>
    <n v="605"/>
    <x v="7"/>
    <x v="0"/>
    <x v="3"/>
    <n v="1"/>
    <n v="63663.5859198896"/>
    <x v="7"/>
    <x v="4"/>
  </r>
  <r>
    <n v="606"/>
    <x v="8"/>
    <x v="1"/>
    <x v="3"/>
    <n v="27"/>
    <n v="63665.732396122803"/>
    <x v="0"/>
    <x v="4"/>
  </r>
  <r>
    <n v="607"/>
    <x v="1"/>
    <x v="0"/>
    <x v="1"/>
    <n v="2"/>
    <n v="63667.878872355999"/>
    <x v="2"/>
    <x v="5"/>
  </r>
  <r>
    <n v="608"/>
    <x v="7"/>
    <x v="2"/>
    <x v="3"/>
    <n v="15"/>
    <n v="63670.025348589203"/>
    <x v="4"/>
    <x v="4"/>
  </r>
  <r>
    <n v="609"/>
    <x v="9"/>
    <x v="3"/>
    <x v="2"/>
    <n v="35"/>
    <n v="63672.171824822501"/>
    <x v="4"/>
    <x v="4"/>
  </r>
  <r>
    <n v="610"/>
    <x v="7"/>
    <x v="3"/>
    <x v="2"/>
    <n v="23"/>
    <n v="63674.318301055697"/>
    <x v="5"/>
    <x v="3"/>
  </r>
  <r>
    <n v="611"/>
    <x v="4"/>
    <x v="6"/>
    <x v="3"/>
    <n v="41"/>
    <n v="63676.4647772889"/>
    <x v="2"/>
    <x v="5"/>
  </r>
  <r>
    <n v="612"/>
    <x v="8"/>
    <x v="6"/>
    <x v="3"/>
    <n v="45"/>
    <n v="63678.611253522096"/>
    <x v="6"/>
    <x v="3"/>
  </r>
  <r>
    <n v="613"/>
    <x v="4"/>
    <x v="5"/>
    <x v="3"/>
    <n v="1"/>
    <n v="63680.7577297553"/>
    <x v="6"/>
    <x v="2"/>
  </r>
  <r>
    <n v="614"/>
    <x v="6"/>
    <x v="5"/>
    <x v="1"/>
    <n v="22"/>
    <n v="63682.904205988503"/>
    <x v="5"/>
    <x v="4"/>
  </r>
  <r>
    <n v="615"/>
    <x v="5"/>
    <x v="2"/>
    <x v="3"/>
    <n v="1"/>
    <n v="63685.050682221699"/>
    <x v="5"/>
    <x v="4"/>
  </r>
  <r>
    <n v="616"/>
    <x v="1"/>
    <x v="3"/>
    <x v="2"/>
    <n v="49"/>
    <n v="63687.197158454903"/>
    <x v="3"/>
    <x v="5"/>
  </r>
  <r>
    <n v="617"/>
    <x v="7"/>
    <x v="6"/>
    <x v="3"/>
    <n v="43"/>
    <n v="63689.343634688099"/>
    <x v="1"/>
    <x v="2"/>
  </r>
  <r>
    <n v="618"/>
    <x v="6"/>
    <x v="1"/>
    <x v="1"/>
    <n v="25"/>
    <n v="63691.490110921302"/>
    <x v="6"/>
    <x v="3"/>
  </r>
  <r>
    <n v="619"/>
    <x v="6"/>
    <x v="6"/>
    <x v="1"/>
    <n v="48"/>
    <n v="63693.6365871546"/>
    <x v="3"/>
    <x v="1"/>
  </r>
  <r>
    <n v="620"/>
    <x v="1"/>
    <x v="0"/>
    <x v="2"/>
    <n v="47"/>
    <n v="63695.783063387797"/>
    <x v="2"/>
    <x v="4"/>
  </r>
  <r>
    <n v="621"/>
    <x v="0"/>
    <x v="4"/>
    <x v="2"/>
    <n v="20"/>
    <n v="63697.929539621"/>
    <x v="0"/>
    <x v="1"/>
  </r>
  <r>
    <n v="622"/>
    <x v="7"/>
    <x v="1"/>
    <x v="3"/>
    <n v="7"/>
    <n v="63700.076015854203"/>
    <x v="4"/>
    <x v="1"/>
  </r>
  <r>
    <n v="623"/>
    <x v="4"/>
    <x v="4"/>
    <x v="2"/>
    <n v="14"/>
    <n v="63702.2224920874"/>
    <x v="0"/>
    <x v="1"/>
  </r>
  <r>
    <n v="624"/>
    <x v="8"/>
    <x v="4"/>
    <x v="0"/>
    <n v="34"/>
    <n v="63704.368968320603"/>
    <x v="3"/>
    <x v="0"/>
  </r>
  <r>
    <n v="625"/>
    <x v="4"/>
    <x v="3"/>
    <x v="2"/>
    <n v="16"/>
    <n v="63706.515444553799"/>
    <x v="5"/>
    <x v="1"/>
  </r>
  <r>
    <n v="626"/>
    <x v="1"/>
    <x v="4"/>
    <x v="0"/>
    <n v="27"/>
    <n v="63708.661920787003"/>
    <x v="7"/>
    <x v="3"/>
  </r>
  <r>
    <n v="627"/>
    <x v="2"/>
    <x v="4"/>
    <x v="0"/>
    <n v="32"/>
    <n v="63710.808397020199"/>
    <x v="1"/>
    <x v="1"/>
  </r>
  <r>
    <n v="628"/>
    <x v="7"/>
    <x v="0"/>
    <x v="2"/>
    <n v="4"/>
    <n v="63712.954873253402"/>
    <x v="3"/>
    <x v="4"/>
  </r>
  <r>
    <n v="629"/>
    <x v="9"/>
    <x v="5"/>
    <x v="0"/>
    <n v="10"/>
    <n v="63715.101349486598"/>
    <x v="7"/>
    <x v="0"/>
  </r>
  <r>
    <n v="630"/>
    <x v="3"/>
    <x v="2"/>
    <x v="2"/>
    <n v="46"/>
    <n v="63717.247825719904"/>
    <x v="2"/>
    <x v="2"/>
  </r>
  <r>
    <n v="631"/>
    <x v="8"/>
    <x v="3"/>
    <x v="2"/>
    <n v="18"/>
    <n v="63719.3943019531"/>
    <x v="2"/>
    <x v="5"/>
  </r>
  <r>
    <n v="632"/>
    <x v="9"/>
    <x v="6"/>
    <x v="1"/>
    <n v="6"/>
    <n v="63721.540778186303"/>
    <x v="1"/>
    <x v="4"/>
  </r>
  <r>
    <n v="633"/>
    <x v="9"/>
    <x v="0"/>
    <x v="0"/>
    <n v="3"/>
    <n v="63723.687254419499"/>
    <x v="1"/>
    <x v="2"/>
  </r>
  <r>
    <n v="634"/>
    <x v="7"/>
    <x v="4"/>
    <x v="0"/>
    <n v="15"/>
    <s v="Sale Price"/>
    <x v="3"/>
    <x v="2"/>
  </r>
  <r>
    <n v="635"/>
    <x v="2"/>
    <x v="6"/>
    <x v="3"/>
    <n v="34"/>
    <n v="63438.205915401799"/>
    <x v="6"/>
    <x v="5"/>
  </r>
  <r>
    <n v="636"/>
    <x v="7"/>
    <x v="0"/>
    <x v="2"/>
    <n v="27"/>
    <n v="63440.352391635002"/>
    <x v="7"/>
    <x v="1"/>
  </r>
  <r>
    <n v="637"/>
    <x v="2"/>
    <x v="1"/>
    <x v="1"/>
    <n v="45"/>
    <n v="63442.498867868198"/>
    <x v="1"/>
    <x v="1"/>
  </r>
  <r>
    <n v="638"/>
    <x v="0"/>
    <x v="1"/>
    <x v="1"/>
    <n v="24"/>
    <n v="63444.645344101402"/>
    <x v="7"/>
    <x v="3"/>
  </r>
  <r>
    <n v="639"/>
    <x v="8"/>
    <x v="3"/>
    <x v="3"/>
    <n v="30"/>
    <n v="63446.791820334598"/>
    <x v="5"/>
    <x v="1"/>
  </r>
  <r>
    <n v="640"/>
    <x v="1"/>
    <x v="4"/>
    <x v="0"/>
    <n v="48"/>
    <n v="63448.938296567801"/>
    <x v="7"/>
    <x v="1"/>
  </r>
  <r>
    <n v="641"/>
    <x v="5"/>
    <x v="3"/>
    <x v="1"/>
    <n v="6"/>
    <n v="63451.084772800998"/>
    <x v="2"/>
    <x v="3"/>
  </r>
  <r>
    <n v="642"/>
    <x v="1"/>
    <x v="1"/>
    <x v="0"/>
    <n v="38"/>
    <n v="63453.231249034201"/>
    <x v="4"/>
    <x v="4"/>
  </r>
  <r>
    <n v="643"/>
    <x v="9"/>
    <x v="0"/>
    <x v="1"/>
    <n v="7"/>
    <n v="63455.377725267397"/>
    <x v="2"/>
    <x v="5"/>
  </r>
  <r>
    <n v="644"/>
    <x v="3"/>
    <x v="6"/>
    <x v="1"/>
    <n v="33"/>
    <n v="63457.524201500601"/>
    <x v="6"/>
    <x v="3"/>
  </r>
  <r>
    <n v="645"/>
    <x v="0"/>
    <x v="5"/>
    <x v="2"/>
    <n v="9"/>
    <n v="63459.670677733797"/>
    <x v="4"/>
    <x v="4"/>
  </r>
  <r>
    <n v="646"/>
    <x v="1"/>
    <x v="4"/>
    <x v="0"/>
    <n v="41"/>
    <n v="63461.817153967102"/>
    <x v="7"/>
    <x v="1"/>
  </r>
  <r>
    <n v="647"/>
    <x v="1"/>
    <x v="3"/>
    <x v="1"/>
    <n v="26"/>
    <n v="63463.963630200298"/>
    <x v="1"/>
    <x v="4"/>
  </r>
  <r>
    <n v="648"/>
    <x v="3"/>
    <x v="6"/>
    <x v="2"/>
    <n v="5"/>
    <n v="63466.110106433502"/>
    <x v="0"/>
    <x v="1"/>
  </r>
  <r>
    <n v="649"/>
    <x v="3"/>
    <x v="6"/>
    <x v="1"/>
    <n v="38"/>
    <n v="63468.256582666698"/>
    <x v="3"/>
    <x v="1"/>
  </r>
  <r>
    <n v="650"/>
    <x v="1"/>
    <x v="5"/>
    <x v="2"/>
    <n v="37"/>
    <n v="63470.403058899901"/>
    <x v="6"/>
    <x v="3"/>
  </r>
  <r>
    <n v="651"/>
    <x v="6"/>
    <x v="0"/>
    <x v="2"/>
    <n v="4"/>
    <n v="63472.549535133097"/>
    <x v="1"/>
    <x v="5"/>
  </r>
  <r>
    <n v="652"/>
    <x v="4"/>
    <x v="5"/>
    <x v="0"/>
    <n v="28"/>
    <n v="63474.696011366301"/>
    <x v="5"/>
    <x v="0"/>
  </r>
  <r>
    <n v="653"/>
    <x v="3"/>
    <x v="2"/>
    <x v="2"/>
    <n v="43"/>
    <n v="63476.842487599497"/>
    <x v="1"/>
    <x v="4"/>
  </r>
  <r>
    <n v="654"/>
    <x v="4"/>
    <x v="5"/>
    <x v="1"/>
    <n v="9"/>
    <n v="63478.9889638327"/>
    <x v="4"/>
    <x v="4"/>
  </r>
  <r>
    <n v="655"/>
    <x v="8"/>
    <x v="2"/>
    <x v="3"/>
    <n v="16"/>
    <n v="63481.135440065897"/>
    <x v="4"/>
    <x v="3"/>
  </r>
  <r>
    <n v="656"/>
    <x v="0"/>
    <x v="0"/>
    <x v="1"/>
    <n v="19"/>
    <n v="63483.2819162991"/>
    <x v="2"/>
    <x v="5"/>
  </r>
  <r>
    <n v="657"/>
    <x v="6"/>
    <x v="0"/>
    <x v="1"/>
    <n v="17"/>
    <n v="63485.428392532303"/>
    <x v="3"/>
    <x v="1"/>
  </r>
  <r>
    <n v="658"/>
    <x v="3"/>
    <x v="0"/>
    <x v="2"/>
    <n v="21"/>
    <n v="63487.5748687655"/>
    <x v="0"/>
    <x v="4"/>
  </r>
  <r>
    <n v="659"/>
    <x v="8"/>
    <x v="6"/>
    <x v="1"/>
    <n v="26"/>
    <n v="63489.721344998703"/>
    <x v="7"/>
    <x v="5"/>
  </r>
  <r>
    <n v="660"/>
    <x v="2"/>
    <x v="6"/>
    <x v="2"/>
    <n v="45"/>
    <n v="63491.867821231899"/>
    <x v="1"/>
    <x v="2"/>
  </r>
  <r>
    <n v="661"/>
    <x v="9"/>
    <x v="4"/>
    <x v="0"/>
    <n v="48"/>
    <n v="63494.014297465103"/>
    <x v="5"/>
    <x v="2"/>
  </r>
  <r>
    <n v="662"/>
    <x v="4"/>
    <x v="1"/>
    <x v="2"/>
    <n v="21"/>
    <n v="63496.160773698299"/>
    <x v="3"/>
    <x v="0"/>
  </r>
  <r>
    <n v="663"/>
    <x v="6"/>
    <x v="4"/>
    <x v="0"/>
    <n v="21"/>
    <n v="63498.307249931502"/>
    <x v="1"/>
    <x v="4"/>
  </r>
  <r>
    <n v="664"/>
    <x v="6"/>
    <x v="5"/>
    <x v="3"/>
    <n v="29"/>
    <n v="63500.453726164698"/>
    <x v="1"/>
    <x v="1"/>
  </r>
  <r>
    <n v="665"/>
    <x v="0"/>
    <x v="5"/>
    <x v="1"/>
    <n v="18"/>
    <n v="63502.600202397902"/>
    <x v="4"/>
    <x v="4"/>
  </r>
  <r>
    <n v="666"/>
    <x v="4"/>
    <x v="4"/>
    <x v="0"/>
    <n v="15"/>
    <n v="63504.746678631098"/>
    <x v="4"/>
    <x v="0"/>
  </r>
  <r>
    <n v="667"/>
    <x v="2"/>
    <x v="3"/>
    <x v="3"/>
    <n v="5"/>
    <n v="63506.893154864301"/>
    <x v="0"/>
    <x v="2"/>
  </r>
  <r>
    <n v="668"/>
    <x v="0"/>
    <x v="1"/>
    <x v="2"/>
    <n v="13"/>
    <n v="63509.039631097497"/>
    <x v="6"/>
    <x v="0"/>
  </r>
  <r>
    <n v="669"/>
    <x v="6"/>
    <x v="5"/>
    <x v="3"/>
    <n v="9"/>
    <n v="63511.186107330701"/>
    <x v="0"/>
    <x v="4"/>
  </r>
  <r>
    <n v="670"/>
    <x v="1"/>
    <x v="3"/>
    <x v="0"/>
    <n v="50"/>
    <n v="63513.332583563897"/>
    <x v="1"/>
    <x v="4"/>
  </r>
  <r>
    <n v="671"/>
    <x v="2"/>
    <x v="3"/>
    <x v="1"/>
    <n v="50"/>
    <n v="63515.4790597971"/>
    <x v="6"/>
    <x v="2"/>
  </r>
  <r>
    <n v="672"/>
    <x v="6"/>
    <x v="2"/>
    <x v="3"/>
    <n v="38"/>
    <n v="63517.625536030297"/>
    <x v="6"/>
    <x v="2"/>
  </r>
  <r>
    <n v="673"/>
    <x v="7"/>
    <x v="1"/>
    <x v="3"/>
    <n v="7"/>
    <n v="63519.7720122635"/>
    <x v="6"/>
    <x v="5"/>
  </r>
  <r>
    <n v="674"/>
    <x v="7"/>
    <x v="2"/>
    <x v="2"/>
    <n v="10"/>
    <n v="63521.918488496704"/>
    <x v="3"/>
    <x v="1"/>
  </r>
  <r>
    <n v="675"/>
    <x v="3"/>
    <x v="0"/>
    <x v="2"/>
    <n v="7"/>
    <n v="63524.064964730002"/>
    <x v="5"/>
    <x v="2"/>
  </r>
  <r>
    <n v="676"/>
    <x v="0"/>
    <x v="6"/>
    <x v="1"/>
    <n v="11"/>
    <n v="63526.211440963198"/>
    <x v="1"/>
    <x v="1"/>
  </r>
  <r>
    <n v="677"/>
    <x v="6"/>
    <x v="4"/>
    <x v="2"/>
    <n v="29"/>
    <n v="63528.357917196401"/>
    <x v="2"/>
    <x v="0"/>
  </r>
  <r>
    <n v="678"/>
    <x v="3"/>
    <x v="2"/>
    <x v="0"/>
    <n v="30"/>
    <n v="63530.504393429597"/>
    <x v="3"/>
    <x v="0"/>
  </r>
  <r>
    <n v="679"/>
    <x v="0"/>
    <x v="1"/>
    <x v="0"/>
    <n v="21"/>
    <n v="63532.650869662801"/>
    <x v="3"/>
    <x v="2"/>
  </r>
  <r>
    <n v="680"/>
    <x v="2"/>
    <x v="6"/>
    <x v="3"/>
    <n v="27"/>
    <n v="63534.797345895997"/>
    <x v="1"/>
    <x v="1"/>
  </r>
  <r>
    <n v="681"/>
    <x v="6"/>
    <x v="4"/>
    <x v="2"/>
    <n v="8"/>
    <n v="63536.9438221292"/>
    <x v="1"/>
    <x v="2"/>
  </r>
  <r>
    <n v="682"/>
    <x v="0"/>
    <x v="6"/>
    <x v="2"/>
    <n v="35"/>
    <n v="63539.090298362396"/>
    <x v="2"/>
    <x v="2"/>
  </r>
  <r>
    <n v="683"/>
    <x v="6"/>
    <x v="4"/>
    <x v="3"/>
    <n v="23"/>
    <n v="63541.2367745956"/>
    <x v="2"/>
    <x v="5"/>
  </r>
  <r>
    <n v="684"/>
    <x v="1"/>
    <x v="6"/>
    <x v="1"/>
    <n v="50"/>
    <n v="63543.383250828803"/>
    <x v="6"/>
    <x v="0"/>
  </r>
  <r>
    <n v="685"/>
    <x v="9"/>
    <x v="2"/>
    <x v="2"/>
    <n v="14"/>
    <n v="63545.529727061999"/>
    <x v="2"/>
    <x v="1"/>
  </r>
  <r>
    <n v="686"/>
    <x v="5"/>
    <x v="0"/>
    <x v="2"/>
    <n v="29"/>
    <n v="63547.676203295203"/>
    <x v="2"/>
    <x v="0"/>
  </r>
  <r>
    <n v="687"/>
    <x v="7"/>
    <x v="3"/>
    <x v="1"/>
    <n v="20"/>
    <n v="63549.822679528399"/>
    <x v="7"/>
    <x v="5"/>
  </r>
  <r>
    <n v="688"/>
    <x v="9"/>
    <x v="4"/>
    <x v="2"/>
    <n v="30"/>
    <n v="63551.969155761602"/>
    <x v="5"/>
    <x v="3"/>
  </r>
  <r>
    <n v="689"/>
    <x v="0"/>
    <x v="3"/>
    <x v="0"/>
    <n v="17"/>
    <n v="63554.115631994799"/>
    <x v="4"/>
    <x v="0"/>
  </r>
  <r>
    <n v="690"/>
    <x v="5"/>
    <x v="4"/>
    <x v="0"/>
    <n v="8"/>
    <n v="63556.262108228002"/>
    <x v="2"/>
    <x v="5"/>
  </r>
  <r>
    <n v="691"/>
    <x v="9"/>
    <x v="1"/>
    <x v="1"/>
    <n v="6"/>
    <n v="63558.408584461198"/>
    <x v="0"/>
    <x v="4"/>
  </r>
  <r>
    <n v="692"/>
    <x v="1"/>
    <x v="1"/>
    <x v="1"/>
    <n v="11"/>
    <n v="63560.555060694402"/>
    <x v="4"/>
    <x v="0"/>
  </r>
  <r>
    <n v="693"/>
    <x v="7"/>
    <x v="4"/>
    <x v="0"/>
    <n v="44"/>
    <n v="63562.701536927598"/>
    <x v="0"/>
    <x v="1"/>
  </r>
  <r>
    <n v="694"/>
    <x v="8"/>
    <x v="0"/>
    <x v="0"/>
    <n v="20"/>
    <n v="63564.848013160801"/>
    <x v="7"/>
    <x v="5"/>
  </r>
  <r>
    <n v="695"/>
    <x v="0"/>
    <x v="6"/>
    <x v="0"/>
    <n v="46"/>
    <n v="63566.994489393997"/>
    <x v="6"/>
    <x v="3"/>
  </r>
  <r>
    <n v="696"/>
    <x v="7"/>
    <x v="4"/>
    <x v="0"/>
    <n v="45"/>
    <n v="63569.140965627201"/>
    <x v="6"/>
    <x v="0"/>
  </r>
  <r>
    <n v="697"/>
    <x v="9"/>
    <x v="6"/>
    <x v="1"/>
    <n v="39"/>
    <n v="63571.287441860397"/>
    <x v="2"/>
    <x v="5"/>
  </r>
  <r>
    <n v="698"/>
    <x v="8"/>
    <x v="0"/>
    <x v="1"/>
    <n v="3"/>
    <n v="63573.4339180936"/>
    <x v="4"/>
    <x v="3"/>
  </r>
  <r>
    <n v="699"/>
    <x v="4"/>
    <x v="5"/>
    <x v="3"/>
    <n v="14"/>
    <n v="63575.580394326797"/>
    <x v="3"/>
    <x v="4"/>
  </r>
  <r>
    <n v="700"/>
    <x v="7"/>
    <x v="2"/>
    <x v="1"/>
    <n v="21"/>
    <n v="63577.72687056"/>
    <x v="3"/>
    <x v="1"/>
  </r>
  <r>
    <n v="701"/>
    <x v="4"/>
    <x v="3"/>
    <x v="0"/>
    <n v="10"/>
    <n v="63579.873346793203"/>
    <x v="7"/>
    <x v="0"/>
  </r>
  <r>
    <n v="702"/>
    <x v="5"/>
    <x v="4"/>
    <x v="2"/>
    <n v="6"/>
    <n v="63582.0198230264"/>
    <x v="6"/>
    <x v="4"/>
  </r>
  <r>
    <n v="703"/>
    <x v="2"/>
    <x v="2"/>
    <x v="0"/>
    <n v="46"/>
    <n v="63584.166299259603"/>
    <x v="4"/>
    <x v="2"/>
  </r>
  <r>
    <n v="704"/>
    <x v="6"/>
    <x v="1"/>
    <x v="0"/>
    <n v="16"/>
    <n v="63586.312775492901"/>
    <x v="5"/>
    <x v="1"/>
  </r>
  <r>
    <n v="705"/>
    <x v="5"/>
    <x v="0"/>
    <x v="1"/>
    <n v="23"/>
    <n v="63588.459251726097"/>
    <x v="7"/>
    <x v="1"/>
  </r>
  <r>
    <n v="706"/>
    <x v="8"/>
    <x v="6"/>
    <x v="3"/>
    <n v="26"/>
    <n v="63590.605727959301"/>
    <x v="2"/>
    <x v="1"/>
  </r>
  <r>
    <n v="707"/>
    <x v="8"/>
    <x v="4"/>
    <x v="2"/>
    <n v="33"/>
    <n v="63592.752204192497"/>
    <x v="3"/>
    <x v="1"/>
  </r>
  <r>
    <n v="708"/>
    <x v="7"/>
    <x v="2"/>
    <x v="2"/>
    <n v="4"/>
    <n v="63594.8986804257"/>
    <x v="5"/>
    <x v="3"/>
  </r>
  <r>
    <n v="709"/>
    <x v="6"/>
    <x v="6"/>
    <x v="3"/>
    <n v="44"/>
    <n v="63597.045156658904"/>
    <x v="0"/>
    <x v="4"/>
  </r>
  <r>
    <n v="710"/>
    <x v="2"/>
    <x v="5"/>
    <x v="0"/>
    <n v="20"/>
    <n v="63599.1916328921"/>
    <x v="0"/>
    <x v="2"/>
  </r>
  <r>
    <n v="711"/>
    <x v="9"/>
    <x v="4"/>
    <x v="1"/>
    <n v="17"/>
    <n v="63601.338109125303"/>
    <x v="7"/>
    <x v="0"/>
  </r>
  <r>
    <n v="712"/>
    <x v="3"/>
    <x v="3"/>
    <x v="0"/>
    <n v="12"/>
    <n v="63603.484585358499"/>
    <x v="2"/>
    <x v="1"/>
  </r>
  <r>
    <n v="713"/>
    <x v="0"/>
    <x v="4"/>
    <x v="2"/>
    <n v="2"/>
    <n v="63605.631061591703"/>
    <x v="6"/>
    <x v="0"/>
  </r>
  <r>
    <n v="714"/>
    <x v="2"/>
    <x v="3"/>
    <x v="2"/>
    <n v="26"/>
    <n v="63607.777537824899"/>
    <x v="6"/>
    <x v="5"/>
  </r>
  <r>
    <n v="715"/>
    <x v="8"/>
    <x v="6"/>
    <x v="0"/>
    <n v="29"/>
    <n v="63609.924014058102"/>
    <x v="6"/>
    <x v="4"/>
  </r>
  <r>
    <n v="716"/>
    <x v="3"/>
    <x v="4"/>
    <x v="2"/>
    <n v="36"/>
    <n v="63612.070490291298"/>
    <x v="5"/>
    <x v="4"/>
  </r>
  <r>
    <n v="717"/>
    <x v="8"/>
    <x v="2"/>
    <x v="1"/>
    <n v="48"/>
    <n v="63614.216966524502"/>
    <x v="0"/>
    <x v="1"/>
  </r>
  <r>
    <n v="718"/>
    <x v="6"/>
    <x v="0"/>
    <x v="2"/>
    <n v="36"/>
    <n v="63616.363442757698"/>
    <x v="4"/>
    <x v="1"/>
  </r>
  <r>
    <n v="719"/>
    <x v="6"/>
    <x v="1"/>
    <x v="1"/>
    <n v="16"/>
    <n v="63618.509918990901"/>
    <x v="7"/>
    <x v="4"/>
  </r>
  <r>
    <n v="720"/>
    <x v="7"/>
    <x v="0"/>
    <x v="0"/>
    <n v="7"/>
    <n v="63620.656395224098"/>
    <x v="1"/>
    <x v="0"/>
  </r>
  <r>
    <n v="721"/>
    <x v="9"/>
    <x v="5"/>
    <x v="0"/>
    <n v="30"/>
    <n v="63622.802871457301"/>
    <x v="7"/>
    <x v="2"/>
  </r>
  <r>
    <n v="722"/>
    <x v="1"/>
    <x v="0"/>
    <x v="1"/>
    <n v="7"/>
    <n v="63624.949347690497"/>
    <x v="5"/>
    <x v="5"/>
  </r>
  <r>
    <n v="723"/>
    <x v="8"/>
    <x v="2"/>
    <x v="1"/>
    <n v="9"/>
    <n v="63627.095823923701"/>
    <x v="4"/>
    <x v="4"/>
  </r>
  <r>
    <n v="724"/>
    <x v="9"/>
    <x v="5"/>
    <x v="1"/>
    <n v="8"/>
    <n v="63629.242300156897"/>
    <x v="7"/>
    <x v="2"/>
  </r>
  <r>
    <n v="725"/>
    <x v="4"/>
    <x v="6"/>
    <x v="2"/>
    <n v="1"/>
    <n v="63631.3887763901"/>
    <x v="5"/>
    <x v="0"/>
  </r>
  <r>
    <n v="726"/>
    <x v="8"/>
    <x v="3"/>
    <x v="0"/>
    <n v="4"/>
    <n v="63633.535252623296"/>
    <x v="6"/>
    <x v="3"/>
  </r>
  <r>
    <n v="727"/>
    <x v="3"/>
    <x v="1"/>
    <x v="2"/>
    <n v="50"/>
    <n v="63635.6817288565"/>
    <x v="5"/>
    <x v="1"/>
  </r>
  <r>
    <n v="728"/>
    <x v="9"/>
    <x v="6"/>
    <x v="2"/>
    <n v="15"/>
    <n v="63637.828205089703"/>
    <x v="7"/>
    <x v="3"/>
  </r>
  <r>
    <n v="729"/>
    <x v="2"/>
    <x v="3"/>
    <x v="1"/>
    <n v="9"/>
    <n v="63639.974681322899"/>
    <x v="0"/>
    <x v="4"/>
  </r>
  <r>
    <n v="730"/>
    <x v="9"/>
    <x v="3"/>
    <x v="2"/>
    <n v="13"/>
    <n v="63642.121157556103"/>
    <x v="7"/>
    <x v="0"/>
  </r>
  <r>
    <n v="731"/>
    <x v="2"/>
    <x v="5"/>
    <x v="3"/>
    <n v="26"/>
    <n v="63644.267633789299"/>
    <x v="3"/>
    <x v="0"/>
  </r>
  <r>
    <n v="732"/>
    <x v="6"/>
    <x v="2"/>
    <x v="3"/>
    <n v="24"/>
    <n v="63646.414110022502"/>
    <x v="1"/>
    <x v="0"/>
  </r>
  <r>
    <n v="733"/>
    <x v="2"/>
    <x v="0"/>
    <x v="3"/>
    <n v="44"/>
    <n v="63648.560586255699"/>
    <x v="5"/>
    <x v="0"/>
  </r>
  <r>
    <n v="734"/>
    <x v="5"/>
    <x v="0"/>
    <x v="3"/>
    <n v="41"/>
    <n v="63650.707062488997"/>
    <x v="2"/>
    <x v="4"/>
  </r>
  <r>
    <n v="735"/>
    <x v="1"/>
    <x v="1"/>
    <x v="3"/>
    <n v="42"/>
    <n v="63652.8535387222"/>
    <x v="3"/>
    <x v="1"/>
  </r>
  <r>
    <n v="736"/>
    <x v="5"/>
    <x v="2"/>
    <x v="1"/>
    <n v="6"/>
    <n v="63655.000014955403"/>
    <x v="7"/>
    <x v="3"/>
  </r>
  <r>
    <n v="737"/>
    <x v="3"/>
    <x v="1"/>
    <x v="2"/>
    <n v="38"/>
    <n v="63657.1464911886"/>
    <x v="5"/>
    <x v="5"/>
  </r>
  <r>
    <n v="738"/>
    <x v="0"/>
    <x v="2"/>
    <x v="2"/>
    <n v="38"/>
    <n v="63659.292967421803"/>
    <x v="1"/>
    <x v="1"/>
  </r>
  <r>
    <n v="739"/>
    <x v="3"/>
    <x v="5"/>
    <x v="3"/>
    <n v="17"/>
    <n v="63661.439443654999"/>
    <x v="6"/>
    <x v="0"/>
  </r>
  <r>
    <n v="740"/>
    <x v="7"/>
    <x v="5"/>
    <x v="2"/>
    <n v="5"/>
    <n v="63663.585919888203"/>
    <x v="1"/>
    <x v="4"/>
  </r>
  <r>
    <n v="741"/>
    <x v="8"/>
    <x v="6"/>
    <x v="3"/>
    <n v="2"/>
    <n v="63665.732396121399"/>
    <x v="3"/>
    <x v="0"/>
  </r>
  <r>
    <n v="742"/>
    <x v="5"/>
    <x v="5"/>
    <x v="2"/>
    <n v="5"/>
    <n v="63667.878872354602"/>
    <x v="2"/>
    <x v="1"/>
  </r>
  <r>
    <n v="743"/>
    <x v="3"/>
    <x v="0"/>
    <x v="1"/>
    <n v="13"/>
    <n v="63670.025348587798"/>
    <x v="0"/>
    <x v="3"/>
  </r>
  <r>
    <n v="744"/>
    <x v="8"/>
    <x v="5"/>
    <x v="0"/>
    <n v="42"/>
    <n v="63672.171824821002"/>
    <x v="3"/>
    <x v="3"/>
  </r>
  <r>
    <n v="745"/>
    <x v="8"/>
    <x v="5"/>
    <x v="3"/>
    <n v="29"/>
    <n v="63674.318301054198"/>
    <x v="4"/>
    <x v="2"/>
  </r>
  <r>
    <n v="746"/>
    <x v="8"/>
    <x v="3"/>
    <x v="1"/>
    <n v="9"/>
    <n v="63676.464777287401"/>
    <x v="6"/>
    <x v="2"/>
  </r>
  <r>
    <n v="747"/>
    <x v="1"/>
    <x v="5"/>
    <x v="1"/>
    <n v="6"/>
    <n v="63678.611253520598"/>
    <x v="0"/>
    <x v="4"/>
  </r>
  <r>
    <n v="748"/>
    <x v="0"/>
    <x v="2"/>
    <x v="3"/>
    <n v="22"/>
    <n v="63680.757729753801"/>
    <x v="7"/>
    <x v="2"/>
  </r>
  <r>
    <n v="749"/>
    <x v="2"/>
    <x v="2"/>
    <x v="3"/>
    <n v="8"/>
    <n v="63682.904205986997"/>
    <x v="7"/>
    <x v="0"/>
  </r>
  <r>
    <n v="750"/>
    <x v="3"/>
    <x v="1"/>
    <x v="1"/>
    <n v="3"/>
    <n v="63685.050682220201"/>
    <x v="6"/>
    <x v="1"/>
  </r>
  <r>
    <n v="751"/>
    <x v="7"/>
    <x v="6"/>
    <x v="3"/>
    <n v="30"/>
    <n v="63687.197158453397"/>
    <x v="5"/>
    <x v="4"/>
  </r>
  <r>
    <n v="752"/>
    <x v="3"/>
    <x v="5"/>
    <x v="3"/>
    <n v="4"/>
    <n v="63689.3436346866"/>
    <x v="2"/>
    <x v="4"/>
  </r>
  <r>
    <n v="753"/>
    <x v="2"/>
    <x v="2"/>
    <x v="0"/>
    <n v="11"/>
    <n v="63691.490110919804"/>
    <x v="0"/>
    <x v="1"/>
  </r>
  <r>
    <n v="754"/>
    <x v="6"/>
    <x v="1"/>
    <x v="0"/>
    <n v="37"/>
    <n v="63693.636587153"/>
    <x v="1"/>
    <x v="2"/>
  </r>
  <r>
    <n v="755"/>
    <x v="9"/>
    <x v="4"/>
    <x v="3"/>
    <n v="28"/>
    <n v="63695.783063386203"/>
    <x v="4"/>
    <x v="3"/>
  </r>
  <r>
    <n v="756"/>
    <x v="8"/>
    <x v="4"/>
    <x v="1"/>
    <n v="47"/>
    <s v="Sale Price"/>
    <x v="7"/>
    <x v="2"/>
  </r>
  <r>
    <n v="757"/>
    <x v="5"/>
    <x v="2"/>
    <x v="2"/>
    <n v="26"/>
    <n v="63725.833730652703"/>
    <x v="2"/>
    <x v="1"/>
  </r>
  <r>
    <n v="758"/>
    <x v="5"/>
    <x v="3"/>
    <x v="3"/>
    <n v="32"/>
    <n v="63727.980206885899"/>
    <x v="2"/>
    <x v="0"/>
  </r>
  <r>
    <n v="759"/>
    <x v="9"/>
    <x v="2"/>
    <x v="3"/>
    <n v="2"/>
    <n v="63730.126683119102"/>
    <x v="2"/>
    <x v="2"/>
  </r>
  <r>
    <n v="760"/>
    <x v="7"/>
    <x v="3"/>
    <x v="2"/>
    <n v="25"/>
    <n v="63732.273159352299"/>
    <x v="5"/>
    <x v="4"/>
  </r>
  <r>
    <n v="761"/>
    <x v="5"/>
    <x v="4"/>
    <x v="2"/>
    <n v="44"/>
    <n v="63734.419635585502"/>
    <x v="6"/>
    <x v="5"/>
  </r>
  <r>
    <n v="762"/>
    <x v="9"/>
    <x v="1"/>
    <x v="2"/>
    <n v="28"/>
    <n v="63736.566111818698"/>
    <x v="5"/>
    <x v="5"/>
  </r>
  <r>
    <n v="763"/>
    <x v="9"/>
    <x v="3"/>
    <x v="0"/>
    <n v="12"/>
    <n v="63738.712588052003"/>
    <x v="7"/>
    <x v="3"/>
  </r>
  <r>
    <n v="764"/>
    <x v="8"/>
    <x v="1"/>
    <x v="0"/>
    <n v="23"/>
    <n v="63740.8590642852"/>
    <x v="5"/>
    <x v="1"/>
  </r>
  <r>
    <n v="765"/>
    <x v="2"/>
    <x v="1"/>
    <x v="0"/>
    <n v="14"/>
    <n v="63743.005540518403"/>
    <x v="1"/>
    <x v="0"/>
  </r>
  <r>
    <n v="766"/>
    <x v="2"/>
    <x v="3"/>
    <x v="1"/>
    <n v="12"/>
    <n v="63745.152016751599"/>
    <x v="7"/>
    <x v="4"/>
  </r>
  <r>
    <n v="767"/>
    <x v="2"/>
    <x v="0"/>
    <x v="3"/>
    <n v="18"/>
    <n v="63747.298492984803"/>
    <x v="5"/>
    <x v="5"/>
  </r>
  <r>
    <n v="768"/>
    <x v="3"/>
    <x v="2"/>
    <x v="0"/>
    <n v="18"/>
    <n v="63749.444969217999"/>
    <x v="6"/>
    <x v="2"/>
  </r>
  <r>
    <n v="769"/>
    <x v="0"/>
    <x v="1"/>
    <x v="1"/>
    <n v="29"/>
    <n v="63751.591445451202"/>
    <x v="4"/>
    <x v="4"/>
  </r>
  <r>
    <n v="770"/>
    <x v="3"/>
    <x v="0"/>
    <x v="1"/>
    <n v="10"/>
    <n v="63753.737921684398"/>
    <x v="2"/>
    <x v="0"/>
  </r>
  <r>
    <n v="771"/>
    <x v="9"/>
    <x v="5"/>
    <x v="2"/>
    <n v="3"/>
    <n v="63755.884397917602"/>
    <x v="1"/>
    <x v="1"/>
  </r>
  <r>
    <n v="772"/>
    <x v="0"/>
    <x v="4"/>
    <x v="2"/>
    <n v="40"/>
    <n v="63758.030874150798"/>
    <x v="4"/>
    <x v="4"/>
  </r>
  <r>
    <n v="773"/>
    <x v="5"/>
    <x v="6"/>
    <x v="0"/>
    <n v="40"/>
    <n v="63760.177350384103"/>
    <x v="3"/>
    <x v="4"/>
  </r>
  <r>
    <n v="774"/>
    <x v="4"/>
    <x v="4"/>
    <x v="3"/>
    <n v="40"/>
    <n v="63762.323826617299"/>
    <x v="1"/>
    <x v="2"/>
  </r>
  <r>
    <n v="775"/>
    <x v="3"/>
    <x v="4"/>
    <x v="3"/>
    <n v="16"/>
    <n v="63764.470302850503"/>
    <x v="6"/>
    <x v="0"/>
  </r>
  <r>
    <n v="776"/>
    <x v="3"/>
    <x v="1"/>
    <x v="3"/>
    <n v="42"/>
    <n v="63766.616779083699"/>
    <x v="1"/>
    <x v="1"/>
  </r>
  <r>
    <n v="777"/>
    <x v="8"/>
    <x v="0"/>
    <x v="1"/>
    <n v="19"/>
    <n v="63768.763255316902"/>
    <x v="6"/>
    <x v="4"/>
  </r>
  <r>
    <n v="778"/>
    <x v="2"/>
    <x v="2"/>
    <x v="1"/>
    <n v="32"/>
    <n v="63770.909731550099"/>
    <x v="4"/>
    <x v="0"/>
  </r>
  <r>
    <n v="779"/>
    <x v="6"/>
    <x v="0"/>
    <x v="1"/>
    <n v="27"/>
    <n v="63773.056207783302"/>
    <x v="1"/>
    <x v="4"/>
  </r>
  <r>
    <n v="780"/>
    <x v="5"/>
    <x v="3"/>
    <x v="1"/>
    <n v="36"/>
    <n v="63775.202684016498"/>
    <x v="5"/>
    <x v="5"/>
  </r>
  <r>
    <n v="781"/>
    <x v="6"/>
    <x v="6"/>
    <x v="3"/>
    <n v="31"/>
    <n v="63777.349160249702"/>
    <x v="2"/>
    <x v="5"/>
  </r>
  <r>
    <n v="782"/>
    <x v="2"/>
    <x v="0"/>
    <x v="3"/>
    <n v="4"/>
    <n v="63779.495636482898"/>
    <x v="0"/>
    <x v="1"/>
  </r>
  <r>
    <n v="783"/>
    <x v="0"/>
    <x v="3"/>
    <x v="2"/>
    <n v="6"/>
    <n v="63781.642112716203"/>
    <x v="4"/>
    <x v="5"/>
  </r>
  <r>
    <n v="784"/>
    <x v="3"/>
    <x v="6"/>
    <x v="3"/>
    <n v="18"/>
    <n v="63783.788588949399"/>
    <x v="6"/>
    <x v="1"/>
  </r>
  <r>
    <n v="785"/>
    <x v="2"/>
    <x v="0"/>
    <x v="1"/>
    <n v="25"/>
    <n v="63785.935065182603"/>
    <x v="4"/>
    <x v="4"/>
  </r>
  <r>
    <n v="786"/>
    <x v="3"/>
    <x v="4"/>
    <x v="1"/>
    <n v="9"/>
    <n v="63788.081541415799"/>
    <x v="6"/>
    <x v="3"/>
  </r>
  <r>
    <n v="787"/>
    <x v="9"/>
    <x v="4"/>
    <x v="0"/>
    <n v="27"/>
    <n v="63790.228017649002"/>
    <x v="4"/>
    <x v="5"/>
  </r>
  <r>
    <n v="788"/>
    <x v="4"/>
    <x v="6"/>
    <x v="3"/>
    <n v="13"/>
    <n v="63792.374493882198"/>
    <x v="5"/>
    <x v="0"/>
  </r>
  <r>
    <n v="789"/>
    <x v="2"/>
    <x v="6"/>
    <x v="3"/>
    <n v="42"/>
    <n v="63794.520970115402"/>
    <x v="4"/>
    <x v="0"/>
  </r>
  <r>
    <n v="790"/>
    <x v="1"/>
    <x v="0"/>
    <x v="2"/>
    <n v="34"/>
    <n v="63796.667446348598"/>
    <x v="1"/>
    <x v="1"/>
  </r>
  <r>
    <n v="791"/>
    <x v="5"/>
    <x v="2"/>
    <x v="2"/>
    <n v="16"/>
    <n v="63798.813922581801"/>
    <x v="4"/>
    <x v="3"/>
  </r>
  <r>
    <n v="792"/>
    <x v="4"/>
    <x v="0"/>
    <x v="1"/>
    <n v="41"/>
    <n v="63800.960398814997"/>
    <x v="4"/>
    <x v="4"/>
  </r>
  <r>
    <n v="793"/>
    <x v="2"/>
    <x v="6"/>
    <x v="0"/>
    <n v="35"/>
    <n v="63803.106875048303"/>
    <x v="2"/>
    <x v="2"/>
  </r>
  <r>
    <n v="794"/>
    <x v="1"/>
    <x v="1"/>
    <x v="3"/>
    <n v="2"/>
    <n v="63805.253351281499"/>
    <x v="3"/>
    <x v="0"/>
  </r>
  <r>
    <n v="795"/>
    <x v="1"/>
    <x v="2"/>
    <x v="3"/>
    <n v="25"/>
    <n v="63807.399827514702"/>
    <x v="3"/>
    <x v="3"/>
  </r>
  <r>
    <n v="796"/>
    <x v="5"/>
    <x v="2"/>
    <x v="0"/>
    <n v="46"/>
    <n v="63809.546303747898"/>
    <x v="4"/>
    <x v="0"/>
  </r>
  <r>
    <n v="797"/>
    <x v="2"/>
    <x v="6"/>
    <x v="3"/>
    <n v="23"/>
    <n v="63811.692779981102"/>
    <x v="2"/>
    <x v="1"/>
  </r>
  <r>
    <n v="798"/>
    <x v="4"/>
    <x v="3"/>
    <x v="2"/>
    <n v="31"/>
    <n v="63813.839256214298"/>
    <x v="4"/>
    <x v="1"/>
  </r>
  <r>
    <n v="799"/>
    <x v="8"/>
    <x v="3"/>
    <x v="0"/>
    <n v="35"/>
    <n v="63815.985732447502"/>
    <x v="7"/>
    <x v="2"/>
  </r>
  <r>
    <n v="800"/>
    <x v="0"/>
    <x v="3"/>
    <x v="3"/>
    <n v="32"/>
    <n v="63818.132208680698"/>
    <x v="2"/>
    <x v="1"/>
  </r>
  <r>
    <n v="801"/>
    <x v="1"/>
    <x v="4"/>
    <x v="2"/>
    <n v="23"/>
    <n v="63820.278684913901"/>
    <x v="1"/>
    <x v="2"/>
  </r>
  <r>
    <n v="802"/>
    <x v="6"/>
    <x v="4"/>
    <x v="2"/>
    <n v="37"/>
    <n v="63822.425161147097"/>
    <x v="1"/>
    <x v="4"/>
  </r>
  <r>
    <n v="803"/>
    <x v="2"/>
    <x v="3"/>
    <x v="1"/>
    <n v="33"/>
    <n v="63824.571637380403"/>
    <x v="5"/>
    <x v="1"/>
  </r>
  <r>
    <n v="804"/>
    <x v="8"/>
    <x v="3"/>
    <x v="3"/>
    <n v="21"/>
    <n v="63826.718113613599"/>
    <x v="0"/>
    <x v="0"/>
  </r>
  <r>
    <n v="805"/>
    <x v="8"/>
    <x v="2"/>
    <x v="0"/>
    <n v="25"/>
    <n v="63828.864589846802"/>
    <x v="5"/>
    <x v="1"/>
  </r>
  <r>
    <n v="806"/>
    <x v="8"/>
    <x v="1"/>
    <x v="2"/>
    <n v="18"/>
    <n v="63831.011066079998"/>
    <x v="4"/>
    <x v="5"/>
  </r>
  <r>
    <n v="807"/>
    <x v="9"/>
    <x v="6"/>
    <x v="2"/>
    <n v="12"/>
    <n v="63833.157542313202"/>
    <x v="6"/>
    <x v="4"/>
  </r>
  <r>
    <n v="808"/>
    <x v="4"/>
    <x v="4"/>
    <x v="1"/>
    <n v="2"/>
    <n v="63835.304018546398"/>
    <x v="3"/>
    <x v="4"/>
  </r>
  <r>
    <n v="809"/>
    <x v="1"/>
    <x v="2"/>
    <x v="0"/>
    <n v="21"/>
    <n v="63837.450494779601"/>
    <x v="4"/>
    <x v="3"/>
  </r>
  <r>
    <n v="810"/>
    <x v="2"/>
    <x v="3"/>
    <x v="1"/>
    <n v="39"/>
    <n v="63839.596971012797"/>
    <x v="4"/>
    <x v="0"/>
  </r>
  <r>
    <n v="811"/>
    <x v="8"/>
    <x v="1"/>
    <x v="2"/>
    <n v="15"/>
    <n v="63841.743447246001"/>
    <x v="7"/>
    <x v="4"/>
  </r>
  <r>
    <n v="812"/>
    <x v="0"/>
    <x v="5"/>
    <x v="3"/>
    <n v="2"/>
    <n v="63843.889923479197"/>
    <x v="5"/>
    <x v="3"/>
  </r>
  <r>
    <n v="813"/>
    <x v="0"/>
    <x v="0"/>
    <x v="0"/>
    <n v="50"/>
    <n v="63846.036399712502"/>
    <x v="6"/>
    <x v="5"/>
  </r>
  <r>
    <n v="814"/>
    <x v="7"/>
    <x v="3"/>
    <x v="3"/>
    <n v="18"/>
    <n v="63848.182875945698"/>
    <x v="6"/>
    <x v="4"/>
  </r>
  <r>
    <n v="815"/>
    <x v="8"/>
    <x v="4"/>
    <x v="3"/>
    <n v="4"/>
    <n v="63850.329352178902"/>
    <x v="6"/>
    <x v="3"/>
  </r>
  <r>
    <n v="816"/>
    <x v="0"/>
    <x v="3"/>
    <x v="1"/>
    <n v="31"/>
    <n v="63852.475828412098"/>
    <x v="7"/>
    <x v="5"/>
  </r>
  <r>
    <n v="817"/>
    <x v="6"/>
    <x v="5"/>
    <x v="2"/>
    <n v="34"/>
    <n v="63854.622304645301"/>
    <x v="2"/>
    <x v="1"/>
  </r>
  <r>
    <n v="818"/>
    <x v="1"/>
    <x v="6"/>
    <x v="3"/>
    <n v="23"/>
    <n v="63856.768780878498"/>
    <x v="3"/>
    <x v="1"/>
  </r>
  <r>
    <n v="819"/>
    <x v="4"/>
    <x v="4"/>
    <x v="0"/>
    <n v="50"/>
    <n v="63858.915257111701"/>
    <x v="0"/>
    <x v="4"/>
  </r>
  <r>
    <n v="820"/>
    <x v="4"/>
    <x v="6"/>
    <x v="1"/>
    <n v="38"/>
    <n v="63861.061733344897"/>
    <x v="4"/>
    <x v="5"/>
  </r>
  <r>
    <n v="821"/>
    <x v="6"/>
    <x v="2"/>
    <x v="0"/>
    <n v="15"/>
    <n v="63863.208209578101"/>
    <x v="0"/>
    <x v="0"/>
  </r>
  <r>
    <n v="822"/>
    <x v="2"/>
    <x v="2"/>
    <x v="3"/>
    <n v="11"/>
    <n v="63865.354685811297"/>
    <x v="2"/>
    <x v="4"/>
  </r>
  <r>
    <n v="823"/>
    <x v="0"/>
    <x v="0"/>
    <x v="0"/>
    <n v="7"/>
    <n v="63867.501162044602"/>
    <x v="4"/>
    <x v="1"/>
  </r>
  <r>
    <n v="824"/>
    <x v="3"/>
    <x v="1"/>
    <x v="1"/>
    <n v="16"/>
    <n v="63869.647638277798"/>
    <x v="1"/>
    <x v="0"/>
  </r>
  <r>
    <n v="825"/>
    <x v="0"/>
    <x v="6"/>
    <x v="1"/>
    <n v="43"/>
    <n v="63871.794114511002"/>
    <x v="0"/>
    <x v="3"/>
  </r>
  <r>
    <n v="826"/>
    <x v="5"/>
    <x v="3"/>
    <x v="2"/>
    <n v="16"/>
    <n v="63873.940590744198"/>
    <x v="0"/>
    <x v="1"/>
  </r>
  <r>
    <n v="827"/>
    <x v="7"/>
    <x v="1"/>
    <x v="0"/>
    <n v="18"/>
    <n v="63876.087066977401"/>
    <x v="4"/>
    <x v="5"/>
  </r>
  <r>
    <n v="828"/>
    <x v="6"/>
    <x v="5"/>
    <x v="1"/>
    <n v="35"/>
    <n v="63878.233543210597"/>
    <x v="4"/>
    <x v="4"/>
  </r>
  <r>
    <n v="829"/>
    <x v="6"/>
    <x v="6"/>
    <x v="1"/>
    <n v="48"/>
    <n v="63880.380019443801"/>
    <x v="6"/>
    <x v="4"/>
  </r>
  <r>
    <n v="830"/>
    <x v="6"/>
    <x v="5"/>
    <x v="2"/>
    <n v="4"/>
    <n v="63882.526495676997"/>
    <x v="6"/>
    <x v="5"/>
  </r>
  <r>
    <n v="831"/>
    <x v="3"/>
    <x v="1"/>
    <x v="1"/>
    <n v="49"/>
    <n v="63884.6729719102"/>
    <x v="7"/>
    <x v="1"/>
  </r>
  <r>
    <n v="832"/>
    <x v="5"/>
    <x v="4"/>
    <x v="3"/>
    <n v="15"/>
    <n v="63886.819448143397"/>
    <x v="1"/>
    <x v="5"/>
  </r>
  <r>
    <n v="833"/>
    <x v="7"/>
    <x v="4"/>
    <x v="0"/>
    <n v="37"/>
    <n v="63888.965924376702"/>
    <x v="7"/>
    <x v="4"/>
  </r>
  <r>
    <n v="834"/>
    <x v="8"/>
    <x v="3"/>
    <x v="2"/>
    <n v="25"/>
    <n v="63891.112400609898"/>
    <x v="5"/>
    <x v="1"/>
  </r>
  <r>
    <n v="835"/>
    <x v="8"/>
    <x v="3"/>
    <x v="3"/>
    <n v="23"/>
    <n v="63893.258876843101"/>
    <x v="1"/>
    <x v="2"/>
  </r>
  <r>
    <n v="836"/>
    <x v="2"/>
    <x v="3"/>
    <x v="3"/>
    <n v="12"/>
    <n v="63895.405353076298"/>
    <x v="6"/>
    <x v="1"/>
  </r>
  <r>
    <n v="837"/>
    <x v="6"/>
    <x v="5"/>
    <x v="0"/>
    <n v="12"/>
    <n v="63897.551829309501"/>
    <x v="6"/>
    <x v="0"/>
  </r>
  <r>
    <n v="838"/>
    <x v="7"/>
    <x v="0"/>
    <x v="2"/>
    <n v="16"/>
    <n v="63899.698305542697"/>
    <x v="6"/>
    <x v="3"/>
  </r>
  <r>
    <n v="839"/>
    <x v="2"/>
    <x v="0"/>
    <x v="1"/>
    <n v="38"/>
    <n v="63901.844781775901"/>
    <x v="3"/>
    <x v="5"/>
  </r>
  <r>
    <n v="840"/>
    <x v="6"/>
    <x v="0"/>
    <x v="2"/>
    <n v="21"/>
    <n v="63903.991258009097"/>
    <x v="4"/>
    <x v="3"/>
  </r>
  <r>
    <n v="841"/>
    <x v="6"/>
    <x v="4"/>
    <x v="1"/>
    <n v="48"/>
    <n v="63906.1377342423"/>
    <x v="0"/>
    <x v="1"/>
  </r>
  <r>
    <n v="842"/>
    <x v="1"/>
    <x v="4"/>
    <x v="0"/>
    <n v="45"/>
    <n v="63908.284210475496"/>
    <x v="0"/>
    <x v="1"/>
  </r>
  <r>
    <n v="843"/>
    <x v="6"/>
    <x v="2"/>
    <x v="0"/>
    <n v="23"/>
    <n v="63910.430686708802"/>
    <x v="2"/>
    <x v="1"/>
  </r>
  <r>
    <n v="844"/>
    <x v="0"/>
    <x v="0"/>
    <x v="3"/>
    <n v="38"/>
    <n v="63912.577162941998"/>
    <x v="0"/>
    <x v="0"/>
  </r>
  <r>
    <n v="845"/>
    <x v="3"/>
    <x v="1"/>
    <x v="3"/>
    <n v="2"/>
    <n v="63914.723639175201"/>
    <x v="6"/>
    <x v="3"/>
  </r>
  <r>
    <n v="846"/>
    <x v="3"/>
    <x v="3"/>
    <x v="3"/>
    <n v="46"/>
    <n v="63916.870115408397"/>
    <x v="1"/>
    <x v="3"/>
  </r>
  <r>
    <n v="847"/>
    <x v="2"/>
    <x v="6"/>
    <x v="0"/>
    <n v="45"/>
    <n v="63919.016591641601"/>
    <x v="1"/>
    <x v="5"/>
  </r>
  <r>
    <n v="848"/>
    <x v="0"/>
    <x v="2"/>
    <x v="1"/>
    <n v="23"/>
    <n v="63921.163067874797"/>
    <x v="7"/>
    <x v="1"/>
  </r>
  <r>
    <n v="849"/>
    <x v="4"/>
    <x v="1"/>
    <x v="0"/>
    <n v="37"/>
    <n v="63923.309544108"/>
    <x v="1"/>
    <x v="5"/>
  </r>
  <r>
    <n v="850"/>
    <x v="3"/>
    <x v="1"/>
    <x v="0"/>
    <n v="37"/>
    <n v="63925.456020341197"/>
    <x v="2"/>
    <x v="0"/>
  </r>
  <r>
    <n v="851"/>
    <x v="4"/>
    <x v="0"/>
    <x v="3"/>
    <n v="10"/>
    <n v="63927.6024965744"/>
    <x v="1"/>
    <x v="2"/>
  </r>
  <r>
    <n v="852"/>
    <x v="5"/>
    <x v="6"/>
    <x v="2"/>
    <n v="37"/>
    <n v="63929.748972807603"/>
    <x v="7"/>
    <x v="4"/>
  </r>
  <r>
    <n v="853"/>
    <x v="0"/>
    <x v="0"/>
    <x v="3"/>
    <n v="13"/>
    <n v="63931.895449040901"/>
    <x v="3"/>
    <x v="4"/>
  </r>
  <r>
    <n v="854"/>
    <x v="4"/>
    <x v="6"/>
    <x v="2"/>
    <n v="32"/>
    <n v="63934.041925274098"/>
    <x v="0"/>
    <x v="0"/>
  </r>
  <r>
    <n v="855"/>
    <x v="1"/>
    <x v="3"/>
    <x v="1"/>
    <n v="35"/>
    <n v="63936.188401507301"/>
    <x v="0"/>
    <x v="2"/>
  </r>
  <r>
    <n v="856"/>
    <x v="7"/>
    <x v="1"/>
    <x v="1"/>
    <n v="20"/>
    <n v="63938.334877740497"/>
    <x v="7"/>
    <x v="1"/>
  </r>
  <r>
    <n v="857"/>
    <x v="8"/>
    <x v="4"/>
    <x v="1"/>
    <n v="12"/>
    <n v="63940.481353973701"/>
    <x v="6"/>
    <x v="4"/>
  </r>
  <r>
    <n v="858"/>
    <x v="6"/>
    <x v="0"/>
    <x v="3"/>
    <n v="32"/>
    <n v="63942.627830206897"/>
    <x v="1"/>
    <x v="3"/>
  </r>
  <r>
    <n v="859"/>
    <x v="8"/>
    <x v="0"/>
    <x v="3"/>
    <n v="3"/>
    <n v="63944.7743064401"/>
    <x v="7"/>
    <x v="3"/>
  </r>
  <r>
    <n v="860"/>
    <x v="2"/>
    <x v="1"/>
    <x v="3"/>
    <n v="6"/>
    <n v="63946.920782673304"/>
    <x v="1"/>
    <x v="5"/>
  </r>
  <r>
    <n v="861"/>
    <x v="1"/>
    <x v="2"/>
    <x v="0"/>
    <n v="4"/>
    <n v="63949.0672589065"/>
    <x v="7"/>
    <x v="2"/>
  </r>
  <r>
    <n v="862"/>
    <x v="3"/>
    <x v="1"/>
    <x v="3"/>
    <n v="15"/>
    <n v="63951.213735139703"/>
    <x v="6"/>
    <x v="5"/>
  </r>
  <r>
    <n v="863"/>
    <x v="2"/>
    <x v="3"/>
    <x v="0"/>
    <n v="39"/>
    <n v="63953.360211373001"/>
    <x v="5"/>
    <x v="1"/>
  </r>
  <r>
    <n v="864"/>
    <x v="2"/>
    <x v="2"/>
    <x v="1"/>
    <n v="15"/>
    <n v="63955.506687606197"/>
    <x v="0"/>
    <x v="3"/>
  </r>
  <r>
    <n v="865"/>
    <x v="8"/>
    <x v="5"/>
    <x v="3"/>
    <n v="2"/>
    <n v="63957.653163839401"/>
    <x v="1"/>
    <x v="5"/>
  </r>
  <r>
    <n v="866"/>
    <x v="0"/>
    <x v="0"/>
    <x v="0"/>
    <n v="34"/>
    <n v="63959.799640072597"/>
    <x v="5"/>
    <x v="2"/>
  </r>
  <r>
    <n v="867"/>
    <x v="3"/>
    <x v="6"/>
    <x v="1"/>
    <n v="31"/>
    <n v="63961.9461163058"/>
    <x v="5"/>
    <x v="1"/>
  </r>
  <r>
    <n v="868"/>
    <x v="2"/>
    <x v="3"/>
    <x v="1"/>
    <n v="1"/>
    <n v="63964.092592538997"/>
    <x v="0"/>
    <x v="1"/>
  </r>
  <r>
    <n v="869"/>
    <x v="6"/>
    <x v="1"/>
    <x v="3"/>
    <n v="22"/>
    <n v="63966.2390687722"/>
    <x v="4"/>
    <x v="2"/>
  </r>
  <r>
    <n v="870"/>
    <x v="3"/>
    <x v="5"/>
    <x v="2"/>
    <n v="40"/>
    <n v="63968.385545005403"/>
    <x v="1"/>
    <x v="5"/>
  </r>
  <r>
    <n v="871"/>
    <x v="7"/>
    <x v="0"/>
    <x v="2"/>
    <n v="13"/>
    <n v="63970.5320212386"/>
    <x v="5"/>
    <x v="0"/>
  </r>
  <r>
    <n v="872"/>
    <x v="0"/>
    <x v="0"/>
    <x v="1"/>
    <n v="9"/>
    <n v="63972.678497471803"/>
    <x v="7"/>
    <x v="5"/>
  </r>
  <r>
    <n v="873"/>
    <x v="5"/>
    <x v="1"/>
    <x v="2"/>
    <n v="22"/>
    <n v="63974.824973705101"/>
    <x v="4"/>
    <x v="4"/>
  </r>
  <r>
    <n v="874"/>
    <x v="3"/>
    <x v="1"/>
    <x v="2"/>
    <n v="46"/>
    <n v="63976.971449938297"/>
    <x v="0"/>
    <x v="2"/>
  </r>
  <r>
    <n v="875"/>
    <x v="4"/>
    <x v="1"/>
    <x v="0"/>
    <n v="12"/>
    <n v="63979.117926171501"/>
    <x v="0"/>
    <x v="3"/>
  </r>
  <r>
    <n v="876"/>
    <x v="2"/>
    <x v="4"/>
    <x v="0"/>
    <n v="21"/>
    <n v="63981.264402404697"/>
    <x v="3"/>
    <x v="5"/>
  </r>
  <r>
    <n v="877"/>
    <x v="4"/>
    <x v="5"/>
    <x v="0"/>
    <n v="4"/>
    <n v="63983.4108786379"/>
    <x v="3"/>
    <x v="0"/>
  </r>
  <r>
    <n v="878"/>
    <x v="0"/>
    <x v="3"/>
    <x v="1"/>
    <n v="2"/>
    <n v="63985.557354871104"/>
    <x v="4"/>
    <x v="5"/>
  </r>
  <r>
    <n v="879"/>
    <x v="1"/>
    <x v="1"/>
    <x v="2"/>
    <n v="10"/>
    <n v="63987.7038311043"/>
    <x v="4"/>
    <x v="3"/>
  </r>
  <r>
    <n v="880"/>
    <x v="4"/>
    <x v="6"/>
    <x v="3"/>
    <n v="38"/>
    <n v="63989.850307337503"/>
    <x v="1"/>
    <x v="1"/>
  </r>
  <r>
    <n v="881"/>
    <x v="2"/>
    <x v="0"/>
    <x v="2"/>
    <n v="46"/>
    <n v="63991.996783570699"/>
    <x v="1"/>
    <x v="5"/>
  </r>
  <r>
    <n v="882"/>
    <x v="6"/>
    <x v="3"/>
    <x v="1"/>
    <n v="10"/>
    <n v="63994.143259803903"/>
    <x v="2"/>
    <x v="1"/>
  </r>
  <r>
    <n v="883"/>
    <x v="6"/>
    <x v="4"/>
    <x v="0"/>
    <n v="50"/>
    <n v="63996.289736037099"/>
    <x v="0"/>
    <x v="4"/>
  </r>
  <r>
    <n v="884"/>
    <x v="2"/>
    <x v="1"/>
    <x v="1"/>
    <n v="8"/>
    <n v="63998.436212270302"/>
    <x v="7"/>
    <x v="3"/>
  </r>
  <r>
    <n v="885"/>
    <x v="8"/>
    <x v="2"/>
    <x v="0"/>
    <n v="34"/>
    <n v="64000.5826885036"/>
    <x v="4"/>
    <x v="0"/>
  </r>
  <r>
    <n v="886"/>
    <x v="0"/>
    <x v="0"/>
    <x v="1"/>
    <n v="24"/>
    <n v="64002.729164736797"/>
    <x v="0"/>
    <x v="5"/>
  </r>
  <r>
    <n v="887"/>
    <x v="8"/>
    <x v="2"/>
    <x v="3"/>
    <n v="5"/>
    <n v="64004.87564097"/>
    <x v="6"/>
    <x v="1"/>
  </r>
  <r>
    <n v="888"/>
    <x v="2"/>
    <x v="5"/>
    <x v="0"/>
    <n v="24"/>
    <n v="64007.022117203203"/>
    <x v="0"/>
    <x v="0"/>
  </r>
  <r>
    <n v="889"/>
    <x v="7"/>
    <x v="1"/>
    <x v="0"/>
    <n v="46"/>
    <n v="64009.1685934364"/>
    <x v="3"/>
    <x v="1"/>
  </r>
  <r>
    <n v="890"/>
    <x v="2"/>
    <x v="1"/>
    <x v="2"/>
    <n v="43"/>
    <n v="64011.315069669603"/>
    <x v="5"/>
    <x v="1"/>
  </r>
  <r>
    <n v="891"/>
    <x v="5"/>
    <x v="2"/>
    <x v="1"/>
    <n v="26"/>
    <n v="64013.461545902799"/>
    <x v="2"/>
    <x v="1"/>
  </r>
  <r>
    <n v="892"/>
    <x v="5"/>
    <x v="1"/>
    <x v="2"/>
    <n v="38"/>
    <n v="64015.608022136003"/>
    <x v="4"/>
    <x v="5"/>
  </r>
  <r>
    <n v="893"/>
    <x v="8"/>
    <x v="1"/>
    <x v="1"/>
    <n v="7"/>
    <n v="64017.754498369199"/>
    <x v="3"/>
    <x v="1"/>
  </r>
  <r>
    <n v="894"/>
    <x v="8"/>
    <x v="3"/>
    <x v="3"/>
    <n v="22"/>
    <n v="64019.900974602497"/>
    <x v="3"/>
    <x v="4"/>
  </r>
  <r>
    <n v="895"/>
    <x v="0"/>
    <x v="6"/>
    <x v="2"/>
    <n v="20"/>
    <n v="64022.0474508357"/>
    <x v="3"/>
    <x v="4"/>
  </r>
  <r>
    <n v="896"/>
    <x v="6"/>
    <x v="1"/>
    <x v="0"/>
    <n v="21"/>
    <n v="64024.193927068904"/>
    <x v="0"/>
    <x v="3"/>
  </r>
  <r>
    <n v="897"/>
    <x v="1"/>
    <x v="1"/>
    <x v="3"/>
    <n v="9"/>
    <n v="64026.3404033021"/>
    <x v="2"/>
    <x v="2"/>
  </r>
  <r>
    <n v="898"/>
    <x v="7"/>
    <x v="4"/>
    <x v="1"/>
    <n v="11"/>
    <n v="64028.486879535303"/>
    <x v="3"/>
    <x v="0"/>
  </r>
  <r>
    <n v="899"/>
    <x v="9"/>
    <x v="3"/>
    <x v="0"/>
    <n v="47"/>
    <n v="64030.633355768499"/>
    <x v="1"/>
    <x v="4"/>
  </r>
  <r>
    <n v="900"/>
    <x v="6"/>
    <x v="0"/>
    <x v="1"/>
    <n v="28"/>
    <n v="64032.779832001703"/>
    <x v="4"/>
    <x v="0"/>
  </r>
  <r>
    <n v="901"/>
    <x v="2"/>
    <x v="6"/>
    <x v="0"/>
    <n v="41"/>
    <n v="64034.926308234899"/>
    <x v="1"/>
    <x v="4"/>
  </r>
  <r>
    <n v="902"/>
    <x v="1"/>
    <x v="0"/>
    <x v="1"/>
    <n v="32"/>
    <n v="64037.072784468102"/>
    <x v="1"/>
    <x v="5"/>
  </r>
  <r>
    <n v="903"/>
    <x v="0"/>
    <x v="0"/>
    <x v="0"/>
    <n v="42"/>
    <n v="64039.219260701298"/>
    <x v="7"/>
    <x v="5"/>
  </r>
  <r>
    <n v="904"/>
    <x v="3"/>
    <x v="5"/>
    <x v="1"/>
    <n v="21"/>
    <n v="64041.365736934596"/>
    <x v="4"/>
    <x v="5"/>
  </r>
  <r>
    <n v="905"/>
    <x v="6"/>
    <x v="5"/>
    <x v="2"/>
    <n v="12"/>
    <n v="64043.5122131678"/>
    <x v="2"/>
    <x v="4"/>
  </r>
  <r>
    <n v="906"/>
    <x v="6"/>
    <x v="0"/>
    <x v="0"/>
    <n v="46"/>
    <n v="64045.658689401003"/>
    <x v="4"/>
    <x v="2"/>
  </r>
  <r>
    <n v="907"/>
    <x v="1"/>
    <x v="2"/>
    <x v="0"/>
    <n v="36"/>
    <n v="64047.8051656342"/>
    <x v="4"/>
    <x v="3"/>
  </r>
  <r>
    <n v="908"/>
    <x v="2"/>
    <x v="4"/>
    <x v="2"/>
    <n v="45"/>
    <n v="64049.951641867403"/>
    <x v="4"/>
    <x v="0"/>
  </r>
  <r>
    <n v="909"/>
    <x v="6"/>
    <x v="5"/>
    <x v="1"/>
    <n v="40"/>
    <n v="64052.098118100599"/>
    <x v="4"/>
    <x v="0"/>
  </r>
  <r>
    <n v="910"/>
    <x v="1"/>
    <x v="5"/>
    <x v="0"/>
    <n v="23"/>
    <n v="64054.244594333803"/>
    <x v="7"/>
    <x v="5"/>
  </r>
  <r>
    <n v="911"/>
    <x v="4"/>
    <x v="5"/>
    <x v="2"/>
    <n v="15"/>
    <n v="64056.391070566999"/>
    <x v="1"/>
    <x v="5"/>
  </r>
  <r>
    <n v="912"/>
    <x v="8"/>
    <x v="5"/>
    <x v="1"/>
    <n v="43"/>
    <n v="64058.537546800202"/>
    <x v="5"/>
    <x v="3"/>
  </r>
  <r>
    <n v="913"/>
    <x v="5"/>
    <x v="6"/>
    <x v="0"/>
    <n v="38"/>
    <n v="64060.684023033398"/>
    <x v="5"/>
    <x v="4"/>
  </r>
  <r>
    <n v="914"/>
    <x v="8"/>
    <x v="0"/>
    <x v="0"/>
    <n v="12"/>
    <n v="64062.830499266704"/>
    <x v="0"/>
    <x v="1"/>
  </r>
  <r>
    <n v="915"/>
    <x v="2"/>
    <x v="2"/>
    <x v="1"/>
    <n v="25"/>
    <n v="64064.9769754999"/>
    <x v="5"/>
    <x v="3"/>
  </r>
  <r>
    <n v="916"/>
    <x v="4"/>
    <x v="2"/>
    <x v="2"/>
    <n v="20"/>
    <n v="64067.123451733103"/>
    <x v="4"/>
    <x v="5"/>
  </r>
  <r>
    <n v="917"/>
    <x v="6"/>
    <x v="6"/>
    <x v="0"/>
    <n v="47"/>
    <n v="64069.269927966299"/>
    <x v="3"/>
    <x v="4"/>
  </r>
  <r>
    <n v="918"/>
    <x v="7"/>
    <x v="3"/>
    <x v="1"/>
    <n v="45"/>
    <n v="64071.416404199503"/>
    <x v="4"/>
    <x v="0"/>
  </r>
  <r>
    <n v="919"/>
    <x v="8"/>
    <x v="2"/>
    <x v="0"/>
    <n v="19"/>
    <n v="64073.562880432699"/>
    <x v="6"/>
    <x v="3"/>
  </r>
  <r>
    <n v="920"/>
    <x v="0"/>
    <x v="3"/>
    <x v="1"/>
    <n v="9"/>
    <n v="64075.709356665902"/>
    <x v="7"/>
    <x v="1"/>
  </r>
  <r>
    <n v="921"/>
    <x v="8"/>
    <x v="2"/>
    <x v="0"/>
    <n v="12"/>
    <n v="64077.855832899098"/>
    <x v="5"/>
    <x v="4"/>
  </r>
  <r>
    <n v="922"/>
    <x v="9"/>
    <x v="1"/>
    <x v="3"/>
    <n v="47"/>
    <n v="64080.002309132302"/>
    <x v="7"/>
    <x v="2"/>
  </r>
  <r>
    <n v="923"/>
    <x v="7"/>
    <x v="3"/>
    <x v="2"/>
    <n v="1"/>
    <n v="64082.148785365498"/>
    <x v="0"/>
    <x v="2"/>
  </r>
  <r>
    <n v="924"/>
    <x v="9"/>
    <x v="6"/>
    <x v="2"/>
    <n v="45"/>
    <n v="64084.295261598803"/>
    <x v="0"/>
    <x v="0"/>
  </r>
  <r>
    <n v="925"/>
    <x v="9"/>
    <x v="1"/>
    <x v="3"/>
    <n v="37"/>
    <n v="64086.441737831999"/>
    <x v="0"/>
    <x v="1"/>
  </r>
  <r>
    <n v="926"/>
    <x v="0"/>
    <x v="0"/>
    <x v="1"/>
    <n v="26"/>
    <n v="64088.588214065203"/>
    <x v="7"/>
    <x v="3"/>
  </r>
  <r>
    <n v="927"/>
    <x v="4"/>
    <x v="2"/>
    <x v="2"/>
    <n v="50"/>
    <n v="64090.734690298399"/>
    <x v="0"/>
    <x v="5"/>
  </r>
  <r>
    <n v="928"/>
    <x v="9"/>
    <x v="3"/>
    <x v="1"/>
    <n v="37"/>
    <n v="64092.881166531603"/>
    <x v="6"/>
    <x v="5"/>
  </r>
  <r>
    <n v="929"/>
    <x v="7"/>
    <x v="5"/>
    <x v="0"/>
    <n v="3"/>
    <n v="64095.027642764799"/>
    <x v="6"/>
    <x v="1"/>
  </r>
  <r>
    <n v="930"/>
    <x v="8"/>
    <x v="3"/>
    <x v="3"/>
    <n v="12"/>
    <n v="64097.174118998002"/>
    <x v="0"/>
    <x v="3"/>
  </r>
  <r>
    <n v="931"/>
    <x v="2"/>
    <x v="4"/>
    <x v="1"/>
    <n v="39"/>
    <n v="64099.320595231198"/>
    <x v="0"/>
    <x v="1"/>
  </r>
  <r>
    <n v="932"/>
    <x v="7"/>
    <x v="5"/>
    <x v="1"/>
    <n v="21"/>
    <n v="64101.467071464402"/>
    <x v="1"/>
    <x v="3"/>
  </r>
  <r>
    <n v="933"/>
    <x v="5"/>
    <x v="5"/>
    <x v="2"/>
    <n v="40"/>
    <n v="64103.613547697598"/>
    <x v="0"/>
    <x v="2"/>
  </r>
  <r>
    <n v="934"/>
    <x v="1"/>
    <x v="5"/>
    <x v="0"/>
    <n v="15"/>
    <n v="64105.760023930903"/>
    <x v="3"/>
    <x v="3"/>
  </r>
  <r>
    <n v="935"/>
    <x v="8"/>
    <x v="2"/>
    <x v="2"/>
    <n v="41"/>
    <n v="64107.906500164099"/>
    <x v="7"/>
    <x v="3"/>
  </r>
  <r>
    <n v="936"/>
    <x v="0"/>
    <x v="1"/>
    <x v="0"/>
    <n v="37"/>
    <n v="64110.052976397303"/>
    <x v="6"/>
    <x v="5"/>
  </r>
  <r>
    <n v="937"/>
    <x v="9"/>
    <x v="2"/>
    <x v="2"/>
    <n v="7"/>
    <n v="64112.199452630499"/>
    <x v="5"/>
    <x v="0"/>
  </r>
  <r>
    <n v="938"/>
    <x v="2"/>
    <x v="3"/>
    <x v="1"/>
    <n v="32"/>
    <n v="64114.345928863702"/>
    <x v="6"/>
    <x v="4"/>
  </r>
  <r>
    <n v="939"/>
    <x v="9"/>
    <x v="2"/>
    <x v="1"/>
    <n v="10"/>
    <n v="64116.492405096898"/>
    <x v="7"/>
    <x v="4"/>
  </r>
  <r>
    <n v="940"/>
    <x v="0"/>
    <x v="5"/>
    <x v="3"/>
    <n v="22"/>
    <n v="64118.638881330102"/>
    <x v="4"/>
    <x v="5"/>
  </r>
  <r>
    <n v="941"/>
    <x v="7"/>
    <x v="1"/>
    <x v="1"/>
    <n v="48"/>
    <n v="64120.785357563298"/>
    <x v="4"/>
    <x v="2"/>
  </r>
  <r>
    <n v="942"/>
    <x v="5"/>
    <x v="4"/>
    <x v="1"/>
    <n v="5"/>
    <n v="64122.931833796501"/>
    <x v="7"/>
    <x v="1"/>
  </r>
  <r>
    <n v="943"/>
    <x v="1"/>
    <x v="6"/>
    <x v="1"/>
    <n v="16"/>
    <n v="64125.078310029698"/>
    <x v="2"/>
    <x v="5"/>
  </r>
  <r>
    <n v="944"/>
    <x v="5"/>
    <x v="4"/>
    <x v="1"/>
    <n v="23"/>
    <n v="64127.224786263003"/>
    <x v="7"/>
    <x v="1"/>
  </r>
  <r>
    <n v="945"/>
    <x v="8"/>
    <x v="0"/>
    <x v="3"/>
    <n v="21"/>
    <n v="64129.371262496199"/>
    <x v="4"/>
    <x v="5"/>
  </r>
  <r>
    <n v="946"/>
    <x v="7"/>
    <x v="1"/>
    <x v="0"/>
    <n v="11"/>
    <n v="64131.517738729402"/>
    <x v="7"/>
    <x v="4"/>
  </r>
  <r>
    <n v="947"/>
    <x v="1"/>
    <x v="1"/>
    <x v="3"/>
    <n v="41"/>
    <n v="64133.664214962599"/>
    <x v="5"/>
    <x v="0"/>
  </r>
  <r>
    <n v="948"/>
    <x v="3"/>
    <x v="5"/>
    <x v="3"/>
    <n v="6"/>
    <n v="64135.810691195802"/>
    <x v="2"/>
    <x v="0"/>
  </r>
  <r>
    <n v="949"/>
    <x v="5"/>
    <x v="4"/>
    <x v="2"/>
    <n v="46"/>
    <n v="64137.957167428998"/>
    <x v="3"/>
    <x v="5"/>
  </r>
  <r>
    <n v="950"/>
    <x v="9"/>
    <x v="3"/>
    <x v="0"/>
    <n v="43"/>
    <n v="64140.103643662202"/>
    <x v="7"/>
    <x v="5"/>
  </r>
  <r>
    <n v="951"/>
    <x v="6"/>
    <x v="0"/>
    <x v="2"/>
    <n v="41"/>
    <n v="64142.250119895398"/>
    <x v="3"/>
    <x v="4"/>
  </r>
  <r>
    <n v="952"/>
    <x v="8"/>
    <x v="2"/>
    <x v="3"/>
    <n v="47"/>
    <n v="64144.396596128601"/>
    <x v="1"/>
    <x v="1"/>
  </r>
  <r>
    <n v="953"/>
    <x v="8"/>
    <x v="1"/>
    <x v="1"/>
    <n v="22"/>
    <n v="64146.543072361797"/>
    <x v="4"/>
    <x v="1"/>
  </r>
  <r>
    <n v="954"/>
    <x v="1"/>
    <x v="2"/>
    <x v="0"/>
    <n v="29"/>
    <n v="64148.689548595001"/>
    <x v="4"/>
    <x v="4"/>
  </r>
  <r>
    <n v="955"/>
    <x v="3"/>
    <x v="4"/>
    <x v="1"/>
    <n v="1"/>
    <n v="64150.836024828197"/>
    <x v="5"/>
    <x v="2"/>
  </r>
  <r>
    <n v="956"/>
    <x v="2"/>
    <x v="5"/>
    <x v="3"/>
    <n v="17"/>
    <n v="64152.982501061502"/>
    <x v="4"/>
    <x v="2"/>
  </r>
  <r>
    <n v="957"/>
    <x v="5"/>
    <x v="3"/>
    <x v="3"/>
    <n v="14"/>
    <n v="64155.128977294698"/>
    <x v="0"/>
    <x v="5"/>
  </r>
  <r>
    <n v="958"/>
    <x v="4"/>
    <x v="5"/>
    <x v="3"/>
    <n v="16"/>
    <n v="64157.275453527902"/>
    <x v="2"/>
    <x v="0"/>
  </r>
  <r>
    <n v="959"/>
    <x v="2"/>
    <x v="0"/>
    <x v="0"/>
    <n v="45"/>
    <n v="64159.421929761098"/>
    <x v="7"/>
    <x v="2"/>
  </r>
  <r>
    <n v="960"/>
    <x v="8"/>
    <x v="2"/>
    <x v="2"/>
    <n v="5"/>
    <n v="64161.568405994301"/>
    <x v="3"/>
    <x v="2"/>
  </r>
  <r>
    <n v="961"/>
    <x v="8"/>
    <x v="2"/>
    <x v="2"/>
    <n v="23"/>
    <n v="64163.714882227498"/>
    <x v="5"/>
    <x v="3"/>
  </r>
  <r>
    <n v="962"/>
    <x v="0"/>
    <x v="4"/>
    <x v="1"/>
    <n v="17"/>
    <n v="64165.861358460701"/>
    <x v="2"/>
    <x v="0"/>
  </r>
  <r>
    <n v="963"/>
    <x v="1"/>
    <x v="2"/>
    <x v="0"/>
    <n v="7"/>
    <n v="64168.007834693897"/>
    <x v="2"/>
    <x v="1"/>
  </r>
  <r>
    <n v="964"/>
    <x v="6"/>
    <x v="5"/>
    <x v="1"/>
    <n v="47"/>
    <n v="64170.154310927101"/>
    <x v="1"/>
    <x v="1"/>
  </r>
  <r>
    <n v="965"/>
    <x v="3"/>
    <x v="0"/>
    <x v="1"/>
    <n v="1"/>
    <n v="64172.300787160297"/>
    <x v="3"/>
    <x v="4"/>
  </r>
  <r>
    <n v="966"/>
    <x v="4"/>
    <x v="1"/>
    <x v="2"/>
    <n v="4"/>
    <n v="64174.447263393602"/>
    <x v="1"/>
    <x v="1"/>
  </r>
  <r>
    <n v="967"/>
    <x v="2"/>
    <x v="3"/>
    <x v="0"/>
    <n v="25"/>
    <n v="64176.593739626798"/>
    <x v="3"/>
    <x v="3"/>
  </r>
  <r>
    <n v="968"/>
    <x v="5"/>
    <x v="4"/>
    <x v="3"/>
    <n v="29"/>
    <n v="64178.740215860002"/>
    <x v="5"/>
    <x v="5"/>
  </r>
  <r>
    <n v="969"/>
    <x v="1"/>
    <x v="4"/>
    <x v="1"/>
    <n v="47"/>
    <n v="64180.886692093198"/>
    <x v="0"/>
    <x v="5"/>
  </r>
  <r>
    <n v="970"/>
    <x v="5"/>
    <x v="2"/>
    <x v="3"/>
    <n v="27"/>
    <n v="64183.033168326401"/>
    <x v="4"/>
    <x v="1"/>
  </r>
  <r>
    <n v="971"/>
    <x v="7"/>
    <x v="0"/>
    <x v="0"/>
    <n v="11"/>
    <n v="64185.179644559597"/>
    <x v="3"/>
    <x v="0"/>
  </r>
  <r>
    <n v="972"/>
    <x v="0"/>
    <x v="2"/>
    <x v="1"/>
    <n v="27"/>
    <n v="64187.326120792801"/>
    <x v="5"/>
    <x v="3"/>
  </r>
  <r>
    <n v="973"/>
    <x v="3"/>
    <x v="4"/>
    <x v="3"/>
    <n v="32"/>
    <n v="64189.472597025997"/>
    <x v="2"/>
    <x v="1"/>
  </r>
  <r>
    <n v="974"/>
    <x v="0"/>
    <x v="3"/>
    <x v="3"/>
    <n v="25"/>
    <n v="64191.6190732592"/>
    <x v="1"/>
    <x v="1"/>
  </r>
  <r>
    <n v="975"/>
    <x v="8"/>
    <x v="3"/>
    <x v="2"/>
    <n v="23"/>
    <n v="64193.765549492397"/>
    <x v="6"/>
    <x v="5"/>
  </r>
  <r>
    <n v="976"/>
    <x v="0"/>
    <x v="4"/>
    <x v="0"/>
    <n v="35"/>
    <n v="64195.912025725702"/>
    <x v="6"/>
    <x v="4"/>
  </r>
  <r>
    <n v="977"/>
    <x v="4"/>
    <x v="5"/>
    <x v="0"/>
    <n v="25"/>
    <n v="64198.058501958898"/>
    <x v="7"/>
    <x v="0"/>
  </r>
  <r>
    <n v="978"/>
    <x v="8"/>
    <x v="2"/>
    <x v="0"/>
    <n v="7"/>
    <n v="64200.204978192101"/>
    <x v="3"/>
    <x v="3"/>
  </r>
  <r>
    <n v="979"/>
    <x v="2"/>
    <x v="5"/>
    <x v="1"/>
    <n v="31"/>
    <n v="64202.351454425298"/>
    <x v="3"/>
    <x v="3"/>
  </r>
  <r>
    <n v="980"/>
    <x v="5"/>
    <x v="2"/>
    <x v="2"/>
    <n v="37"/>
    <n v="64204.497930658501"/>
    <x v="0"/>
    <x v="2"/>
  </r>
  <r>
    <n v="981"/>
    <x v="2"/>
    <x v="3"/>
    <x v="1"/>
    <n v="42"/>
    <n v="64206.644406891697"/>
    <x v="5"/>
    <x v="0"/>
  </r>
  <r>
    <n v="982"/>
    <x v="7"/>
    <x v="5"/>
    <x v="0"/>
    <n v="49"/>
    <n v="64208.790883124901"/>
    <x v="1"/>
    <x v="5"/>
  </r>
  <r>
    <n v="983"/>
    <x v="8"/>
    <x v="2"/>
    <x v="1"/>
    <n v="44"/>
    <n v="64210.937359358097"/>
    <x v="2"/>
    <x v="4"/>
  </r>
  <r>
    <n v="984"/>
    <x v="8"/>
    <x v="0"/>
    <x v="3"/>
    <n v="15"/>
    <n v="64213.0838355913"/>
    <x v="5"/>
    <x v="4"/>
  </r>
  <r>
    <n v="985"/>
    <x v="3"/>
    <x v="6"/>
    <x v="1"/>
    <n v="11"/>
    <n v="64215.230311824504"/>
    <x v="2"/>
    <x v="2"/>
  </r>
  <r>
    <n v="986"/>
    <x v="8"/>
    <x v="1"/>
    <x v="1"/>
    <n v="29"/>
    <n v="64217.376788057802"/>
    <x v="4"/>
    <x v="5"/>
  </r>
  <r>
    <n v="987"/>
    <x v="5"/>
    <x v="4"/>
    <x v="0"/>
    <n v="5"/>
    <n v="64219.523264290998"/>
    <x v="0"/>
    <x v="1"/>
  </r>
  <r>
    <n v="988"/>
    <x v="4"/>
    <x v="2"/>
    <x v="3"/>
    <n v="3"/>
    <n v="64221.669740524201"/>
    <x v="0"/>
    <x v="2"/>
  </r>
  <r>
    <n v="989"/>
    <x v="7"/>
    <x v="0"/>
    <x v="0"/>
    <n v="19"/>
    <n v="64223.816216757397"/>
    <x v="0"/>
    <x v="5"/>
  </r>
  <r>
    <n v="990"/>
    <x v="3"/>
    <x v="3"/>
    <x v="3"/>
    <n v="2"/>
    <n v="64225.962692990601"/>
    <x v="4"/>
    <x v="1"/>
  </r>
  <r>
    <n v="991"/>
    <x v="6"/>
    <x v="6"/>
    <x v="3"/>
    <n v="21"/>
    <n v="64228.109169223797"/>
    <x v="6"/>
    <x v="5"/>
  </r>
  <r>
    <n v="992"/>
    <x v="5"/>
    <x v="1"/>
    <x v="3"/>
    <n v="17"/>
    <n v="64230.255645457"/>
    <x v="5"/>
    <x v="4"/>
  </r>
  <r>
    <n v="993"/>
    <x v="4"/>
    <x v="2"/>
    <x v="0"/>
    <n v="7"/>
    <n v="64232.402121690197"/>
    <x v="6"/>
    <x v="0"/>
  </r>
  <r>
    <n v="994"/>
    <x v="0"/>
    <x v="3"/>
    <x v="3"/>
    <n v="5"/>
    <n v="64234.5485979234"/>
    <x v="7"/>
    <x v="5"/>
  </r>
  <r>
    <n v="995"/>
    <x v="2"/>
    <x v="2"/>
    <x v="2"/>
    <n v="22"/>
    <n v="64236.695074156603"/>
    <x v="3"/>
    <x v="0"/>
  </r>
  <r>
    <n v="996"/>
    <x v="7"/>
    <x v="6"/>
    <x v="2"/>
    <n v="11"/>
    <n v="64238.841550389901"/>
    <x v="7"/>
    <x v="5"/>
  </r>
  <r>
    <n v="997"/>
    <x v="9"/>
    <x v="0"/>
    <x v="2"/>
    <n v="25"/>
    <n v="64240.988026623098"/>
    <x v="0"/>
    <x v="1"/>
  </r>
  <r>
    <n v="998"/>
    <x v="5"/>
    <x v="6"/>
    <x v="2"/>
    <n v="11"/>
    <n v="64243.134502856301"/>
    <x v="3"/>
    <x v="0"/>
  </r>
  <r>
    <n v="999"/>
    <x v="2"/>
    <x v="2"/>
    <x v="0"/>
    <n v="47"/>
    <n v="64245.280979089497"/>
    <x v="6"/>
    <x v="3"/>
  </r>
  <r>
    <n v="1000"/>
    <x v="1"/>
    <x v="5"/>
    <x v="1"/>
    <n v="5"/>
    <n v="64247.42745532270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66264-120E-4BB7-AAFD-0BD3006638B6}"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r Brand">
  <location ref="A37:B48" firstHeaderRow="1" firstDataRow="1" firstDataCol="1"/>
  <pivotFields count="8">
    <pivotField showAll="0"/>
    <pivotField axis="axisRow" showAll="0">
      <items count="11">
        <item x="7"/>
        <item x="9"/>
        <item x="2"/>
        <item x="0"/>
        <item x="4"/>
        <item x="8"/>
        <item x="5"/>
        <item x="3"/>
        <item x="1"/>
        <item x="6"/>
        <item t="default"/>
      </items>
    </pivotField>
    <pivotField showAll="0">
      <items count="8">
        <item x="3"/>
        <item x="4"/>
        <item x="1"/>
        <item x="2"/>
        <item x="6"/>
        <item x="5"/>
        <item x="0"/>
        <item t="default"/>
      </items>
    </pivotField>
    <pivotField showAll="0">
      <items count="5">
        <item x="2"/>
        <item x="0"/>
        <item x="3"/>
        <item x="1"/>
        <item t="default"/>
      </items>
    </pivotField>
    <pivotField showAll="0"/>
    <pivotField dataField="1" showAll="0"/>
    <pivotField showAll="0">
      <items count="9">
        <item x="7"/>
        <item x="3"/>
        <item x="4"/>
        <item x="6"/>
        <item x="5"/>
        <item x="2"/>
        <item x="1"/>
        <item x="0"/>
        <item t="default"/>
      </items>
    </pivotField>
    <pivotField showAll="0">
      <items count="7">
        <item x="2"/>
        <item x="5"/>
        <item x="4"/>
        <item x="1"/>
        <item x="3"/>
        <item x="0"/>
        <item t="default"/>
      </items>
    </pivotField>
  </pivotFields>
  <rowFields count="1">
    <field x="1"/>
  </rowFields>
  <rowItems count="11">
    <i>
      <x/>
    </i>
    <i>
      <x v="1"/>
    </i>
    <i>
      <x v="2"/>
    </i>
    <i>
      <x v="3"/>
    </i>
    <i>
      <x v="4"/>
    </i>
    <i>
      <x v="5"/>
    </i>
    <i>
      <x v="6"/>
    </i>
    <i>
      <x v="7"/>
    </i>
    <i>
      <x v="8"/>
    </i>
    <i>
      <x v="9"/>
    </i>
    <i t="grand">
      <x/>
    </i>
  </rowItems>
  <colItems count="1">
    <i/>
  </colItems>
  <dataFields count="1">
    <dataField name="Average of Sale Price" fld="5"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26CDD-C655-4FD5-A7B0-3AAFBA7E545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r Model">
  <location ref="E23:F31" firstHeaderRow="1" firstDataRow="1" firstDataCol="1"/>
  <pivotFields count="8">
    <pivotField showAll="0"/>
    <pivotField showAll="0">
      <items count="11">
        <item x="7"/>
        <item x="9"/>
        <item x="2"/>
        <item x="0"/>
        <item x="4"/>
        <item x="8"/>
        <item x="5"/>
        <item x="3"/>
        <item x="1"/>
        <item x="6"/>
        <item t="default"/>
      </items>
    </pivotField>
    <pivotField axis="axisRow" showAll="0">
      <items count="8">
        <item x="3"/>
        <item x="4"/>
        <item x="1"/>
        <item x="2"/>
        <item x="6"/>
        <item x="5"/>
        <item x="0"/>
        <item t="default"/>
      </items>
    </pivotField>
    <pivotField showAll="0">
      <items count="5">
        <item x="2"/>
        <item x="0"/>
        <item x="3"/>
        <item x="1"/>
        <item t="default"/>
      </items>
    </pivotField>
    <pivotField dataField="1" showAll="0"/>
    <pivotField showAll="0"/>
    <pivotField showAll="0">
      <items count="9">
        <item x="7"/>
        <item x="3"/>
        <item x="4"/>
        <item x="6"/>
        <item x="5"/>
        <item x="2"/>
        <item x="1"/>
        <item x="0"/>
        <item t="default"/>
      </items>
    </pivotField>
    <pivotField showAll="0">
      <items count="7">
        <item x="2"/>
        <item x="5"/>
        <item x="4"/>
        <item x="1"/>
        <item x="3"/>
        <item x="0"/>
        <item t="default"/>
      </items>
    </pivotField>
  </pivotFields>
  <rowFields count="1">
    <field x="2"/>
  </rowFields>
  <rowItems count="8">
    <i>
      <x/>
    </i>
    <i>
      <x v="1"/>
    </i>
    <i>
      <x v="2"/>
    </i>
    <i>
      <x v="3"/>
    </i>
    <i>
      <x v="4"/>
    </i>
    <i>
      <x v="5"/>
    </i>
    <i>
      <x v="6"/>
    </i>
    <i t="grand">
      <x/>
    </i>
  </rowItems>
  <colItems count="1">
    <i/>
  </colItems>
  <dataFields count="1">
    <dataField name="Total Car sold" fld="4" baseField="2"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97E72B-D023-42F0-9891-1DEAD6D3AD29}"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r Color">
  <location ref="A27:B34" firstHeaderRow="1" firstDataRow="1" firstDataCol="1"/>
  <pivotFields count="8">
    <pivotField showAll="0"/>
    <pivotField showAll="0">
      <items count="11">
        <item x="7"/>
        <item x="9"/>
        <item x="2"/>
        <item x="0"/>
        <item x="4"/>
        <item x="8"/>
        <item x="5"/>
        <item x="3"/>
        <item x="1"/>
        <item x="6"/>
        <item t="default"/>
      </items>
    </pivotField>
    <pivotField showAll="0">
      <items count="8">
        <item x="3"/>
        <item x="4"/>
        <item x="1"/>
        <item x="2"/>
        <item x="6"/>
        <item x="5"/>
        <item x="0"/>
        <item t="default"/>
      </items>
    </pivotField>
    <pivotField showAll="0">
      <items count="5">
        <item x="2"/>
        <item x="0"/>
        <item x="3"/>
        <item x="1"/>
        <item t="default"/>
      </items>
    </pivotField>
    <pivotField dataField="1" showAll="0"/>
    <pivotField showAll="0"/>
    <pivotField showAll="0">
      <items count="9">
        <item x="7"/>
        <item x="3"/>
        <item x="4"/>
        <item x="6"/>
        <item x="5"/>
        <item x="2"/>
        <item x="1"/>
        <item x="0"/>
        <item t="default"/>
      </items>
    </pivotField>
    <pivotField axis="axisRow" showAll="0" sortType="descending">
      <items count="7">
        <item x="2"/>
        <item x="5"/>
        <item x="4"/>
        <item x="1"/>
        <item x="3"/>
        <item x="0"/>
        <item t="default"/>
      </items>
      <autoSortScope>
        <pivotArea dataOnly="0" outline="0" fieldPosition="0">
          <references count="1">
            <reference field="4294967294" count="1" selected="0">
              <x v="0"/>
            </reference>
          </references>
        </pivotArea>
      </autoSortScope>
    </pivotField>
  </pivotFields>
  <rowFields count="1">
    <field x="7"/>
  </rowFields>
  <rowItems count="7">
    <i>
      <x v="3"/>
    </i>
    <i>
      <x v="2"/>
    </i>
    <i>
      <x/>
    </i>
    <i>
      <x v="5"/>
    </i>
    <i>
      <x v="4"/>
    </i>
    <i>
      <x v="1"/>
    </i>
    <i t="grand">
      <x/>
    </i>
  </rowItems>
  <colItems count="1">
    <i/>
  </colItems>
  <dataFields count="1">
    <dataField name="Total Car sold" fld="4" baseField="0" baseItem="0" numFmtId="1"/>
  </dataFields>
  <chartFormats count="7">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3"/>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5"/>
          </reference>
        </references>
      </pivotArea>
    </chartFormat>
    <chartFormat chart="3" format="6">
      <pivotArea type="data" outline="0" fieldPosition="0">
        <references count="2">
          <reference field="4294967294" count="1" selected="0">
            <x v="0"/>
          </reference>
          <reference field="7" count="1" selected="0">
            <x v="4"/>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EE529-2AE0-42D2-9D49-A13F14C85AC5}"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Fuel Type">
  <location ref="E15:F20" firstHeaderRow="1" firstDataRow="1" firstDataCol="1"/>
  <pivotFields count="8">
    <pivotField showAll="0"/>
    <pivotField showAll="0">
      <items count="11">
        <item x="7"/>
        <item x="9"/>
        <item x="2"/>
        <item x="0"/>
        <item x="4"/>
        <item x="8"/>
        <item x="5"/>
        <item x="3"/>
        <item x="1"/>
        <item x="6"/>
        <item t="default"/>
      </items>
    </pivotField>
    <pivotField showAll="0">
      <items count="8">
        <item x="3"/>
        <item x="4"/>
        <item x="1"/>
        <item x="2"/>
        <item x="6"/>
        <item x="5"/>
        <item x="0"/>
        <item t="default"/>
      </items>
    </pivotField>
    <pivotField axis="axisRow" showAll="0">
      <items count="5">
        <item x="2"/>
        <item x="0"/>
        <item x="3"/>
        <item x="1"/>
        <item t="default"/>
      </items>
    </pivotField>
    <pivotField dataField="1" showAll="0"/>
    <pivotField showAll="0"/>
    <pivotField showAll="0">
      <items count="9">
        <item x="7"/>
        <item x="3"/>
        <item x="4"/>
        <item x="6"/>
        <item x="5"/>
        <item x="2"/>
        <item x="1"/>
        <item x="0"/>
        <item t="default"/>
      </items>
    </pivotField>
    <pivotField showAll="0">
      <items count="7">
        <item x="2"/>
        <item x="5"/>
        <item x="4"/>
        <item x="1"/>
        <item x="3"/>
        <item x="0"/>
        <item t="default"/>
      </items>
    </pivotField>
  </pivotFields>
  <rowFields count="1">
    <field x="3"/>
  </rowFields>
  <rowItems count="5">
    <i>
      <x/>
    </i>
    <i>
      <x v="1"/>
    </i>
    <i>
      <x v="2"/>
    </i>
    <i>
      <x v="3"/>
    </i>
    <i t="grand">
      <x/>
    </i>
  </rowItems>
  <colItems count="1">
    <i/>
  </colItems>
  <dataFields count="1">
    <dataField name="Total Car sold" fld="4" baseField="3" baseItem="0" numFmtId="1"/>
  </dataField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FB684-AD48-4D3E-A93B-0E498B0A0CE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
  <location ref="A15:B24" firstHeaderRow="1" firstDataRow="1" firstDataCol="1"/>
  <pivotFields count="8">
    <pivotField showAll="0"/>
    <pivotField showAll="0">
      <items count="11">
        <item x="7"/>
        <item x="9"/>
        <item x="2"/>
        <item x="0"/>
        <item x="4"/>
        <item x="8"/>
        <item x="5"/>
        <item x="3"/>
        <item x="1"/>
        <item x="6"/>
        <item t="default"/>
      </items>
    </pivotField>
    <pivotField showAll="0">
      <items count="8">
        <item x="3"/>
        <item x="4"/>
        <item x="1"/>
        <item x="2"/>
        <item x="6"/>
        <item x="5"/>
        <item x="0"/>
        <item t="default"/>
      </items>
    </pivotField>
    <pivotField showAll="0">
      <items count="5">
        <item x="2"/>
        <item x="0"/>
        <item x="3"/>
        <item x="1"/>
        <item t="default"/>
      </items>
    </pivotField>
    <pivotField showAll="0"/>
    <pivotField dataField="1" showAll="0"/>
    <pivotField axis="axisRow" showAll="0">
      <items count="9">
        <item x="7"/>
        <item x="3"/>
        <item x="4"/>
        <item x="6"/>
        <item x="5"/>
        <item x="2"/>
        <item x="1"/>
        <item x="0"/>
        <item t="default"/>
      </items>
    </pivotField>
    <pivotField showAll="0">
      <items count="7">
        <item x="2"/>
        <item x="5"/>
        <item x="4"/>
        <item x="1"/>
        <item x="3"/>
        <item x="0"/>
        <item t="default"/>
      </items>
    </pivotField>
  </pivotFields>
  <rowFields count="1">
    <field x="6"/>
  </rowFields>
  <rowItems count="9">
    <i>
      <x/>
    </i>
    <i>
      <x v="1"/>
    </i>
    <i>
      <x v="2"/>
    </i>
    <i>
      <x v="3"/>
    </i>
    <i>
      <x v="4"/>
    </i>
    <i>
      <x v="5"/>
    </i>
    <i>
      <x v="6"/>
    </i>
    <i>
      <x v="7"/>
    </i>
    <i t="grand">
      <x/>
    </i>
  </rowItems>
  <colItems count="1">
    <i/>
  </colItems>
  <dataFields count="1">
    <dataField name="Total Revenue" fld="5" subtotal="count" baseField="6" baseItem="0" numFmtId="165"/>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B67587-0E89-4266-9120-32498FD4DFE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r Brand">
  <location ref="E1:F12" firstHeaderRow="1" firstDataRow="1" firstDataCol="1"/>
  <pivotFields count="8">
    <pivotField showAll="0"/>
    <pivotField axis="axisRow" showAll="0">
      <items count="11">
        <item x="7"/>
        <item x="9"/>
        <item x="2"/>
        <item x="0"/>
        <item x="4"/>
        <item x="8"/>
        <item x="5"/>
        <item x="3"/>
        <item x="1"/>
        <item x="6"/>
        <item t="default"/>
      </items>
    </pivotField>
    <pivotField showAll="0">
      <items count="8">
        <item x="3"/>
        <item x="4"/>
        <item x="1"/>
        <item x="2"/>
        <item x="6"/>
        <item x="5"/>
        <item x="0"/>
        <item t="default"/>
      </items>
    </pivotField>
    <pivotField showAll="0">
      <items count="5">
        <item x="2"/>
        <item x="0"/>
        <item x="3"/>
        <item x="1"/>
        <item t="default"/>
      </items>
    </pivotField>
    <pivotField showAll="0"/>
    <pivotField dataField="1" showAll="0"/>
    <pivotField showAll="0">
      <items count="9">
        <item x="7"/>
        <item x="3"/>
        <item x="4"/>
        <item x="6"/>
        <item x="5"/>
        <item x="2"/>
        <item x="1"/>
        <item x="0"/>
        <item t="default"/>
      </items>
    </pivotField>
    <pivotField showAll="0">
      <items count="7">
        <item x="2"/>
        <item x="5"/>
        <item x="4"/>
        <item x="1"/>
        <item x="3"/>
        <item x="0"/>
        <item t="default"/>
      </items>
    </pivotField>
  </pivotFields>
  <rowFields count="1">
    <field x="1"/>
  </rowFields>
  <rowItems count="11">
    <i>
      <x/>
    </i>
    <i>
      <x v="1"/>
    </i>
    <i>
      <x v="2"/>
    </i>
    <i>
      <x v="3"/>
    </i>
    <i>
      <x v="4"/>
    </i>
    <i>
      <x v="5"/>
    </i>
    <i>
      <x v="6"/>
    </i>
    <i>
      <x v="7"/>
    </i>
    <i>
      <x v="8"/>
    </i>
    <i>
      <x v="9"/>
    </i>
    <i t="grand">
      <x/>
    </i>
  </rowItems>
  <colItems count="1">
    <i/>
  </colItems>
  <dataFields count="1">
    <dataField name="Total Revenue" fld="5" subtotal="count"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D93163-2292-4FD2-99CE-8E31AF1A762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r Brand">
  <location ref="A1:B12" firstHeaderRow="1" firstDataRow="1" firstDataCol="1"/>
  <pivotFields count="8">
    <pivotField showAll="0"/>
    <pivotField axis="axisRow" showAll="0">
      <items count="11">
        <item x="7"/>
        <item x="9"/>
        <item x="2"/>
        <item x="0"/>
        <item x="4"/>
        <item x="8"/>
        <item x="5"/>
        <item x="3"/>
        <item x="1"/>
        <item x="6"/>
        <item t="default"/>
      </items>
    </pivotField>
    <pivotField showAll="0">
      <items count="8">
        <item x="3"/>
        <item x="4"/>
        <item x="1"/>
        <item x="2"/>
        <item x="6"/>
        <item x="5"/>
        <item x="0"/>
        <item t="default"/>
      </items>
    </pivotField>
    <pivotField showAll="0">
      <items count="5">
        <item x="2"/>
        <item x="0"/>
        <item x="3"/>
        <item x="1"/>
        <item t="default"/>
      </items>
    </pivotField>
    <pivotField dataField="1" showAll="0"/>
    <pivotField showAll="0"/>
    <pivotField showAll="0">
      <items count="9">
        <item x="7"/>
        <item x="3"/>
        <item x="4"/>
        <item x="6"/>
        <item x="5"/>
        <item x="2"/>
        <item x="1"/>
        <item x="0"/>
        <item t="default"/>
      </items>
    </pivotField>
    <pivotField showAll="0">
      <items count="7">
        <item x="2"/>
        <item x="5"/>
        <item x="4"/>
        <item x="1"/>
        <item x="3"/>
        <item x="0"/>
        <item t="default"/>
      </items>
    </pivotField>
  </pivotFields>
  <rowFields count="1">
    <field x="1"/>
  </rowFields>
  <rowItems count="11">
    <i>
      <x/>
    </i>
    <i>
      <x v="1"/>
    </i>
    <i>
      <x v="2"/>
    </i>
    <i>
      <x v="3"/>
    </i>
    <i>
      <x v="4"/>
    </i>
    <i>
      <x v="5"/>
    </i>
    <i>
      <x v="6"/>
    </i>
    <i>
      <x v="7"/>
    </i>
    <i>
      <x v="8"/>
    </i>
    <i>
      <x v="9"/>
    </i>
    <i t="grand">
      <x/>
    </i>
  </rowItems>
  <colItems count="1">
    <i/>
  </colItems>
  <dataFields count="1">
    <dataField name="Total Cars Sold" fld="4" baseField="1"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3A81A-4065-463D-9F43-DFBE5A77FB5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r Brand">
  <location ref="A3:C14" firstHeaderRow="0" firstDataRow="1" firstDataCol="1"/>
  <pivotFields count="10">
    <pivotField showAll="0"/>
    <pivotField showAll="0"/>
    <pivotField showAll="0"/>
    <pivotField showAll="0"/>
    <pivotField dataField="1" showAll="0"/>
    <pivotField showAll="0"/>
    <pivotField showAll="0"/>
    <pivotField axis="axisRow" showAll="0">
      <items count="11">
        <item x="7"/>
        <item x="9"/>
        <item x="2"/>
        <item x="0"/>
        <item x="4"/>
        <item x="8"/>
        <item x="5"/>
        <item x="3"/>
        <item x="1"/>
        <item x="6"/>
        <item t="default"/>
      </items>
    </pivotField>
    <pivotField showAll="0"/>
    <pivotField dataField="1"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Sale Price" fld="4" baseField="7" baseItem="0" numFmtId="164"/>
    <dataField name="Average of Avg Revenue per Car" fld="9" subtotal="average" baseField="7" baseItem="0" numFmtId="164"/>
  </dataFields>
  <formats count="12">
    <format dxfId="68">
      <pivotArea type="all" dataOnly="0" outline="0" fieldPosition="0"/>
    </format>
    <format dxfId="67">
      <pivotArea outline="0" collapsedLevelsAreSubtotals="1" fieldPosition="0"/>
    </format>
    <format dxfId="66">
      <pivotArea field="7" type="button" dataOnly="0" labelOnly="1" outline="0" axis="axisRow" fieldPosition="0"/>
    </format>
    <format dxfId="65">
      <pivotArea dataOnly="0" labelOnly="1" fieldPosition="0">
        <references count="1">
          <reference field="7" count="0"/>
        </references>
      </pivotArea>
    </format>
    <format dxfId="64">
      <pivotArea dataOnly="0" labelOnly="1" grandRow="1" outline="0" fieldPosition="0"/>
    </format>
    <format dxfId="63">
      <pivotArea dataOnly="0" labelOnly="1" outline="0" fieldPosition="0">
        <references count="1">
          <reference field="4294967294" count="2">
            <x v="0"/>
            <x v="1"/>
          </reference>
        </references>
      </pivotArea>
    </format>
    <format dxfId="62">
      <pivotArea type="all" dataOnly="0" outline="0" fieldPosition="0"/>
    </format>
    <format dxfId="61">
      <pivotArea outline="0" collapsedLevelsAreSubtotals="1" fieldPosition="0"/>
    </format>
    <format dxfId="60">
      <pivotArea field="7" type="button" dataOnly="0" labelOnly="1" outline="0" axis="axisRow" fieldPosition="0"/>
    </format>
    <format dxfId="59">
      <pivotArea dataOnly="0" labelOnly="1" fieldPosition="0">
        <references count="1">
          <reference field="7"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E3562F-3FA2-4812-BAE7-777475F4D63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person" colHeaderCaption="">
  <location ref="A3:K14" firstHeaderRow="1" firstDataRow="3" firstDataCol="1"/>
  <pivotFields count="10">
    <pivotField dataField="1" subtotalTop="0" showAll="0"/>
    <pivotField subtotalTop="0" showAll="0"/>
    <pivotField axis="axisCol" subtotalTop="0" showAll="0">
      <items count="5">
        <item x="2"/>
        <item x="0"/>
        <item x="3"/>
        <item x="1"/>
        <item t="default"/>
      </items>
    </pivotField>
    <pivotField subtotalTop="0" showAll="0"/>
    <pivotField dataField="1" subtotalTop="0" showAll="0"/>
    <pivotField axis="axisRow" subtotalTop="0" showAll="0">
      <items count="9">
        <item x="7"/>
        <item x="3"/>
        <item x="4"/>
        <item x="6"/>
        <item x="5"/>
        <item x="2"/>
        <item x="1"/>
        <item x="0"/>
        <item t="default"/>
      </items>
    </pivotField>
    <pivotField subtotalTop="0" showAll="0"/>
    <pivotField subtotalTop="0" showAll="0"/>
    <pivotField subtotalTop="0" showAll="0"/>
    <pivotField subtotalTop="0" dragToRow="0" dragToCol="0" dragToPage="0" showAll="0" defaultSubtotal="0"/>
  </pivotFields>
  <rowFields count="1">
    <field x="5"/>
  </rowFields>
  <rowItems count="9">
    <i>
      <x/>
    </i>
    <i>
      <x v="1"/>
    </i>
    <i>
      <x v="2"/>
    </i>
    <i>
      <x v="3"/>
    </i>
    <i>
      <x v="4"/>
    </i>
    <i>
      <x v="5"/>
    </i>
    <i>
      <x v="6"/>
    </i>
    <i>
      <x v="7"/>
    </i>
    <i t="grand">
      <x/>
    </i>
  </rowItems>
  <colFields count="2">
    <field x="2"/>
    <field x="-2"/>
  </colFields>
  <colItems count="10">
    <i>
      <x/>
      <x/>
    </i>
    <i r="1" i="1">
      <x v="1"/>
    </i>
    <i>
      <x v="1"/>
      <x/>
    </i>
    <i r="1" i="1">
      <x v="1"/>
    </i>
    <i>
      <x v="2"/>
      <x/>
    </i>
    <i r="1" i="1">
      <x v="1"/>
    </i>
    <i>
      <x v="3"/>
      <x/>
    </i>
    <i r="1" i="1">
      <x v="1"/>
    </i>
    <i t="grand">
      <x/>
    </i>
    <i t="grand" i="1">
      <x/>
    </i>
  </colItems>
  <dataFields count="2">
    <dataField name="Sum of Sale ID" fld="0" baseField="0" baseItem="0"/>
    <dataField name="Sum of Sale Price" fld="4" baseField="5" baseItem="7" numFmtId="164"/>
  </dataFields>
  <formats count="2">
    <format dxfId="56">
      <pivotArea type="all" dataOnly="0" outline="0" fieldPosition="0"/>
    </format>
    <format dxfId="55">
      <pivotArea type="all" dataOnly="0"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065C3D-ED25-43C7-ADB8-5AD9572DDBFE}"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person" colHeaderCaption="">
  <location ref="A3:K14" firstHeaderRow="1" firstDataRow="3" firstDataCol="1"/>
  <pivotFields count="10">
    <pivotField dataField="1" subtotalTop="0" showAll="0"/>
    <pivotField subtotalTop="0" showAll="0"/>
    <pivotField axis="axisCol" subtotalTop="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ubtotalTop="0" showAll="0"/>
    <pivotField dataField="1" subtotalTop="0" showAll="0"/>
    <pivotField axis="axisRow" subtotalTop="0" showAll="0" measureFilter="1">
      <items count="9">
        <item x="7"/>
        <item x="3"/>
        <item x="4"/>
        <item x="6"/>
        <item x="5"/>
        <item x="2"/>
        <item x="1"/>
        <item x="0"/>
        <item t="default"/>
      </items>
    </pivotField>
    <pivotField subtotalTop="0" showAll="0"/>
    <pivotField subtotalTop="0" showAll="0"/>
    <pivotField subtotalTop="0" showAll="0"/>
    <pivotField subtotalTop="0" dragToRow="0" dragToCol="0" dragToPage="0" showAll="0" defaultSubtotal="0"/>
  </pivotFields>
  <rowFields count="1">
    <field x="5"/>
  </rowFields>
  <rowItems count="9">
    <i>
      <x/>
    </i>
    <i>
      <x v="1"/>
    </i>
    <i>
      <x v="2"/>
    </i>
    <i>
      <x v="3"/>
    </i>
    <i>
      <x v="4"/>
    </i>
    <i>
      <x v="5"/>
    </i>
    <i>
      <x v="6"/>
    </i>
    <i>
      <x v="7"/>
    </i>
    <i t="grand">
      <x/>
    </i>
  </rowItems>
  <colFields count="2">
    <field x="2"/>
    <field x="-2"/>
  </colFields>
  <colItems count="10">
    <i>
      <x v="3"/>
      <x/>
    </i>
    <i r="1" i="1">
      <x v="1"/>
    </i>
    <i>
      <x v="1"/>
      <x/>
    </i>
    <i r="1" i="1">
      <x v="1"/>
    </i>
    <i>
      <x/>
      <x/>
    </i>
    <i r="1" i="1">
      <x v="1"/>
    </i>
    <i>
      <x v="2"/>
      <x/>
    </i>
    <i r="1" i="1">
      <x v="1"/>
    </i>
    <i t="grand">
      <x/>
    </i>
    <i t="grand" i="1">
      <x/>
    </i>
  </colItems>
  <dataFields count="2">
    <dataField name="Sum of Sale ID" fld="0" baseField="0" baseItem="0"/>
    <dataField name="Sum of Sale Price" fld="4" baseField="5" baseItem="7" numFmtId="164"/>
  </dataFields>
  <formats count="2">
    <format dxfId="54">
      <pivotArea type="all" dataOnly="0" outline="0" fieldPosition="0"/>
    </format>
    <format dxfId="53">
      <pivotArea type="all" dataOnly="0" outline="0" fieldPosition="0"/>
    </format>
  </formats>
  <pivotTableStyleInfo name="PivotStyleLight20" showRowHeaders="1" showColHeaders="1" showRowStripes="0" showColStripes="0" showLastColumn="1"/>
  <filters count="1">
    <filter fld="5" type="valueGreaterThan" evalOrder="-1" id="1" iMeasureFld="1">
      <autoFilter ref="A1">
        <filterColumn colId="0">
          <customFilters>
            <customFilter operator="greaterThan" val="5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7921C3-5E29-4BA4-B6E7-B37529877F2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Car Brand">
  <location ref="A3:B14" firstHeaderRow="1" firstDataRow="1" firstDataCol="1"/>
  <pivotFields count="10">
    <pivotField showAll="0"/>
    <pivotField showAll="0"/>
    <pivotField showAll="0"/>
    <pivotField showAll="0"/>
    <pivotField dataField="1" showAll="0"/>
    <pivotField showAll="0"/>
    <pivotField showAll="0"/>
    <pivotField axis="axisRow" showAll="0" sortType="descending">
      <items count="11">
        <item x="7"/>
        <item x="9"/>
        <item x="2"/>
        <item x="0"/>
        <item x="4"/>
        <item x="8"/>
        <item x="5"/>
        <item x="3"/>
        <item x="1"/>
        <item x="6"/>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7"/>
  </rowFields>
  <rowItems count="11">
    <i>
      <x v="2"/>
    </i>
    <i>
      <x v="7"/>
    </i>
    <i>
      <x v="3"/>
    </i>
    <i>
      <x v="6"/>
    </i>
    <i>
      <x/>
    </i>
    <i>
      <x v="5"/>
    </i>
    <i>
      <x v="9"/>
    </i>
    <i>
      <x v="8"/>
    </i>
    <i>
      <x v="4"/>
    </i>
    <i>
      <x v="1"/>
    </i>
    <i t="grand">
      <x/>
    </i>
  </rowItems>
  <colItems count="1">
    <i/>
  </colItems>
  <dataFields count="1">
    <dataField name="Sum of Sale Price" fld="4" baseField="0" baseItem="0"/>
  </dataFields>
  <formats count="12">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7" type="button" dataOnly="0" labelOnly="1" outline="0" axis="axisRow" fieldPosition="0"/>
    </format>
    <format dxfId="7">
      <pivotArea dataOnly="0" labelOnly="1" fieldPosition="0">
        <references count="1">
          <reference field="7" count="0"/>
        </references>
      </pivotArea>
    </format>
    <format dxfId="6">
      <pivotArea dataOnly="0" labelOnly="1" grandRow="1" outline="0" fieldPosition="0"/>
    </format>
    <format dxfId="5">
      <pivotArea dataOnly="0" labelOnly="1"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2CBC03-C329-439C-940D-8204E61F06BD}"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alesperson">
  <location ref="A20:B26" firstHeaderRow="1" firstDataRow="1" firstDataCol="1"/>
  <pivotFields count="10">
    <pivotField dataField="1" showAll="0"/>
    <pivotField showAll="0"/>
    <pivotField showAll="0"/>
    <pivotField showAll="0"/>
    <pivotField showAll="0"/>
    <pivotField axis="axisRow" showAll="0" measureFilter="1" sortType="descending">
      <items count="9">
        <item x="7"/>
        <item x="3"/>
        <item x="4"/>
        <item x="6"/>
        <item x="5"/>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5"/>
  </rowFields>
  <rowItems count="6">
    <i>
      <x v="2"/>
    </i>
    <i>
      <x v="7"/>
    </i>
    <i>
      <x/>
    </i>
    <i>
      <x v="3"/>
    </i>
    <i>
      <x v="6"/>
    </i>
    <i t="grand">
      <x/>
    </i>
  </rowItems>
  <colItems count="1">
    <i/>
  </colItems>
  <dataFields count="1">
    <dataField name="Sum of Sale ID" fld="0" baseField="0" baseItem="0"/>
  </dataFields>
  <formats count="12">
    <format dxfId="28">
      <pivotArea type="all" dataOnly="0" outline="0" fieldPosition="0"/>
    </format>
    <format dxfId="27">
      <pivotArea outline="0" collapsedLevelsAreSubtotals="1" fieldPosition="0"/>
    </format>
    <format dxfId="26">
      <pivotArea field="5" type="button" dataOnly="0" labelOnly="1" outline="0" axis="axisRow" fieldPosition="0"/>
    </format>
    <format dxfId="25">
      <pivotArea dataOnly="0" labelOnly="1" fieldPosition="0">
        <references count="1">
          <reference field="5" count="5">
            <x v="0"/>
            <x v="2"/>
            <x v="3"/>
            <x v="6"/>
            <x v="7"/>
          </reference>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5">
            <x v="0"/>
            <x v="2"/>
            <x v="3"/>
            <x v="6"/>
            <x v="7"/>
          </reference>
        </references>
      </pivotArea>
    </format>
    <format dxfId="18">
      <pivotArea dataOnly="0" labelOnly="1" grandRow="1" outline="0" fieldPosition="0"/>
    </format>
    <format dxfId="17">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85876A-4459-495E-AB67-4DF2F75B55D9}"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Fuel Type">
  <location ref="K3:L8" firstHeaderRow="1" firstDataRow="1" firstDataCol="1"/>
  <pivotFields count="10">
    <pivotField showAll="0"/>
    <pivotField showAll="0"/>
    <pivotField axis="axisRow" showAll="0">
      <items count="5">
        <item x="2"/>
        <item x="0"/>
        <item x="3"/>
        <item x="1"/>
        <item t="default"/>
      </items>
    </pivotField>
    <pivotField showAll="0"/>
    <pivotField dataField="1"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Average of Sale Price" fld="4" subtotal="average" baseField="2" baseItem="0" numFmtId="164"/>
  </dataFields>
  <formats count="12">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77A0DF-8664-44D9-83A1-F653D826032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Fuel Type">
  <location ref="G3:H8" firstHeaderRow="1" firstDataRow="1" firstDataCol="1"/>
  <pivotFields count="10">
    <pivotField dataField="1" showAll="0"/>
    <pivotField showAll="0"/>
    <pivotField axis="axisRow" showAll="0">
      <items count="5">
        <item x="2"/>
        <item x="0"/>
        <item x="3"/>
        <item x="1"/>
        <item t="default"/>
      </items>
    </pivotField>
    <pivotField showAll="0"/>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Sale ID" fld="0" baseField="0" baseItem="0"/>
  </dataFields>
  <formats count="12">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axis="axisValues"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Brand" xr10:uid="{44972E25-E4ED-426F-A43E-90D5B67EA0D9}" sourceName="Car Brand">
  <pivotTables>
    <pivotTable tabId="15" name="PivotTable6"/>
    <pivotTable tabId="15" name="PivotTable1"/>
    <pivotTable tabId="15" name="PivotTable2"/>
    <pivotTable tabId="15" name="PivotTable3"/>
    <pivotTable tabId="15" name="PivotTable4"/>
    <pivotTable tabId="15" name="PivotTable5"/>
    <pivotTable tabId="15" name="PivotTable7"/>
  </pivotTables>
  <data>
    <tabular pivotCacheId="190706360">
      <items count="10">
        <i x="7" s="1"/>
        <i x="9" s="1"/>
        <i x="2" s="1"/>
        <i x="0" s="1"/>
        <i x="4" s="1"/>
        <i x="8" s="1"/>
        <i x="5" s="1"/>
        <i x="3"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25E98AEC-61B5-46EE-A988-72E0FE9BB248}" sourceName=" Car Model">
  <pivotTables>
    <pivotTable tabId="15" name="PivotTable6"/>
    <pivotTable tabId="15" name="PivotTable1"/>
    <pivotTable tabId="15" name="PivotTable2"/>
    <pivotTable tabId="15" name="PivotTable3"/>
    <pivotTable tabId="15" name="PivotTable4"/>
    <pivotTable tabId="15" name="PivotTable5"/>
    <pivotTable tabId="15" name="PivotTable7"/>
  </pivotTables>
  <data>
    <tabular pivotCacheId="190706360">
      <items count="7">
        <i x="3" s="1"/>
        <i x="4" s="1"/>
        <i x="1" s="1"/>
        <i x="2" s="1"/>
        <i x="6"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EB85912A-B29F-4563-A627-3FF9A02175FF}" sourceName="Fuel Type">
  <pivotTables>
    <pivotTable tabId="15" name="PivotTable6"/>
    <pivotTable tabId="15" name="PivotTable1"/>
    <pivotTable tabId="15" name="PivotTable2"/>
    <pivotTable tabId="15" name="PivotTable3"/>
    <pivotTable tabId="15" name="PivotTable4"/>
    <pivotTable tabId="15" name="PivotTable5"/>
    <pivotTable tabId="15" name="PivotTable7"/>
  </pivotTables>
  <data>
    <tabular pivotCacheId="190706360">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2C55D07-FE38-42AB-A73A-80823EDBC8B4}" sourceName="Salesperson">
  <pivotTables>
    <pivotTable tabId="15" name="PivotTable6"/>
    <pivotTable tabId="15" name="PivotTable1"/>
    <pivotTable tabId="15" name="PivotTable2"/>
    <pivotTable tabId="15" name="PivotTable3"/>
    <pivotTable tabId="15" name="PivotTable4"/>
    <pivotTable tabId="15" name="PivotTable5"/>
    <pivotTable tabId="15" name="PivotTable7"/>
  </pivotTables>
  <data>
    <tabular pivotCacheId="190706360">
      <items count="8">
        <i x="7" s="1"/>
        <i x="3" s="1"/>
        <i x="4" s="1"/>
        <i x="6" s="1"/>
        <i x="5"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Color" xr10:uid="{147525A9-28BF-4F91-B05D-0A30037608ED}" sourceName="Car Color">
  <pivotTables>
    <pivotTable tabId="15" name="PivotTable6"/>
    <pivotTable tabId="15" name="PivotTable1"/>
    <pivotTable tabId="15" name="PivotTable2"/>
    <pivotTable tabId="15" name="PivotTable3"/>
    <pivotTable tabId="15" name="PivotTable4"/>
    <pivotTable tabId="15" name="PivotTable5"/>
    <pivotTable tabId="15" name="PivotTable7"/>
  </pivotTables>
  <data>
    <tabular pivotCacheId="190706360">
      <items count="6">
        <i x="2" s="1"/>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Brand" xr10:uid="{DE1584A0-5393-4A05-A005-26CE01284ACD}" cache="Slicer_Car_Brand" caption="Car Brand" rowHeight="257175"/>
  <slicer name=" Car Model" xr10:uid="{78D07E74-C42A-4A92-9C54-36445DB8FFF7}" cache="Slicer_Car_Model" caption=" Car Model" rowHeight="257175"/>
  <slicer name="Fuel Type" xr10:uid="{AF443839-4B1B-4786-9DF4-2FDB60F54984}" cache="Slicer_Fuel_Type" caption="Fuel Type" rowHeight="257175"/>
  <slicer name="Salesperson" xr10:uid="{08406866-25CC-40A8-A7CE-BA812FE631CF}" cache="Slicer_Salesperson" caption="Salesperson" rowHeight="257175"/>
  <slicer name="Car Color" xr10:uid="{F262B3D0-EB22-43D5-A037-8009AED5DBFF}" cache="Slicer_Car_Color" caption="Car Colo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Brand 1" xr10:uid="{F38C7A4B-9BB9-406A-8798-C70BB06F8940}" cache="Slicer_Car_Brand" caption="Car Brand" rowHeight="257175"/>
  <slicer name=" Car Model 1" xr10:uid="{C55EC5AC-E419-4E65-9862-EE9A6DD80A3C}" cache="Slicer_Car_Model" caption=" Car Model" rowHeight="257175"/>
  <slicer name="Fuel Type 1" xr10:uid="{9C03E82B-AC8B-4487-A553-1C66F03403B5}" cache="Slicer_Fuel_Type" caption="Fuel Type" rowHeight="257175"/>
  <slicer name="Salesperson 1" xr10:uid="{DCED5F08-8AB0-4DC2-8657-0693F08E4E02}" cache="Slicer_Salesperson" caption="Salesperson" rowHeight="257175"/>
  <slicer name="Car Color 1" xr10:uid="{B5874532-6D86-47F8-98BE-FCB009F97C7E}" cache="Slicer_Car_Color" caption="Car Colo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06E9E-8A9E-4AE9-962E-4B26C7621FB8}" name="Table2" displayName="Table2" ref="A1:H1001" totalsRowShown="0" headerRowDxfId="77" dataDxfId="76">
  <tableColumns count="8">
    <tableColumn id="1" xr3:uid="{464F443F-D738-455D-94E5-73BCDDD726C6}" name="Sale ID" dataDxfId="75"/>
    <tableColumn id="11" xr3:uid="{775CA687-53A1-4D1C-9633-362CB7C83150}" name="Car Brand" dataDxfId="74"/>
    <tableColumn id="2" xr3:uid="{C2C8577B-2E69-402A-ABDD-2D0B0FA9B2A3}" name=" Car Model" dataDxfId="4"/>
    <tableColumn id="4" xr3:uid="{96806263-5AF3-4D57-9F0A-8FF271B03645}" name="Fuel Type" dataDxfId="73"/>
    <tableColumn id="5" xr3:uid="{C1069E05-1CB4-47CB-9F66-449043482917}" name="Qty Sold by Salesperson" dataDxfId="72"/>
    <tableColumn id="6" xr3:uid="{E1E63126-157C-48D0-BE7A-B2160A4952B9}" name="Sale Price" dataDxfId="71"/>
    <tableColumn id="7" xr3:uid="{480BFD57-85C9-4878-90A5-23D1CA799037}" name="Salesperson" dataDxfId="70"/>
    <tableColumn id="8" xr3:uid="{E0F942DA-822B-448E-9AD0-1F204E28A7B7}" name="Car Color" dataDxfId="6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BD2249-61A0-424A-9A84-3B522803BB5F}" name="Table3" displayName="Table3" ref="J4:K5" totalsRowShown="0">
  <autoFilter ref="J4:K5" xr:uid="{B6BD0216-7030-48DA-BA5D-D541C1C75A91}"/>
  <tableColumns count="2">
    <tableColumn id="1" xr3:uid="{3D19FB35-BBC0-4E73-9B80-B56EA9DFDFDD}" name="Description"/>
    <tableColumn id="2" xr3:uid="{DA12DC89-EFC9-4866-83EE-358FEF06CDCA}" name="Result">
      <calculatedColumnFormula>COUNTIF(F:F,"Diana Ross")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9.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CFF0-120B-4380-9CFD-E0619F06DB29}">
  <sheetPr>
    <tabColor theme="2" tint="-0.89999084444715716"/>
  </sheetPr>
  <dimension ref="A1:H1001"/>
  <sheetViews>
    <sheetView workbookViewId="0">
      <selection sqref="A1:H1001"/>
    </sheetView>
  </sheetViews>
  <sheetFormatPr defaultRowHeight="15"/>
  <cols>
    <col min="2" max="3" width="27.28515625" customWidth="1"/>
    <col min="4" max="4" width="20.42578125" customWidth="1"/>
    <col min="5" max="5" width="26.42578125" customWidth="1"/>
    <col min="6" max="6" width="20.28515625" customWidth="1"/>
    <col min="7" max="7" width="24.5703125" customWidth="1"/>
    <col min="8" max="8" width="23.5703125" customWidth="1"/>
  </cols>
  <sheetData>
    <row r="1" spans="1:8">
      <c r="A1" s="1" t="s">
        <v>0</v>
      </c>
      <c r="B1" s="1" t="s">
        <v>101</v>
      </c>
      <c r="C1" s="1" t="s">
        <v>128</v>
      </c>
      <c r="D1" s="1" t="s">
        <v>2</v>
      </c>
      <c r="E1" s="1" t="s">
        <v>3</v>
      </c>
      <c r="F1" s="1" t="s">
        <v>4</v>
      </c>
      <c r="G1" s="1" t="s">
        <v>5</v>
      </c>
      <c r="H1" s="1" t="s">
        <v>6</v>
      </c>
    </row>
    <row r="2" spans="1:8">
      <c r="A2" s="2">
        <v>1</v>
      </c>
      <c r="B2" s="2" t="s">
        <v>108</v>
      </c>
      <c r="C2" s="2" t="s">
        <v>129</v>
      </c>
      <c r="D2" s="2" t="s">
        <v>8</v>
      </c>
      <c r="E2" s="2">
        <v>30</v>
      </c>
      <c r="F2" s="3">
        <v>77024</v>
      </c>
      <c r="G2" s="2" t="s">
        <v>9</v>
      </c>
      <c r="H2" s="2" t="s">
        <v>10</v>
      </c>
    </row>
    <row r="3" spans="1:8">
      <c r="A3" s="2">
        <v>2</v>
      </c>
      <c r="B3" s="2" t="s">
        <v>113</v>
      </c>
      <c r="C3" s="2" t="s">
        <v>130</v>
      </c>
      <c r="D3" s="2" t="s">
        <v>12</v>
      </c>
      <c r="E3" s="2">
        <v>15</v>
      </c>
      <c r="F3" s="3">
        <v>37515</v>
      </c>
      <c r="G3" s="2" t="s">
        <v>13</v>
      </c>
      <c r="H3" s="2" t="s">
        <v>14</v>
      </c>
    </row>
    <row r="4" spans="1:8">
      <c r="A4" s="2">
        <v>3</v>
      </c>
      <c r="B4" s="2" t="s">
        <v>107</v>
      </c>
      <c r="C4" s="2" t="s">
        <v>129</v>
      </c>
      <c r="D4" s="2" t="s">
        <v>16</v>
      </c>
      <c r="E4" s="2">
        <v>26</v>
      </c>
      <c r="F4" s="3">
        <v>93173</v>
      </c>
      <c r="G4" s="2" t="s">
        <v>17</v>
      </c>
      <c r="H4" s="2" t="s">
        <v>18</v>
      </c>
    </row>
    <row r="5" spans="1:8">
      <c r="A5" s="2">
        <v>4</v>
      </c>
      <c r="B5" s="2" t="s">
        <v>112</v>
      </c>
      <c r="C5" s="2" t="s">
        <v>131</v>
      </c>
      <c r="D5" s="2" t="s">
        <v>12</v>
      </c>
      <c r="E5" s="2">
        <v>41</v>
      </c>
      <c r="F5" s="3">
        <v>79996</v>
      </c>
      <c r="G5" s="2" t="s">
        <v>20</v>
      </c>
      <c r="H5" s="2" t="s">
        <v>18</v>
      </c>
    </row>
    <row r="6" spans="1:8">
      <c r="A6" s="2">
        <v>5</v>
      </c>
      <c r="B6" s="2" t="s">
        <v>112</v>
      </c>
      <c r="C6" s="2" t="s">
        <v>132</v>
      </c>
      <c r="D6" s="2" t="s">
        <v>22</v>
      </c>
      <c r="E6" s="2">
        <v>12</v>
      </c>
      <c r="F6" s="3">
        <v>31822</v>
      </c>
      <c r="G6" s="2" t="s">
        <v>13</v>
      </c>
      <c r="H6" s="2" t="s">
        <v>23</v>
      </c>
    </row>
    <row r="7" spans="1:8">
      <c r="A7" s="2">
        <v>6</v>
      </c>
      <c r="B7" s="2" t="s">
        <v>109</v>
      </c>
      <c r="C7" s="2" t="s">
        <v>132</v>
      </c>
      <c r="D7" s="2" t="s">
        <v>16</v>
      </c>
      <c r="E7" s="2">
        <v>12</v>
      </c>
      <c r="F7" s="3">
        <v>75831</v>
      </c>
      <c r="G7" s="2" t="s">
        <v>25</v>
      </c>
      <c r="H7" s="2" t="s">
        <v>26</v>
      </c>
    </row>
    <row r="8" spans="1:8">
      <c r="A8" s="2">
        <v>7</v>
      </c>
      <c r="B8" s="2" t="s">
        <v>108</v>
      </c>
      <c r="C8" s="2" t="s">
        <v>130</v>
      </c>
      <c r="D8" s="2" t="s">
        <v>12</v>
      </c>
      <c r="E8" s="2">
        <v>41</v>
      </c>
      <c r="F8" s="3">
        <v>96909</v>
      </c>
      <c r="G8" s="2" t="s">
        <v>28</v>
      </c>
      <c r="H8" s="2" t="s">
        <v>29</v>
      </c>
    </row>
    <row r="9" spans="1:8">
      <c r="A9" s="2">
        <v>8</v>
      </c>
      <c r="B9" s="2" t="s">
        <v>111</v>
      </c>
      <c r="C9" s="2" t="s">
        <v>133</v>
      </c>
      <c r="D9" s="2" t="s">
        <v>8</v>
      </c>
      <c r="E9" s="2">
        <v>43</v>
      </c>
      <c r="F9" s="3">
        <v>98569</v>
      </c>
      <c r="G9" s="2" t="s">
        <v>9</v>
      </c>
      <c r="H9" s="2" t="s">
        <v>14</v>
      </c>
    </row>
    <row r="10" spans="1:8">
      <c r="A10" s="2">
        <v>9</v>
      </c>
      <c r="B10" s="2" t="s">
        <v>108</v>
      </c>
      <c r="C10" s="2" t="s">
        <v>131</v>
      </c>
      <c r="D10" s="2" t="s">
        <v>22</v>
      </c>
      <c r="E10" s="2">
        <v>28</v>
      </c>
      <c r="F10" s="3">
        <v>78423</v>
      </c>
      <c r="G10" s="2" t="s">
        <v>32</v>
      </c>
      <c r="H10" s="2" t="s">
        <v>26</v>
      </c>
    </row>
    <row r="11" spans="1:8">
      <c r="A11" s="2">
        <v>10</v>
      </c>
      <c r="B11" s="2" t="s">
        <v>114</v>
      </c>
      <c r="C11" s="2" t="s">
        <v>134</v>
      </c>
      <c r="D11" s="2" t="s">
        <v>12</v>
      </c>
      <c r="E11" s="2">
        <v>26</v>
      </c>
      <c r="F11" s="3">
        <v>29769</v>
      </c>
      <c r="G11" s="2" t="s">
        <v>20</v>
      </c>
      <c r="H11" s="2" t="s">
        <v>29</v>
      </c>
    </row>
    <row r="12" spans="1:8">
      <c r="A12" s="2">
        <v>11</v>
      </c>
      <c r="B12" s="2" t="s">
        <v>105</v>
      </c>
      <c r="C12" s="2" t="s">
        <v>133</v>
      </c>
      <c r="D12" s="2" t="s">
        <v>22</v>
      </c>
      <c r="E12" s="2">
        <v>2</v>
      </c>
      <c r="F12" s="3">
        <v>59644</v>
      </c>
      <c r="G12" s="2" t="s">
        <v>28</v>
      </c>
      <c r="H12" s="2" t="s">
        <v>26</v>
      </c>
    </row>
    <row r="13" spans="1:8">
      <c r="A13" s="2">
        <v>12</v>
      </c>
      <c r="B13" s="2" t="s">
        <v>113</v>
      </c>
      <c r="C13" s="2" t="s">
        <v>132</v>
      </c>
      <c r="D13" s="2" t="s">
        <v>12</v>
      </c>
      <c r="E13" s="2">
        <v>48</v>
      </c>
      <c r="F13" s="3">
        <v>84311</v>
      </c>
      <c r="G13" s="2" t="s">
        <v>13</v>
      </c>
      <c r="H13" s="2" t="s">
        <v>18</v>
      </c>
    </row>
    <row r="14" spans="1:8">
      <c r="A14" s="2">
        <v>13</v>
      </c>
      <c r="B14" s="2" t="s">
        <v>113</v>
      </c>
      <c r="C14" s="2" t="s">
        <v>133</v>
      </c>
      <c r="D14" s="2" t="s">
        <v>8</v>
      </c>
      <c r="E14" s="2">
        <v>40</v>
      </c>
      <c r="F14" s="3">
        <v>65822</v>
      </c>
      <c r="G14" s="2" t="s">
        <v>28</v>
      </c>
      <c r="H14" s="2" t="s">
        <v>18</v>
      </c>
    </row>
    <row r="15" spans="1:8">
      <c r="A15" s="2">
        <v>14</v>
      </c>
      <c r="B15" s="2" t="s">
        <v>108</v>
      </c>
      <c r="C15" s="2" t="s">
        <v>129</v>
      </c>
      <c r="D15" s="2" t="s">
        <v>16</v>
      </c>
      <c r="E15" s="2">
        <v>13</v>
      </c>
      <c r="F15" s="3">
        <v>41907</v>
      </c>
      <c r="G15" s="2" t="s">
        <v>32</v>
      </c>
      <c r="H15" s="2" t="s">
        <v>14</v>
      </c>
    </row>
    <row r="16" spans="1:8">
      <c r="A16" s="2">
        <v>15</v>
      </c>
      <c r="B16" s="2" t="s">
        <v>112</v>
      </c>
      <c r="C16" s="2" t="s">
        <v>129</v>
      </c>
      <c r="D16" s="2" t="s">
        <v>12</v>
      </c>
      <c r="E16" s="2">
        <v>29</v>
      </c>
      <c r="F16" s="3">
        <v>32717</v>
      </c>
      <c r="G16" s="2" t="s">
        <v>38</v>
      </c>
      <c r="H16" s="2" t="s">
        <v>18</v>
      </c>
    </row>
    <row r="17" spans="1:8">
      <c r="A17" s="2">
        <v>16</v>
      </c>
      <c r="B17" s="2" t="s">
        <v>112</v>
      </c>
      <c r="C17" s="2" t="s">
        <v>132</v>
      </c>
      <c r="D17" s="2" t="s">
        <v>22</v>
      </c>
      <c r="E17" s="2">
        <v>38</v>
      </c>
      <c r="F17" s="3">
        <v>70228</v>
      </c>
      <c r="G17" s="2" t="s">
        <v>38</v>
      </c>
      <c r="H17" s="2" t="s">
        <v>18</v>
      </c>
    </row>
    <row r="18" spans="1:8">
      <c r="A18" s="2">
        <v>17</v>
      </c>
      <c r="B18" s="2" t="s">
        <v>111</v>
      </c>
      <c r="C18" s="2" t="s">
        <v>131</v>
      </c>
      <c r="D18" s="2" t="s">
        <v>8</v>
      </c>
      <c r="E18" s="2">
        <v>28</v>
      </c>
      <c r="F18" s="3">
        <v>63314</v>
      </c>
      <c r="G18" s="2" t="s">
        <v>20</v>
      </c>
      <c r="H18" s="2" t="s">
        <v>23</v>
      </c>
    </row>
    <row r="19" spans="1:8">
      <c r="A19" s="2">
        <v>18</v>
      </c>
      <c r="B19" s="2" t="s">
        <v>114</v>
      </c>
      <c r="C19" s="2" t="s">
        <v>132</v>
      </c>
      <c r="D19" s="2" t="s">
        <v>16</v>
      </c>
      <c r="E19" s="2">
        <v>25</v>
      </c>
      <c r="F19" s="3">
        <v>58509</v>
      </c>
      <c r="G19" s="2" t="s">
        <v>38</v>
      </c>
      <c r="H19" s="2" t="s">
        <v>23</v>
      </c>
    </row>
    <row r="20" spans="1:8">
      <c r="A20" s="2">
        <v>19</v>
      </c>
      <c r="B20" s="2" t="s">
        <v>113</v>
      </c>
      <c r="C20" s="2" t="s">
        <v>133</v>
      </c>
      <c r="D20" s="2" t="s">
        <v>22</v>
      </c>
      <c r="E20" s="2">
        <v>1</v>
      </c>
      <c r="F20" s="3">
        <v>46884</v>
      </c>
      <c r="G20" s="2" t="s">
        <v>13</v>
      </c>
      <c r="H20" s="2" t="s">
        <v>18</v>
      </c>
    </row>
    <row r="21" spans="1:8">
      <c r="A21" s="2">
        <v>20</v>
      </c>
      <c r="B21" s="2" t="s">
        <v>111</v>
      </c>
      <c r="C21" s="2" t="s">
        <v>133</v>
      </c>
      <c r="D21" s="2" t="s">
        <v>8</v>
      </c>
      <c r="E21" s="2">
        <v>46</v>
      </c>
      <c r="F21" s="3">
        <v>49657</v>
      </c>
      <c r="G21" s="2" t="s">
        <v>32</v>
      </c>
      <c r="H21" s="2" t="s">
        <v>14</v>
      </c>
    </row>
    <row r="22" spans="1:8">
      <c r="A22" s="2">
        <v>21</v>
      </c>
      <c r="B22" s="2" t="s">
        <v>112</v>
      </c>
      <c r="C22" s="2" t="s">
        <v>129</v>
      </c>
      <c r="D22" s="2" t="s">
        <v>22</v>
      </c>
      <c r="E22" s="2">
        <v>14</v>
      </c>
      <c r="F22" s="3">
        <v>78900</v>
      </c>
      <c r="G22" s="2" t="s">
        <v>17</v>
      </c>
      <c r="H22" s="2" t="s">
        <v>14</v>
      </c>
    </row>
    <row r="23" spans="1:8">
      <c r="A23" s="2">
        <v>22</v>
      </c>
      <c r="B23" s="2" t="s">
        <v>111</v>
      </c>
      <c r="C23" s="2" t="s">
        <v>131</v>
      </c>
      <c r="D23" s="2" t="s">
        <v>8</v>
      </c>
      <c r="E23" s="2">
        <v>14</v>
      </c>
      <c r="F23" s="3">
        <v>72159</v>
      </c>
      <c r="G23" s="2" t="s">
        <v>13</v>
      </c>
      <c r="H23" s="2" t="s">
        <v>26</v>
      </c>
    </row>
    <row r="24" spans="1:8">
      <c r="A24" s="2">
        <v>23</v>
      </c>
      <c r="B24" s="2" t="s">
        <v>105</v>
      </c>
      <c r="C24" s="2" t="s">
        <v>134</v>
      </c>
      <c r="D24" s="2" t="s">
        <v>16</v>
      </c>
      <c r="E24" s="2">
        <v>18</v>
      </c>
      <c r="F24" s="3">
        <v>55875</v>
      </c>
      <c r="G24" s="2" t="s">
        <v>17</v>
      </c>
      <c r="H24" s="2" t="s">
        <v>18</v>
      </c>
    </row>
    <row r="25" spans="1:8">
      <c r="A25" s="2">
        <v>24</v>
      </c>
      <c r="B25" s="2" t="s">
        <v>112</v>
      </c>
      <c r="C25" s="2" t="s">
        <v>130</v>
      </c>
      <c r="D25" s="2" t="s">
        <v>16</v>
      </c>
      <c r="E25" s="2">
        <v>49</v>
      </c>
      <c r="F25" s="3">
        <v>40668</v>
      </c>
      <c r="G25" s="2" t="s">
        <v>20</v>
      </c>
      <c r="H25" s="2" t="s">
        <v>18</v>
      </c>
    </row>
    <row r="26" spans="1:8">
      <c r="A26" s="2">
        <v>25</v>
      </c>
      <c r="B26" s="2" t="s">
        <v>110</v>
      </c>
      <c r="C26" s="2" t="s">
        <v>134</v>
      </c>
      <c r="D26" s="2" t="s">
        <v>22</v>
      </c>
      <c r="E26" s="2">
        <v>46</v>
      </c>
      <c r="F26" s="3">
        <v>29660</v>
      </c>
      <c r="G26" s="2" t="s">
        <v>25</v>
      </c>
      <c r="H26" s="2" t="s">
        <v>10</v>
      </c>
    </row>
    <row r="27" spans="1:8">
      <c r="A27" s="2">
        <v>26</v>
      </c>
      <c r="B27" s="2" t="s">
        <v>114</v>
      </c>
      <c r="C27" s="2" t="s">
        <v>132</v>
      </c>
      <c r="D27" s="2" t="s">
        <v>8</v>
      </c>
      <c r="E27" s="2">
        <v>5</v>
      </c>
      <c r="F27" s="3">
        <v>40017</v>
      </c>
      <c r="G27" s="2" t="s">
        <v>13</v>
      </c>
      <c r="H27" s="2" t="s">
        <v>26</v>
      </c>
    </row>
    <row r="28" spans="1:8">
      <c r="A28" s="2">
        <v>27</v>
      </c>
      <c r="B28" s="2" t="s">
        <v>107</v>
      </c>
      <c r="C28" s="2" t="s">
        <v>133</v>
      </c>
      <c r="D28" s="2" t="s">
        <v>12</v>
      </c>
      <c r="E28" s="2">
        <v>37</v>
      </c>
      <c r="F28" s="3">
        <v>67150</v>
      </c>
      <c r="G28" s="2" t="s">
        <v>28</v>
      </c>
      <c r="H28" s="2" t="s">
        <v>23</v>
      </c>
    </row>
    <row r="29" spans="1:8">
      <c r="A29" s="2">
        <v>28</v>
      </c>
      <c r="B29" s="2" t="s">
        <v>113</v>
      </c>
      <c r="C29" s="2" t="s">
        <v>134</v>
      </c>
      <c r="D29" s="2" t="s">
        <v>16</v>
      </c>
      <c r="E29" s="2">
        <v>7</v>
      </c>
      <c r="F29" s="3">
        <v>60180</v>
      </c>
      <c r="G29" s="2" t="s">
        <v>28</v>
      </c>
      <c r="H29" s="2" t="s">
        <v>23</v>
      </c>
    </row>
    <row r="30" spans="1:8">
      <c r="A30" s="2">
        <v>29</v>
      </c>
      <c r="B30" s="2" t="s">
        <v>109</v>
      </c>
      <c r="C30" s="2" t="s">
        <v>131</v>
      </c>
      <c r="D30" s="2" t="s">
        <v>12</v>
      </c>
      <c r="E30" s="2">
        <v>35</v>
      </c>
      <c r="F30" s="3">
        <v>96396</v>
      </c>
      <c r="G30" s="2" t="s">
        <v>13</v>
      </c>
      <c r="H30" s="2" t="s">
        <v>14</v>
      </c>
    </row>
    <row r="31" spans="1:8">
      <c r="A31" s="2">
        <v>30</v>
      </c>
      <c r="B31" s="2" t="s">
        <v>105</v>
      </c>
      <c r="C31" s="2" t="s">
        <v>131</v>
      </c>
      <c r="D31" s="2" t="s">
        <v>12</v>
      </c>
      <c r="E31" s="2">
        <v>12</v>
      </c>
      <c r="F31" s="3">
        <v>96639</v>
      </c>
      <c r="G31" s="2" t="s">
        <v>17</v>
      </c>
      <c r="H31" s="2" t="s">
        <v>29</v>
      </c>
    </row>
    <row r="32" spans="1:8">
      <c r="A32" s="2">
        <v>31</v>
      </c>
      <c r="B32" s="2" t="s">
        <v>106</v>
      </c>
      <c r="C32" s="2" t="s">
        <v>133</v>
      </c>
      <c r="D32" s="2" t="s">
        <v>22</v>
      </c>
      <c r="E32" s="2">
        <v>24</v>
      </c>
      <c r="F32" s="3">
        <v>67390</v>
      </c>
      <c r="G32" s="2" t="s">
        <v>28</v>
      </c>
      <c r="H32" s="2" t="s">
        <v>29</v>
      </c>
    </row>
    <row r="33" spans="1:8">
      <c r="A33" s="2">
        <v>32</v>
      </c>
      <c r="B33" s="2" t="s">
        <v>107</v>
      </c>
      <c r="C33" s="2" t="s">
        <v>135</v>
      </c>
      <c r="D33" s="2" t="s">
        <v>22</v>
      </c>
      <c r="E33" s="2">
        <v>21</v>
      </c>
      <c r="F33" s="3">
        <v>34904</v>
      </c>
      <c r="G33" s="2" t="s">
        <v>13</v>
      </c>
      <c r="H33" s="2" t="s">
        <v>18</v>
      </c>
    </row>
    <row r="34" spans="1:8">
      <c r="A34" s="2">
        <v>33</v>
      </c>
      <c r="B34" s="2" t="s">
        <v>109</v>
      </c>
      <c r="C34" s="2" t="s">
        <v>129</v>
      </c>
      <c r="D34" s="2" t="s">
        <v>22</v>
      </c>
      <c r="E34" s="2">
        <v>13</v>
      </c>
      <c r="F34" s="3">
        <v>96628</v>
      </c>
      <c r="G34" s="2" t="s">
        <v>32</v>
      </c>
      <c r="H34" s="2" t="s">
        <v>18</v>
      </c>
    </row>
    <row r="35" spans="1:8">
      <c r="A35" s="2">
        <v>34</v>
      </c>
      <c r="B35" s="2" t="s">
        <v>112</v>
      </c>
      <c r="C35" s="2" t="s">
        <v>130</v>
      </c>
      <c r="D35" s="2" t="s">
        <v>8</v>
      </c>
      <c r="E35" s="2">
        <v>30</v>
      </c>
      <c r="F35" s="3">
        <v>75254</v>
      </c>
      <c r="G35" s="2" t="s">
        <v>13</v>
      </c>
      <c r="H35" s="2" t="s">
        <v>26</v>
      </c>
    </row>
    <row r="36" spans="1:8">
      <c r="A36" s="2">
        <v>35</v>
      </c>
      <c r="B36" s="2" t="s">
        <v>106</v>
      </c>
      <c r="C36" s="2" t="s">
        <v>133</v>
      </c>
      <c r="D36" s="2" t="s">
        <v>16</v>
      </c>
      <c r="E36" s="2">
        <v>8</v>
      </c>
      <c r="F36" s="3">
        <v>80934</v>
      </c>
      <c r="G36" s="2" t="s">
        <v>9</v>
      </c>
      <c r="H36" s="2" t="s">
        <v>10</v>
      </c>
    </row>
    <row r="37" spans="1:8">
      <c r="A37" s="2">
        <v>36</v>
      </c>
      <c r="B37" s="2" t="s">
        <v>108</v>
      </c>
      <c r="C37" s="2" t="s">
        <v>130</v>
      </c>
      <c r="D37" s="2" t="s">
        <v>16</v>
      </c>
      <c r="E37" s="2">
        <v>17</v>
      </c>
      <c r="F37" s="3">
        <v>65565</v>
      </c>
      <c r="G37" s="2" t="s">
        <v>25</v>
      </c>
      <c r="H37" s="2" t="s">
        <v>10</v>
      </c>
    </row>
    <row r="38" spans="1:8">
      <c r="A38" s="2">
        <v>37</v>
      </c>
      <c r="B38" s="2" t="s">
        <v>108</v>
      </c>
      <c r="C38" s="2" t="s">
        <v>131</v>
      </c>
      <c r="D38" s="2" t="s">
        <v>12</v>
      </c>
      <c r="E38" s="2">
        <v>43</v>
      </c>
      <c r="F38" s="3">
        <v>84273</v>
      </c>
      <c r="G38" s="2" t="s">
        <v>17</v>
      </c>
      <c r="H38" s="2" t="s">
        <v>14</v>
      </c>
    </row>
    <row r="39" spans="1:8">
      <c r="A39" s="2">
        <v>38</v>
      </c>
      <c r="B39" s="2" t="s">
        <v>105</v>
      </c>
      <c r="C39" s="2" t="s">
        <v>133</v>
      </c>
      <c r="D39" s="2" t="s">
        <v>22</v>
      </c>
      <c r="E39" s="2">
        <v>32</v>
      </c>
      <c r="F39" s="3">
        <v>37016</v>
      </c>
      <c r="G39" s="2" t="s">
        <v>9</v>
      </c>
      <c r="H39" s="2" t="s">
        <v>26</v>
      </c>
    </row>
    <row r="40" spans="1:8">
      <c r="A40" s="2">
        <v>39</v>
      </c>
      <c r="B40" s="2" t="s">
        <v>108</v>
      </c>
      <c r="C40" s="2" t="s">
        <v>133</v>
      </c>
      <c r="D40" s="2" t="s">
        <v>8</v>
      </c>
      <c r="E40" s="2">
        <v>34</v>
      </c>
      <c r="F40" s="3">
        <v>54005</v>
      </c>
      <c r="G40" s="2" t="s">
        <v>28</v>
      </c>
      <c r="H40" s="2" t="s">
        <v>29</v>
      </c>
    </row>
    <row r="41" spans="1:8">
      <c r="A41" s="2">
        <v>40</v>
      </c>
      <c r="B41" s="2" t="s">
        <v>106</v>
      </c>
      <c r="C41" s="2" t="s">
        <v>130</v>
      </c>
      <c r="D41" s="2" t="s">
        <v>16</v>
      </c>
      <c r="E41" s="2">
        <v>41</v>
      </c>
      <c r="F41" s="3">
        <v>86030</v>
      </c>
      <c r="G41" s="2" t="s">
        <v>28</v>
      </c>
      <c r="H41" s="2" t="s">
        <v>10</v>
      </c>
    </row>
    <row r="42" spans="1:8">
      <c r="A42" s="2">
        <v>41</v>
      </c>
      <c r="B42" s="2" t="s">
        <v>106</v>
      </c>
      <c r="C42" s="2" t="s">
        <v>131</v>
      </c>
      <c r="D42" s="2" t="s">
        <v>8</v>
      </c>
      <c r="E42" s="2">
        <v>21</v>
      </c>
      <c r="F42" s="3">
        <v>93030</v>
      </c>
      <c r="G42" s="2" t="s">
        <v>17</v>
      </c>
      <c r="H42" s="2" t="s">
        <v>29</v>
      </c>
    </row>
    <row r="43" spans="1:8">
      <c r="A43" s="2">
        <v>42</v>
      </c>
      <c r="B43" s="2" t="s">
        <v>114</v>
      </c>
      <c r="C43" s="2" t="s">
        <v>131</v>
      </c>
      <c r="D43" s="2" t="s">
        <v>22</v>
      </c>
      <c r="E43" s="2">
        <v>39</v>
      </c>
      <c r="F43" s="3">
        <v>52788</v>
      </c>
      <c r="G43" s="2" t="s">
        <v>13</v>
      </c>
      <c r="H43" s="2" t="s">
        <v>26</v>
      </c>
    </row>
    <row r="44" spans="1:8">
      <c r="A44" s="2">
        <v>43</v>
      </c>
      <c r="B44" s="2" t="s">
        <v>107</v>
      </c>
      <c r="C44" s="2" t="s">
        <v>130</v>
      </c>
      <c r="D44" s="2" t="s">
        <v>22</v>
      </c>
      <c r="E44" s="2">
        <v>25</v>
      </c>
      <c r="F44" s="3">
        <v>81201</v>
      </c>
      <c r="G44" s="2" t="s">
        <v>25</v>
      </c>
      <c r="H44" s="2" t="s">
        <v>10</v>
      </c>
    </row>
    <row r="45" spans="1:8">
      <c r="A45" s="2">
        <v>44</v>
      </c>
      <c r="B45" s="2" t="s">
        <v>113</v>
      </c>
      <c r="C45" s="2" t="s">
        <v>134</v>
      </c>
      <c r="D45" s="2" t="s">
        <v>16</v>
      </c>
      <c r="E45" s="2">
        <v>40</v>
      </c>
      <c r="F45" s="3">
        <v>83974</v>
      </c>
      <c r="G45" s="2" t="s">
        <v>20</v>
      </c>
      <c r="H45" s="2" t="s">
        <v>23</v>
      </c>
    </row>
    <row r="46" spans="1:8">
      <c r="A46" s="2">
        <v>45</v>
      </c>
      <c r="B46" s="2" t="s">
        <v>110</v>
      </c>
      <c r="C46" s="2" t="s">
        <v>133</v>
      </c>
      <c r="D46" s="2" t="s">
        <v>12</v>
      </c>
      <c r="E46" s="2">
        <v>26</v>
      </c>
      <c r="F46" s="3">
        <v>67158</v>
      </c>
      <c r="G46" s="2" t="s">
        <v>32</v>
      </c>
      <c r="H46" s="2" t="s">
        <v>18</v>
      </c>
    </row>
    <row r="47" spans="1:8">
      <c r="A47" s="2">
        <v>46</v>
      </c>
      <c r="B47" s="2" t="s">
        <v>111</v>
      </c>
      <c r="C47" s="2" t="s">
        <v>135</v>
      </c>
      <c r="D47" s="2" t="s">
        <v>12</v>
      </c>
      <c r="E47" s="2">
        <v>38</v>
      </c>
      <c r="F47" s="3">
        <v>28192</v>
      </c>
      <c r="G47" s="2" t="s">
        <v>9</v>
      </c>
      <c r="H47" s="2" t="s">
        <v>10</v>
      </c>
    </row>
    <row r="48" spans="1:8">
      <c r="A48" s="2">
        <v>47</v>
      </c>
      <c r="B48" s="2" t="s">
        <v>108</v>
      </c>
      <c r="C48" s="2" t="s">
        <v>134</v>
      </c>
      <c r="D48" s="2" t="s">
        <v>22</v>
      </c>
      <c r="E48" s="2">
        <v>8</v>
      </c>
      <c r="F48" s="3">
        <v>38766</v>
      </c>
      <c r="G48" s="2" t="s">
        <v>25</v>
      </c>
      <c r="H48" s="2" t="s">
        <v>10</v>
      </c>
    </row>
    <row r="49" spans="1:8">
      <c r="A49" s="2">
        <v>48</v>
      </c>
      <c r="B49" s="2" t="s">
        <v>105</v>
      </c>
      <c r="C49" s="2" t="s">
        <v>132</v>
      </c>
      <c r="D49" s="2" t="s">
        <v>22</v>
      </c>
      <c r="E49" s="2">
        <v>23</v>
      </c>
      <c r="F49" s="3">
        <v>93042</v>
      </c>
      <c r="G49" s="2" t="s">
        <v>20</v>
      </c>
      <c r="H49" s="2" t="s">
        <v>26</v>
      </c>
    </row>
    <row r="50" spans="1:8">
      <c r="A50" s="2">
        <v>49</v>
      </c>
      <c r="B50" s="2" t="s">
        <v>108</v>
      </c>
      <c r="C50" s="2" t="s">
        <v>132</v>
      </c>
      <c r="D50" s="2" t="s">
        <v>12</v>
      </c>
      <c r="E50" s="2">
        <v>23</v>
      </c>
      <c r="F50" s="3">
        <v>37039</v>
      </c>
      <c r="G50" s="2" t="s">
        <v>32</v>
      </c>
      <c r="H50" s="2" t="s">
        <v>14</v>
      </c>
    </row>
    <row r="51" spans="1:8">
      <c r="A51" s="2">
        <v>50</v>
      </c>
      <c r="B51" s="2" t="s">
        <v>111</v>
      </c>
      <c r="C51" s="2" t="s">
        <v>129</v>
      </c>
      <c r="D51" s="2" t="s">
        <v>22</v>
      </c>
      <c r="E51" s="2">
        <v>30</v>
      </c>
      <c r="F51" s="3">
        <v>75522</v>
      </c>
      <c r="G51" s="2" t="s">
        <v>13</v>
      </c>
      <c r="H51" s="2" t="s">
        <v>23</v>
      </c>
    </row>
    <row r="52" spans="1:8">
      <c r="A52" s="2">
        <v>51</v>
      </c>
      <c r="B52" s="2" t="s">
        <v>107</v>
      </c>
      <c r="C52" s="2" t="s">
        <v>131</v>
      </c>
      <c r="D52" s="2" t="s">
        <v>16</v>
      </c>
      <c r="E52" s="2">
        <v>40</v>
      </c>
      <c r="F52" s="3">
        <v>63907</v>
      </c>
      <c r="G52" s="2" t="s">
        <v>17</v>
      </c>
      <c r="H52" s="2" t="s">
        <v>18</v>
      </c>
    </row>
    <row r="53" spans="1:8">
      <c r="A53" s="2">
        <v>52</v>
      </c>
      <c r="B53" s="2" t="s">
        <v>114</v>
      </c>
      <c r="C53" s="2" t="s">
        <v>135</v>
      </c>
      <c r="D53" s="2" t="s">
        <v>16</v>
      </c>
      <c r="E53" s="2">
        <v>12</v>
      </c>
      <c r="F53" s="3">
        <v>30965</v>
      </c>
      <c r="G53" s="2" t="s">
        <v>38</v>
      </c>
      <c r="H53" s="2" t="s">
        <v>23</v>
      </c>
    </row>
    <row r="54" spans="1:8">
      <c r="A54" s="2">
        <v>53</v>
      </c>
      <c r="B54" s="2" t="s">
        <v>106</v>
      </c>
      <c r="C54" s="2" t="s">
        <v>131</v>
      </c>
      <c r="D54" s="2" t="s">
        <v>8</v>
      </c>
      <c r="E54" s="2">
        <v>44</v>
      </c>
      <c r="F54" s="3">
        <v>87144</v>
      </c>
      <c r="G54" s="2" t="s">
        <v>25</v>
      </c>
      <c r="H54" s="2" t="s">
        <v>26</v>
      </c>
    </row>
    <row r="55" spans="1:8">
      <c r="A55" s="2">
        <v>54</v>
      </c>
      <c r="B55" s="2" t="s">
        <v>114</v>
      </c>
      <c r="C55" s="2" t="s">
        <v>131</v>
      </c>
      <c r="D55" s="2" t="s">
        <v>12</v>
      </c>
      <c r="E55" s="2">
        <v>46</v>
      </c>
      <c r="F55" s="3">
        <v>65150</v>
      </c>
      <c r="G55" s="2" t="s">
        <v>13</v>
      </c>
      <c r="H55" s="2" t="s">
        <v>26</v>
      </c>
    </row>
    <row r="56" spans="1:8">
      <c r="A56" s="2">
        <v>55</v>
      </c>
      <c r="B56" s="2" t="s">
        <v>112</v>
      </c>
      <c r="C56" s="2" t="s">
        <v>133</v>
      </c>
      <c r="D56" s="2" t="s">
        <v>22</v>
      </c>
      <c r="E56" s="2">
        <v>20</v>
      </c>
      <c r="F56" s="3">
        <v>60773</v>
      </c>
      <c r="G56" s="2" t="s">
        <v>38</v>
      </c>
      <c r="H56" s="2" t="s">
        <v>18</v>
      </c>
    </row>
    <row r="57" spans="1:8">
      <c r="A57" s="2">
        <v>56</v>
      </c>
      <c r="B57" s="2" t="s">
        <v>108</v>
      </c>
      <c r="C57" s="2" t="s">
        <v>135</v>
      </c>
      <c r="D57" s="2" t="s">
        <v>8</v>
      </c>
      <c r="E57" s="2">
        <v>40</v>
      </c>
      <c r="F57" s="3">
        <v>83223</v>
      </c>
      <c r="G57" s="2" t="s">
        <v>20</v>
      </c>
      <c r="H57" s="2" t="s">
        <v>23</v>
      </c>
    </row>
    <row r="58" spans="1:8">
      <c r="A58" s="2">
        <v>57</v>
      </c>
      <c r="B58" s="2" t="s">
        <v>113</v>
      </c>
      <c r="C58" s="2" t="s">
        <v>132</v>
      </c>
      <c r="D58" s="2" t="s">
        <v>16</v>
      </c>
      <c r="E58" s="2">
        <v>38</v>
      </c>
      <c r="F58" s="3">
        <v>90033</v>
      </c>
      <c r="G58" s="2" t="s">
        <v>25</v>
      </c>
      <c r="H58" s="2" t="s">
        <v>23</v>
      </c>
    </row>
    <row r="59" spans="1:8">
      <c r="A59" s="2">
        <v>58</v>
      </c>
      <c r="B59" s="2" t="s">
        <v>112</v>
      </c>
      <c r="C59" s="2" t="s">
        <v>133</v>
      </c>
      <c r="D59" s="2" t="s">
        <v>12</v>
      </c>
      <c r="E59" s="2">
        <v>6</v>
      </c>
      <c r="F59" s="3">
        <v>29674</v>
      </c>
      <c r="G59" s="2" t="s">
        <v>9</v>
      </c>
      <c r="H59" s="2" t="s">
        <v>14</v>
      </c>
    </row>
    <row r="60" spans="1:8">
      <c r="A60" s="2">
        <v>59</v>
      </c>
      <c r="B60" s="2" t="s">
        <v>107</v>
      </c>
      <c r="C60" s="2" t="s">
        <v>135</v>
      </c>
      <c r="D60" s="2" t="s">
        <v>16</v>
      </c>
      <c r="E60" s="2">
        <v>44</v>
      </c>
      <c r="F60" s="3">
        <v>63119</v>
      </c>
      <c r="G60" s="2" t="s">
        <v>13</v>
      </c>
      <c r="H60" s="2" t="s">
        <v>29</v>
      </c>
    </row>
    <row r="61" spans="1:8">
      <c r="A61" s="2">
        <v>60</v>
      </c>
      <c r="B61" s="2" t="s">
        <v>108</v>
      </c>
      <c r="C61" s="2" t="s">
        <v>130</v>
      </c>
      <c r="D61" s="2" t="s">
        <v>22</v>
      </c>
      <c r="E61" s="2">
        <v>9</v>
      </c>
      <c r="F61" s="3">
        <v>46509</v>
      </c>
      <c r="G61" s="2" t="s">
        <v>20</v>
      </c>
      <c r="H61" s="2" t="s">
        <v>23</v>
      </c>
    </row>
    <row r="62" spans="1:8">
      <c r="A62" s="2">
        <v>61</v>
      </c>
      <c r="B62" s="2" t="s">
        <v>112</v>
      </c>
      <c r="C62" s="2" t="s">
        <v>134</v>
      </c>
      <c r="D62" s="2" t="s">
        <v>8</v>
      </c>
      <c r="E62" s="2">
        <v>21</v>
      </c>
      <c r="F62" s="3">
        <v>37152</v>
      </c>
      <c r="G62" s="2" t="s">
        <v>20</v>
      </c>
      <c r="H62" s="2" t="s">
        <v>26</v>
      </c>
    </row>
    <row r="63" spans="1:8">
      <c r="A63" s="2">
        <v>62</v>
      </c>
      <c r="B63" s="2" t="s">
        <v>108</v>
      </c>
      <c r="C63" s="2" t="s">
        <v>133</v>
      </c>
      <c r="D63" s="2" t="s">
        <v>22</v>
      </c>
      <c r="E63" s="2">
        <v>8</v>
      </c>
      <c r="F63" s="3">
        <v>93097</v>
      </c>
      <c r="G63" s="2" t="s">
        <v>28</v>
      </c>
      <c r="H63" s="2" t="s">
        <v>18</v>
      </c>
    </row>
    <row r="64" spans="1:8">
      <c r="A64" s="2">
        <v>63</v>
      </c>
      <c r="B64" s="2" t="s">
        <v>105</v>
      </c>
      <c r="C64" s="2" t="s">
        <v>131</v>
      </c>
      <c r="D64" s="2" t="s">
        <v>22</v>
      </c>
      <c r="E64" s="2">
        <v>16</v>
      </c>
      <c r="F64" s="3">
        <v>55208</v>
      </c>
      <c r="G64" s="2" t="s">
        <v>32</v>
      </c>
      <c r="H64" s="2" t="s">
        <v>18</v>
      </c>
    </row>
    <row r="65" spans="1:8">
      <c r="A65" s="2">
        <v>64</v>
      </c>
      <c r="B65" s="2" t="s">
        <v>107</v>
      </c>
      <c r="C65" s="2" t="s">
        <v>130</v>
      </c>
      <c r="D65" s="2" t="s">
        <v>12</v>
      </c>
      <c r="E65" s="2">
        <v>20</v>
      </c>
      <c r="F65" s="3">
        <v>70627</v>
      </c>
      <c r="G65" s="2" t="s">
        <v>17</v>
      </c>
      <c r="H65" s="2" t="s">
        <v>14</v>
      </c>
    </row>
    <row r="66" spans="1:8">
      <c r="A66" s="2">
        <v>65</v>
      </c>
      <c r="B66" s="2" t="s">
        <v>110</v>
      </c>
      <c r="C66" s="2" t="s">
        <v>134</v>
      </c>
      <c r="D66" s="2" t="s">
        <v>12</v>
      </c>
      <c r="E66" s="2">
        <v>8</v>
      </c>
      <c r="F66" s="3">
        <v>64098</v>
      </c>
      <c r="G66" s="2" t="s">
        <v>20</v>
      </c>
      <c r="H66" s="2" t="s">
        <v>29</v>
      </c>
    </row>
    <row r="67" spans="1:8">
      <c r="A67" s="2">
        <v>66</v>
      </c>
      <c r="B67" s="2" t="s">
        <v>106</v>
      </c>
      <c r="C67" s="2" t="s">
        <v>135</v>
      </c>
      <c r="D67" s="2" t="s">
        <v>22</v>
      </c>
      <c r="E67" s="2">
        <v>12</v>
      </c>
      <c r="F67" s="3">
        <v>58827</v>
      </c>
      <c r="G67" s="2" t="s">
        <v>38</v>
      </c>
      <c r="H67" s="2" t="s">
        <v>18</v>
      </c>
    </row>
    <row r="68" spans="1:8">
      <c r="A68" s="2">
        <v>67</v>
      </c>
      <c r="B68" s="2" t="s">
        <v>109</v>
      </c>
      <c r="C68" s="2" t="s">
        <v>133</v>
      </c>
      <c r="D68" s="2" t="s">
        <v>12</v>
      </c>
      <c r="E68" s="2">
        <v>24</v>
      </c>
      <c r="F68" s="3">
        <v>65852</v>
      </c>
      <c r="G68" s="2" t="s">
        <v>13</v>
      </c>
      <c r="H68" s="2" t="s">
        <v>14</v>
      </c>
    </row>
    <row r="69" spans="1:8">
      <c r="A69" s="2">
        <v>68</v>
      </c>
      <c r="B69" s="2" t="s">
        <v>106</v>
      </c>
      <c r="C69" s="2" t="s">
        <v>131</v>
      </c>
      <c r="D69" s="2" t="s">
        <v>8</v>
      </c>
      <c r="E69" s="2">
        <v>45</v>
      </c>
      <c r="F69" s="3">
        <v>61904</v>
      </c>
      <c r="G69" s="2" t="s">
        <v>13</v>
      </c>
      <c r="H69" s="2" t="s">
        <v>18</v>
      </c>
    </row>
    <row r="70" spans="1:8">
      <c r="A70" s="2">
        <v>69</v>
      </c>
      <c r="B70" s="2" t="s">
        <v>106</v>
      </c>
      <c r="C70" s="2" t="s">
        <v>129</v>
      </c>
      <c r="D70" s="2" t="s">
        <v>8</v>
      </c>
      <c r="E70" s="2">
        <v>10</v>
      </c>
      <c r="F70" s="3">
        <v>96255</v>
      </c>
      <c r="G70" s="2" t="s">
        <v>28</v>
      </c>
      <c r="H70" s="2" t="s">
        <v>10</v>
      </c>
    </row>
    <row r="71" spans="1:8">
      <c r="A71" s="2">
        <v>70</v>
      </c>
      <c r="B71" s="2" t="s">
        <v>112</v>
      </c>
      <c r="C71" s="2" t="s">
        <v>129</v>
      </c>
      <c r="D71" s="2" t="s">
        <v>22</v>
      </c>
      <c r="E71" s="2">
        <v>33</v>
      </c>
      <c r="F71" s="3">
        <v>82405</v>
      </c>
      <c r="G71" s="2" t="s">
        <v>38</v>
      </c>
      <c r="H71" s="2" t="s">
        <v>26</v>
      </c>
    </row>
    <row r="72" spans="1:8">
      <c r="A72" s="2">
        <v>71</v>
      </c>
      <c r="B72" s="2" t="s">
        <v>107</v>
      </c>
      <c r="C72" s="2" t="s">
        <v>132</v>
      </c>
      <c r="D72" s="2" t="s">
        <v>8</v>
      </c>
      <c r="E72" s="2">
        <v>25</v>
      </c>
      <c r="F72" s="3">
        <v>51773</v>
      </c>
      <c r="G72" s="2" t="s">
        <v>25</v>
      </c>
      <c r="H72" s="2" t="s">
        <v>23</v>
      </c>
    </row>
    <row r="73" spans="1:8">
      <c r="A73" s="2">
        <v>72</v>
      </c>
      <c r="B73" s="2" t="s">
        <v>108</v>
      </c>
      <c r="C73" s="2" t="s">
        <v>130</v>
      </c>
      <c r="D73" s="2" t="s">
        <v>22</v>
      </c>
      <c r="E73" s="2">
        <v>27</v>
      </c>
      <c r="F73" s="3">
        <v>60691</v>
      </c>
      <c r="G73" s="2" t="s">
        <v>9</v>
      </c>
      <c r="H73" s="2" t="s">
        <v>29</v>
      </c>
    </row>
    <row r="74" spans="1:8">
      <c r="A74" s="2">
        <v>73</v>
      </c>
      <c r="B74" s="2" t="s">
        <v>114</v>
      </c>
      <c r="C74" s="2" t="s">
        <v>133</v>
      </c>
      <c r="D74" s="2" t="s">
        <v>8</v>
      </c>
      <c r="E74" s="2">
        <v>39</v>
      </c>
      <c r="F74" s="3">
        <v>32869</v>
      </c>
      <c r="G74" s="2" t="s">
        <v>9</v>
      </c>
      <c r="H74" s="2" t="s">
        <v>23</v>
      </c>
    </row>
    <row r="75" spans="1:8">
      <c r="A75" s="2">
        <v>74</v>
      </c>
      <c r="B75" s="2" t="s">
        <v>109</v>
      </c>
      <c r="C75" s="2" t="s">
        <v>130</v>
      </c>
      <c r="D75" s="2" t="s">
        <v>16</v>
      </c>
      <c r="E75" s="2">
        <v>9</v>
      </c>
      <c r="F75" s="3">
        <v>28555</v>
      </c>
      <c r="G75" s="2" t="s">
        <v>38</v>
      </c>
      <c r="H75" s="2" t="s">
        <v>23</v>
      </c>
    </row>
    <row r="76" spans="1:8">
      <c r="A76" s="2">
        <v>75</v>
      </c>
      <c r="B76" s="2" t="s">
        <v>111</v>
      </c>
      <c r="C76" s="2" t="s">
        <v>135</v>
      </c>
      <c r="D76" s="2" t="s">
        <v>22</v>
      </c>
      <c r="E76" s="2">
        <v>37</v>
      </c>
      <c r="F76" s="3">
        <v>39519</v>
      </c>
      <c r="G76" s="2" t="s">
        <v>32</v>
      </c>
      <c r="H76" s="2" t="s">
        <v>10</v>
      </c>
    </row>
    <row r="77" spans="1:8">
      <c r="A77" s="2">
        <v>76</v>
      </c>
      <c r="B77" s="2" t="s">
        <v>112</v>
      </c>
      <c r="C77" s="2" t="s">
        <v>131</v>
      </c>
      <c r="D77" s="2" t="s">
        <v>8</v>
      </c>
      <c r="E77" s="2">
        <v>25</v>
      </c>
      <c r="F77" s="3">
        <v>84785</v>
      </c>
      <c r="G77" s="2" t="s">
        <v>28</v>
      </c>
      <c r="H77" s="2" t="s">
        <v>29</v>
      </c>
    </row>
    <row r="78" spans="1:8">
      <c r="A78" s="2">
        <v>77</v>
      </c>
      <c r="B78" s="2" t="s">
        <v>109</v>
      </c>
      <c r="C78" s="2" t="s">
        <v>129</v>
      </c>
      <c r="D78" s="2" t="s">
        <v>16</v>
      </c>
      <c r="E78" s="2">
        <v>28</v>
      </c>
      <c r="F78" s="3">
        <v>31027</v>
      </c>
      <c r="G78" s="2" t="s">
        <v>32</v>
      </c>
      <c r="H78" s="2" t="s">
        <v>23</v>
      </c>
    </row>
    <row r="79" spans="1:8">
      <c r="A79" s="2">
        <v>78</v>
      </c>
      <c r="B79" s="2" t="s">
        <v>110</v>
      </c>
      <c r="C79" s="2" t="s">
        <v>131</v>
      </c>
      <c r="D79" s="2" t="s">
        <v>22</v>
      </c>
      <c r="E79" s="2">
        <v>12</v>
      </c>
      <c r="F79" s="3">
        <v>79362</v>
      </c>
      <c r="G79" s="2" t="s">
        <v>38</v>
      </c>
      <c r="H79" s="2" t="s">
        <v>14</v>
      </c>
    </row>
    <row r="80" spans="1:8">
      <c r="A80" s="2">
        <v>79</v>
      </c>
      <c r="B80" s="2" t="s">
        <v>105</v>
      </c>
      <c r="C80" s="2" t="s">
        <v>130</v>
      </c>
      <c r="D80" s="2" t="s">
        <v>8</v>
      </c>
      <c r="E80" s="2">
        <v>32</v>
      </c>
      <c r="F80" s="3">
        <v>49083</v>
      </c>
      <c r="G80" s="2" t="s">
        <v>32</v>
      </c>
      <c r="H80" s="2" t="s">
        <v>18</v>
      </c>
    </row>
    <row r="81" spans="1:8">
      <c r="A81" s="2">
        <v>80</v>
      </c>
      <c r="B81" s="2" t="s">
        <v>107</v>
      </c>
      <c r="C81" s="2" t="s">
        <v>131</v>
      </c>
      <c r="D81" s="2" t="s">
        <v>8</v>
      </c>
      <c r="E81" s="2">
        <v>41</v>
      </c>
      <c r="F81" s="3">
        <v>66335</v>
      </c>
      <c r="G81" s="2" t="s">
        <v>25</v>
      </c>
      <c r="H81" s="2" t="s">
        <v>26</v>
      </c>
    </row>
    <row r="82" spans="1:8">
      <c r="A82" s="2">
        <v>81</v>
      </c>
      <c r="B82" s="2" t="s">
        <v>111</v>
      </c>
      <c r="C82" s="2" t="s">
        <v>132</v>
      </c>
      <c r="D82" s="2" t="s">
        <v>16</v>
      </c>
      <c r="E82" s="2">
        <v>35</v>
      </c>
      <c r="F82" s="3">
        <v>93382</v>
      </c>
      <c r="G82" s="2" t="s">
        <v>38</v>
      </c>
      <c r="H82" s="2" t="s">
        <v>18</v>
      </c>
    </row>
    <row r="83" spans="1:8">
      <c r="A83" s="2">
        <v>82</v>
      </c>
      <c r="B83" s="2" t="s">
        <v>112</v>
      </c>
      <c r="C83" s="2" t="s">
        <v>133</v>
      </c>
      <c r="D83" s="2" t="s">
        <v>12</v>
      </c>
      <c r="E83" s="2">
        <v>45</v>
      </c>
      <c r="F83" s="3">
        <v>52078</v>
      </c>
      <c r="G83" s="2" t="s">
        <v>17</v>
      </c>
      <c r="H83" s="2" t="s">
        <v>26</v>
      </c>
    </row>
    <row r="84" spans="1:8">
      <c r="A84" s="2">
        <v>83</v>
      </c>
      <c r="B84" s="2" t="s">
        <v>106</v>
      </c>
      <c r="C84" s="2" t="s">
        <v>129</v>
      </c>
      <c r="D84" s="2" t="s">
        <v>12</v>
      </c>
      <c r="E84" s="2">
        <v>42</v>
      </c>
      <c r="F84" s="3">
        <v>65316</v>
      </c>
      <c r="G84" s="2" t="s">
        <v>32</v>
      </c>
      <c r="H84" s="2" t="s">
        <v>14</v>
      </c>
    </row>
    <row r="85" spans="1:8">
      <c r="A85" s="2">
        <v>84</v>
      </c>
      <c r="B85" s="2" t="s">
        <v>113</v>
      </c>
      <c r="C85" s="2" t="s">
        <v>130</v>
      </c>
      <c r="D85" s="2" t="s">
        <v>16</v>
      </c>
      <c r="E85" s="2">
        <v>12</v>
      </c>
      <c r="F85" s="3">
        <v>45607</v>
      </c>
      <c r="G85" s="2" t="s">
        <v>38</v>
      </c>
      <c r="H85" s="2" t="s">
        <v>18</v>
      </c>
    </row>
    <row r="86" spans="1:8">
      <c r="A86" s="2">
        <v>85</v>
      </c>
      <c r="B86" s="2" t="s">
        <v>112</v>
      </c>
      <c r="C86" s="2" t="s">
        <v>130</v>
      </c>
      <c r="D86" s="2" t="s">
        <v>16</v>
      </c>
      <c r="E86" s="2">
        <v>36</v>
      </c>
      <c r="F86" s="3">
        <v>35768</v>
      </c>
      <c r="G86" s="2" t="s">
        <v>25</v>
      </c>
      <c r="H86" s="2" t="s">
        <v>10</v>
      </c>
    </row>
    <row r="87" spans="1:8">
      <c r="A87" s="2">
        <v>86</v>
      </c>
      <c r="B87" s="2" t="s">
        <v>113</v>
      </c>
      <c r="C87" s="2" t="s">
        <v>131</v>
      </c>
      <c r="D87" s="2" t="s">
        <v>22</v>
      </c>
      <c r="E87" s="2">
        <v>11</v>
      </c>
      <c r="F87" s="3">
        <v>42146</v>
      </c>
      <c r="G87" s="2" t="s">
        <v>20</v>
      </c>
      <c r="H87" s="2" t="s">
        <v>14</v>
      </c>
    </row>
    <row r="88" spans="1:8">
      <c r="A88" s="2">
        <v>87</v>
      </c>
      <c r="B88" s="2" t="s">
        <v>106</v>
      </c>
      <c r="C88" s="2" t="s">
        <v>133</v>
      </c>
      <c r="D88" s="2" t="s">
        <v>12</v>
      </c>
      <c r="E88" s="2">
        <v>32</v>
      </c>
      <c r="F88" s="3">
        <v>37839</v>
      </c>
      <c r="G88" s="2" t="s">
        <v>28</v>
      </c>
      <c r="H88" s="2" t="s">
        <v>10</v>
      </c>
    </row>
    <row r="89" spans="1:8">
      <c r="A89" s="2">
        <v>88</v>
      </c>
      <c r="B89" s="2" t="s">
        <v>105</v>
      </c>
      <c r="C89" s="2" t="s">
        <v>131</v>
      </c>
      <c r="D89" s="2" t="s">
        <v>22</v>
      </c>
      <c r="E89" s="2">
        <v>19</v>
      </c>
      <c r="F89" s="3">
        <v>51734</v>
      </c>
      <c r="G89" s="2" t="s">
        <v>13</v>
      </c>
      <c r="H89" s="2" t="s">
        <v>29</v>
      </c>
    </row>
    <row r="90" spans="1:8">
      <c r="A90" s="2">
        <v>89</v>
      </c>
      <c r="B90" s="2" t="s">
        <v>107</v>
      </c>
      <c r="C90" s="2" t="s">
        <v>132</v>
      </c>
      <c r="D90" s="2" t="s">
        <v>8</v>
      </c>
      <c r="E90" s="2">
        <v>9</v>
      </c>
      <c r="F90" s="3">
        <v>67678</v>
      </c>
      <c r="G90" s="2" t="s">
        <v>17</v>
      </c>
      <c r="H90" s="2" t="s">
        <v>18</v>
      </c>
    </row>
    <row r="91" spans="1:8">
      <c r="A91" s="2">
        <v>90</v>
      </c>
      <c r="B91" s="2" t="s">
        <v>108</v>
      </c>
      <c r="C91" s="2" t="s">
        <v>135</v>
      </c>
      <c r="D91" s="2" t="s">
        <v>16</v>
      </c>
      <c r="E91" s="2">
        <v>12</v>
      </c>
      <c r="F91" s="3">
        <v>59718</v>
      </c>
      <c r="G91" s="2" t="s">
        <v>13</v>
      </c>
      <c r="H91" s="2" t="s">
        <v>10</v>
      </c>
    </row>
    <row r="92" spans="1:8">
      <c r="A92" s="2">
        <v>91</v>
      </c>
      <c r="B92" s="2" t="s">
        <v>112</v>
      </c>
      <c r="C92" s="2" t="s">
        <v>132</v>
      </c>
      <c r="D92" s="2" t="s">
        <v>22</v>
      </c>
      <c r="E92" s="2">
        <v>21</v>
      </c>
      <c r="F92" s="3">
        <v>62827</v>
      </c>
      <c r="G92" s="2" t="s">
        <v>13</v>
      </c>
      <c r="H92" s="2" t="s">
        <v>18</v>
      </c>
    </row>
    <row r="93" spans="1:8">
      <c r="A93" s="2">
        <v>92</v>
      </c>
      <c r="B93" s="2" t="s">
        <v>114</v>
      </c>
      <c r="C93" s="2" t="s">
        <v>135</v>
      </c>
      <c r="D93" s="2" t="s">
        <v>16</v>
      </c>
      <c r="E93" s="2">
        <v>29</v>
      </c>
      <c r="F93" s="3">
        <v>36230</v>
      </c>
      <c r="G93" s="2" t="s">
        <v>32</v>
      </c>
      <c r="H93" s="2" t="s">
        <v>29</v>
      </c>
    </row>
    <row r="94" spans="1:8">
      <c r="A94" s="2">
        <v>93</v>
      </c>
      <c r="B94" s="2" t="s">
        <v>106</v>
      </c>
      <c r="C94" s="2" t="s">
        <v>134</v>
      </c>
      <c r="D94" s="2" t="s">
        <v>22</v>
      </c>
      <c r="E94" s="2">
        <v>40</v>
      </c>
      <c r="F94" s="3">
        <v>56668</v>
      </c>
      <c r="G94" s="2" t="s">
        <v>38</v>
      </c>
      <c r="H94" s="2" t="s">
        <v>23</v>
      </c>
    </row>
    <row r="95" spans="1:8">
      <c r="A95" s="2">
        <v>94</v>
      </c>
      <c r="B95" s="2" t="s">
        <v>112</v>
      </c>
      <c r="C95" s="2" t="s">
        <v>130</v>
      </c>
      <c r="D95" s="2" t="s">
        <v>8</v>
      </c>
      <c r="E95" s="2">
        <v>4</v>
      </c>
      <c r="F95" s="3">
        <v>25173</v>
      </c>
      <c r="G95" s="2" t="s">
        <v>20</v>
      </c>
      <c r="H95" s="2" t="s">
        <v>18</v>
      </c>
    </row>
    <row r="96" spans="1:8">
      <c r="A96" s="2">
        <v>95</v>
      </c>
      <c r="B96" s="2" t="s">
        <v>110</v>
      </c>
      <c r="C96" s="2" t="s">
        <v>130</v>
      </c>
      <c r="D96" s="2" t="s">
        <v>8</v>
      </c>
      <c r="E96" s="2">
        <v>23</v>
      </c>
      <c r="F96" s="3">
        <v>28990</v>
      </c>
      <c r="G96" s="2" t="s">
        <v>20</v>
      </c>
      <c r="H96" s="2" t="s">
        <v>29</v>
      </c>
    </row>
    <row r="97" spans="1:8">
      <c r="A97" s="2">
        <v>96</v>
      </c>
      <c r="B97" s="2" t="s">
        <v>105</v>
      </c>
      <c r="C97" s="2" t="s">
        <v>129</v>
      </c>
      <c r="D97" s="2" t="s">
        <v>12</v>
      </c>
      <c r="E97" s="2">
        <v>1</v>
      </c>
      <c r="F97" s="3">
        <v>26440</v>
      </c>
      <c r="G97" s="2" t="s">
        <v>28</v>
      </c>
      <c r="H97" s="2" t="s">
        <v>14</v>
      </c>
    </row>
    <row r="98" spans="1:8">
      <c r="A98" s="2">
        <v>97</v>
      </c>
      <c r="B98" s="2" t="s">
        <v>110</v>
      </c>
      <c r="C98" s="2" t="s">
        <v>134</v>
      </c>
      <c r="D98" s="2" t="s">
        <v>12</v>
      </c>
      <c r="E98" s="2">
        <v>32</v>
      </c>
      <c r="F98" s="3">
        <v>76505</v>
      </c>
      <c r="G98" s="2" t="s">
        <v>17</v>
      </c>
      <c r="H98" s="2" t="s">
        <v>18</v>
      </c>
    </row>
    <row r="99" spans="1:8">
      <c r="A99" s="2">
        <v>98</v>
      </c>
      <c r="B99" s="2" t="s">
        <v>109</v>
      </c>
      <c r="C99" s="2" t="s">
        <v>130</v>
      </c>
      <c r="D99" s="2" t="s">
        <v>8</v>
      </c>
      <c r="E99" s="2">
        <v>9</v>
      </c>
      <c r="F99" s="3">
        <v>86067</v>
      </c>
      <c r="G99" s="2" t="s">
        <v>17</v>
      </c>
      <c r="H99" s="2" t="s">
        <v>14</v>
      </c>
    </row>
    <row r="100" spans="1:8">
      <c r="A100" s="2">
        <v>99</v>
      </c>
      <c r="B100" s="2" t="s">
        <v>107</v>
      </c>
      <c r="C100" s="2" t="s">
        <v>135</v>
      </c>
      <c r="D100" s="2" t="s">
        <v>22</v>
      </c>
      <c r="E100" s="2">
        <v>13</v>
      </c>
      <c r="F100" s="3">
        <v>40674</v>
      </c>
      <c r="G100" s="2" t="s">
        <v>28</v>
      </c>
      <c r="H100" s="2" t="s">
        <v>29</v>
      </c>
    </row>
    <row r="101" spans="1:8">
      <c r="A101" s="2">
        <v>100</v>
      </c>
      <c r="B101" s="2" t="s">
        <v>109</v>
      </c>
      <c r="C101" s="2" t="s">
        <v>133</v>
      </c>
      <c r="D101" s="2" t="s">
        <v>16</v>
      </c>
      <c r="E101" s="2">
        <v>25</v>
      </c>
      <c r="F101" s="3">
        <v>82750</v>
      </c>
      <c r="G101" s="2" t="s">
        <v>32</v>
      </c>
      <c r="H101" s="2" t="s">
        <v>14</v>
      </c>
    </row>
    <row r="102" spans="1:8">
      <c r="A102" s="2">
        <v>101</v>
      </c>
      <c r="B102" s="2" t="s">
        <v>112</v>
      </c>
      <c r="C102" s="2" t="s">
        <v>135</v>
      </c>
      <c r="D102" s="2" t="s">
        <v>8</v>
      </c>
      <c r="E102" s="2">
        <v>36</v>
      </c>
      <c r="F102" s="3">
        <v>62409</v>
      </c>
      <c r="G102" s="2" t="s">
        <v>32</v>
      </c>
      <c r="H102" s="2" t="s">
        <v>10</v>
      </c>
    </row>
    <row r="103" spans="1:8">
      <c r="A103" s="2">
        <v>102</v>
      </c>
      <c r="B103" s="2" t="s">
        <v>111</v>
      </c>
      <c r="C103" s="2" t="s">
        <v>131</v>
      </c>
      <c r="D103" s="2" t="s">
        <v>8</v>
      </c>
      <c r="E103" s="2">
        <v>33</v>
      </c>
      <c r="F103" s="3">
        <v>61410</v>
      </c>
      <c r="G103" s="2" t="s">
        <v>9</v>
      </c>
      <c r="H103" s="2" t="s">
        <v>23</v>
      </c>
    </row>
    <row r="104" spans="1:8">
      <c r="A104" s="2">
        <v>103</v>
      </c>
      <c r="B104" s="2" t="s">
        <v>111</v>
      </c>
      <c r="C104" s="2" t="s">
        <v>130</v>
      </c>
      <c r="D104" s="2" t="s">
        <v>22</v>
      </c>
      <c r="E104" s="2">
        <v>42</v>
      </c>
      <c r="F104" s="3">
        <v>64707</v>
      </c>
      <c r="G104" s="2" t="s">
        <v>13</v>
      </c>
      <c r="H104" s="2" t="s">
        <v>14</v>
      </c>
    </row>
    <row r="105" spans="1:8">
      <c r="A105" s="2">
        <v>104</v>
      </c>
      <c r="B105" s="2" t="s">
        <v>107</v>
      </c>
      <c r="C105" s="2" t="s">
        <v>130</v>
      </c>
      <c r="D105" s="2" t="s">
        <v>8</v>
      </c>
      <c r="E105" s="2">
        <v>32</v>
      </c>
      <c r="F105" s="3">
        <v>80119</v>
      </c>
      <c r="G105" s="2" t="s">
        <v>38</v>
      </c>
      <c r="H105" s="2" t="s">
        <v>10</v>
      </c>
    </row>
    <row r="106" spans="1:8">
      <c r="A106" s="2">
        <v>105</v>
      </c>
      <c r="B106" s="2" t="s">
        <v>114</v>
      </c>
      <c r="C106" s="2" t="s">
        <v>131</v>
      </c>
      <c r="D106" s="2" t="s">
        <v>8</v>
      </c>
      <c r="E106" s="2">
        <v>27</v>
      </c>
      <c r="F106" s="3">
        <v>58807</v>
      </c>
      <c r="G106" s="2" t="s">
        <v>28</v>
      </c>
      <c r="H106" s="2" t="s">
        <v>23</v>
      </c>
    </row>
    <row r="107" spans="1:8">
      <c r="A107" s="2">
        <v>106</v>
      </c>
      <c r="B107" s="2" t="s">
        <v>105</v>
      </c>
      <c r="C107" s="2" t="s">
        <v>135</v>
      </c>
      <c r="D107" s="2" t="s">
        <v>22</v>
      </c>
      <c r="E107" s="2">
        <v>44</v>
      </c>
      <c r="F107" s="3">
        <v>58282</v>
      </c>
      <c r="G107" s="2" t="s">
        <v>25</v>
      </c>
      <c r="H107" s="2" t="s">
        <v>29</v>
      </c>
    </row>
    <row r="108" spans="1:8">
      <c r="A108" s="2">
        <v>107</v>
      </c>
      <c r="B108" s="2" t="s">
        <v>114</v>
      </c>
      <c r="C108" s="2" t="s">
        <v>133</v>
      </c>
      <c r="D108" s="2" t="s">
        <v>8</v>
      </c>
      <c r="E108" s="2">
        <v>32</v>
      </c>
      <c r="F108" s="3">
        <v>87144</v>
      </c>
      <c r="G108" s="2" t="s">
        <v>13</v>
      </c>
      <c r="H108" s="2" t="s">
        <v>29</v>
      </c>
    </row>
    <row r="109" spans="1:8">
      <c r="A109" s="2">
        <v>108</v>
      </c>
      <c r="B109" s="2" t="s">
        <v>105</v>
      </c>
      <c r="C109" s="2" t="s">
        <v>134</v>
      </c>
      <c r="D109" s="2" t="s">
        <v>12</v>
      </c>
      <c r="E109" s="2">
        <v>27</v>
      </c>
      <c r="F109" s="3">
        <v>65200</v>
      </c>
      <c r="G109" s="2" t="s">
        <v>20</v>
      </c>
      <c r="H109" s="2" t="s">
        <v>18</v>
      </c>
    </row>
    <row r="110" spans="1:8">
      <c r="A110" s="2">
        <v>109</v>
      </c>
      <c r="B110" s="2" t="s">
        <v>106</v>
      </c>
      <c r="C110" s="2" t="s">
        <v>130</v>
      </c>
      <c r="D110" s="2" t="s">
        <v>12</v>
      </c>
      <c r="E110" s="2">
        <v>46</v>
      </c>
      <c r="F110" s="3">
        <v>63043</v>
      </c>
      <c r="G110" s="2" t="s">
        <v>20</v>
      </c>
      <c r="H110" s="2" t="s">
        <v>10</v>
      </c>
    </row>
    <row r="111" spans="1:8">
      <c r="A111" s="2">
        <v>110</v>
      </c>
      <c r="B111" s="2" t="s">
        <v>112</v>
      </c>
      <c r="C111" s="2" t="s">
        <v>129</v>
      </c>
      <c r="D111" s="2" t="s">
        <v>12</v>
      </c>
      <c r="E111" s="2">
        <v>29</v>
      </c>
      <c r="F111" s="3">
        <v>50521</v>
      </c>
      <c r="G111" s="2" t="s">
        <v>28</v>
      </c>
      <c r="H111" s="2" t="s">
        <v>26</v>
      </c>
    </row>
    <row r="112" spans="1:8">
      <c r="A112" s="2">
        <v>111</v>
      </c>
      <c r="B112" s="2" t="s">
        <v>109</v>
      </c>
      <c r="C112" s="2" t="s">
        <v>135</v>
      </c>
      <c r="D112" s="2" t="s">
        <v>12</v>
      </c>
      <c r="E112" s="2">
        <v>32</v>
      </c>
      <c r="F112" s="3">
        <v>40846</v>
      </c>
      <c r="G112" s="2" t="s">
        <v>17</v>
      </c>
      <c r="H112" s="2" t="s">
        <v>23</v>
      </c>
    </row>
    <row r="113" spans="1:8">
      <c r="A113" s="2">
        <v>112</v>
      </c>
      <c r="B113" s="2" t="s">
        <v>111</v>
      </c>
      <c r="C113" s="2" t="s">
        <v>135</v>
      </c>
      <c r="D113" s="2" t="s">
        <v>8</v>
      </c>
      <c r="E113" s="2">
        <v>11</v>
      </c>
      <c r="F113" s="3">
        <v>34294</v>
      </c>
      <c r="G113" s="2" t="s">
        <v>20</v>
      </c>
      <c r="H113" s="2" t="s">
        <v>18</v>
      </c>
    </row>
    <row r="114" spans="1:8">
      <c r="A114" s="2">
        <v>113</v>
      </c>
      <c r="B114" s="2" t="s">
        <v>110</v>
      </c>
      <c r="C114" s="2" t="s">
        <v>129</v>
      </c>
      <c r="D114" s="2" t="s">
        <v>16</v>
      </c>
      <c r="E114" s="2">
        <v>6</v>
      </c>
      <c r="F114" s="3">
        <v>64172</v>
      </c>
      <c r="G114" s="2" t="s">
        <v>28</v>
      </c>
      <c r="H114" s="2" t="s">
        <v>18</v>
      </c>
    </row>
    <row r="115" spans="1:8">
      <c r="A115" s="2">
        <v>114</v>
      </c>
      <c r="B115" s="2" t="s">
        <v>108</v>
      </c>
      <c r="C115" s="2" t="s">
        <v>131</v>
      </c>
      <c r="D115" s="2" t="s">
        <v>12</v>
      </c>
      <c r="E115" s="2">
        <v>37</v>
      </c>
      <c r="F115" s="3">
        <v>71689</v>
      </c>
      <c r="G115" s="2" t="s">
        <v>28</v>
      </c>
      <c r="H115" s="2" t="s">
        <v>29</v>
      </c>
    </row>
    <row r="116" spans="1:8">
      <c r="A116" s="2">
        <v>115</v>
      </c>
      <c r="B116" s="2" t="s">
        <v>113</v>
      </c>
      <c r="C116" s="2" t="s">
        <v>135</v>
      </c>
      <c r="D116" s="2" t="s">
        <v>12</v>
      </c>
      <c r="E116" s="2">
        <v>2</v>
      </c>
      <c r="F116" s="3">
        <v>63110</v>
      </c>
      <c r="G116" s="2" t="s">
        <v>9</v>
      </c>
      <c r="H116" s="2" t="s">
        <v>14</v>
      </c>
    </row>
    <row r="117" spans="1:8">
      <c r="A117" s="2">
        <v>116</v>
      </c>
      <c r="B117" s="2" t="s">
        <v>108</v>
      </c>
      <c r="C117" s="2" t="s">
        <v>129</v>
      </c>
      <c r="D117" s="2" t="s">
        <v>8</v>
      </c>
      <c r="E117" s="2">
        <v>49</v>
      </c>
      <c r="F117" s="3">
        <v>66332</v>
      </c>
      <c r="G117" s="2" t="s">
        <v>13</v>
      </c>
      <c r="H117" s="2" t="s">
        <v>23</v>
      </c>
    </row>
    <row r="118" spans="1:8">
      <c r="A118" s="2">
        <v>117</v>
      </c>
      <c r="B118" s="2" t="s">
        <v>109</v>
      </c>
      <c r="C118" s="2" t="s">
        <v>129</v>
      </c>
      <c r="D118" s="2" t="s">
        <v>8</v>
      </c>
      <c r="E118" s="2">
        <v>15</v>
      </c>
      <c r="F118" s="3">
        <v>81488</v>
      </c>
      <c r="G118" s="2" t="s">
        <v>9</v>
      </c>
      <c r="H118" s="2" t="s">
        <v>26</v>
      </c>
    </row>
    <row r="119" spans="1:8">
      <c r="A119" s="2">
        <v>118</v>
      </c>
      <c r="B119" s="2" t="s">
        <v>109</v>
      </c>
      <c r="C119" s="2" t="s">
        <v>129</v>
      </c>
      <c r="D119" s="2" t="s">
        <v>22</v>
      </c>
      <c r="E119" s="2">
        <v>19</v>
      </c>
      <c r="F119" s="3">
        <v>97032</v>
      </c>
      <c r="G119" s="2" t="s">
        <v>32</v>
      </c>
      <c r="H119" s="2" t="s">
        <v>29</v>
      </c>
    </row>
    <row r="120" spans="1:8">
      <c r="A120" s="2">
        <v>119</v>
      </c>
      <c r="B120" s="2" t="s">
        <v>105</v>
      </c>
      <c r="C120" s="2" t="s">
        <v>133</v>
      </c>
      <c r="D120" s="2" t="s">
        <v>12</v>
      </c>
      <c r="E120" s="2">
        <v>3</v>
      </c>
      <c r="F120" s="3">
        <v>60843</v>
      </c>
      <c r="G120" s="2" t="s">
        <v>17</v>
      </c>
      <c r="H120" s="2" t="s">
        <v>29</v>
      </c>
    </row>
    <row r="121" spans="1:8">
      <c r="A121" s="2">
        <v>120</v>
      </c>
      <c r="B121" s="2" t="s">
        <v>114</v>
      </c>
      <c r="C121" s="2" t="s">
        <v>134</v>
      </c>
      <c r="D121" s="2" t="s">
        <v>22</v>
      </c>
      <c r="E121" s="2">
        <v>18</v>
      </c>
      <c r="F121" s="3">
        <v>87914</v>
      </c>
      <c r="G121" s="2" t="s">
        <v>9</v>
      </c>
      <c r="H121" s="2" t="s">
        <v>26</v>
      </c>
    </row>
    <row r="122" spans="1:8">
      <c r="A122" s="2">
        <v>121</v>
      </c>
      <c r="B122" s="2" t="s">
        <v>108</v>
      </c>
      <c r="C122" s="2" t="s">
        <v>134</v>
      </c>
      <c r="D122" s="2" t="s">
        <v>12</v>
      </c>
      <c r="E122" s="2">
        <v>15</v>
      </c>
      <c r="F122" s="3">
        <v>84063</v>
      </c>
      <c r="G122" s="2" t="s">
        <v>9</v>
      </c>
      <c r="H122" s="2" t="s">
        <v>14</v>
      </c>
    </row>
    <row r="123" spans="1:8">
      <c r="A123" s="2">
        <v>122</v>
      </c>
      <c r="B123" s="2" t="s">
        <v>105</v>
      </c>
      <c r="C123" s="2" t="s">
        <v>132</v>
      </c>
      <c r="D123" s="2" t="s">
        <v>16</v>
      </c>
      <c r="E123" s="2">
        <v>35</v>
      </c>
      <c r="F123" s="3">
        <v>58054</v>
      </c>
      <c r="G123" s="2" t="s">
        <v>38</v>
      </c>
      <c r="H123" s="2" t="s">
        <v>10</v>
      </c>
    </row>
    <row r="124" spans="1:8">
      <c r="A124" s="2">
        <v>123</v>
      </c>
      <c r="B124" s="2" t="s">
        <v>105</v>
      </c>
      <c r="C124" s="2" t="s">
        <v>133</v>
      </c>
      <c r="D124" s="2" t="s">
        <v>8</v>
      </c>
      <c r="E124" s="2">
        <v>19</v>
      </c>
      <c r="F124" s="3">
        <v>54524</v>
      </c>
      <c r="G124" s="2" t="s">
        <v>9</v>
      </c>
      <c r="H124" s="2" t="s">
        <v>10</v>
      </c>
    </row>
    <row r="125" spans="1:8">
      <c r="A125" s="2">
        <v>124</v>
      </c>
      <c r="B125" s="2" t="s">
        <v>114</v>
      </c>
      <c r="C125" s="2" t="s">
        <v>132</v>
      </c>
      <c r="D125" s="2" t="s">
        <v>8</v>
      </c>
      <c r="E125" s="2">
        <v>11</v>
      </c>
      <c r="F125" s="3">
        <v>44167</v>
      </c>
      <c r="G125" s="2" t="s">
        <v>20</v>
      </c>
      <c r="H125" s="2" t="s">
        <v>26</v>
      </c>
    </row>
    <row r="126" spans="1:8">
      <c r="A126" s="2">
        <v>125</v>
      </c>
      <c r="B126" s="2" t="s">
        <v>110</v>
      </c>
      <c r="C126" s="2" t="s">
        <v>130</v>
      </c>
      <c r="D126" s="2" t="s">
        <v>22</v>
      </c>
      <c r="E126" s="2">
        <v>50</v>
      </c>
      <c r="F126" s="3">
        <v>71582</v>
      </c>
      <c r="G126" s="2" t="s">
        <v>28</v>
      </c>
      <c r="H126" s="2" t="s">
        <v>23</v>
      </c>
    </row>
    <row r="127" spans="1:8">
      <c r="A127" s="2">
        <v>126</v>
      </c>
      <c r="B127" s="2" t="s">
        <v>111</v>
      </c>
      <c r="C127" s="2" t="s">
        <v>131</v>
      </c>
      <c r="D127" s="2" t="s">
        <v>22</v>
      </c>
      <c r="E127" s="2">
        <v>30</v>
      </c>
      <c r="F127" s="3">
        <v>33399</v>
      </c>
      <c r="G127" s="2" t="s">
        <v>20</v>
      </c>
      <c r="H127" s="2" t="s">
        <v>14</v>
      </c>
    </row>
    <row r="128" spans="1:8">
      <c r="A128" s="2">
        <v>127</v>
      </c>
      <c r="B128" s="2" t="s">
        <v>107</v>
      </c>
      <c r="C128" s="2" t="s">
        <v>134</v>
      </c>
      <c r="D128" s="2" t="s">
        <v>8</v>
      </c>
      <c r="E128" s="2">
        <v>37</v>
      </c>
      <c r="F128" s="3">
        <v>31121</v>
      </c>
      <c r="G128" s="2" t="s">
        <v>13</v>
      </c>
      <c r="H128" s="2" t="s">
        <v>14</v>
      </c>
    </row>
    <row r="129" spans="1:8">
      <c r="A129" s="2">
        <v>128</v>
      </c>
      <c r="B129" s="2" t="s">
        <v>111</v>
      </c>
      <c r="C129" s="2" t="s">
        <v>134</v>
      </c>
      <c r="D129" s="2" t="s">
        <v>8</v>
      </c>
      <c r="E129" s="2">
        <v>48</v>
      </c>
      <c r="F129" s="3">
        <v>34404</v>
      </c>
      <c r="G129" s="2" t="s">
        <v>32</v>
      </c>
      <c r="H129" s="2" t="s">
        <v>18</v>
      </c>
    </row>
    <row r="130" spans="1:8">
      <c r="A130" s="2">
        <v>129</v>
      </c>
      <c r="B130" s="2" t="s">
        <v>113</v>
      </c>
      <c r="C130" s="2" t="s">
        <v>134</v>
      </c>
      <c r="D130" s="2" t="s">
        <v>8</v>
      </c>
      <c r="E130" s="2">
        <v>50</v>
      </c>
      <c r="F130" s="3">
        <v>58260</v>
      </c>
      <c r="G130" s="2" t="s">
        <v>32</v>
      </c>
      <c r="H130" s="2" t="s">
        <v>14</v>
      </c>
    </row>
    <row r="131" spans="1:8">
      <c r="A131" s="2">
        <v>130</v>
      </c>
      <c r="B131" s="2" t="s">
        <v>108</v>
      </c>
      <c r="C131" s="2" t="s">
        <v>135</v>
      </c>
      <c r="D131" s="2" t="s">
        <v>12</v>
      </c>
      <c r="E131" s="2">
        <v>50</v>
      </c>
      <c r="F131" s="3">
        <v>37098</v>
      </c>
      <c r="G131" s="2" t="s">
        <v>17</v>
      </c>
      <c r="H131" s="2" t="s">
        <v>26</v>
      </c>
    </row>
    <row r="132" spans="1:8">
      <c r="A132" s="2">
        <v>131</v>
      </c>
      <c r="B132" s="2" t="s">
        <v>111</v>
      </c>
      <c r="C132" s="2" t="s">
        <v>132</v>
      </c>
      <c r="D132" s="2" t="s">
        <v>12</v>
      </c>
      <c r="E132" s="2">
        <v>32</v>
      </c>
      <c r="F132" s="3">
        <v>82343</v>
      </c>
      <c r="G132" s="2" t="s">
        <v>13</v>
      </c>
      <c r="H132" s="2" t="s">
        <v>23</v>
      </c>
    </row>
    <row r="133" spans="1:8">
      <c r="A133" s="2">
        <v>132</v>
      </c>
      <c r="B133" s="2" t="s">
        <v>107</v>
      </c>
      <c r="C133" s="2" t="s">
        <v>131</v>
      </c>
      <c r="D133" s="2" t="s">
        <v>16</v>
      </c>
      <c r="E133" s="2">
        <v>36</v>
      </c>
      <c r="F133" s="3">
        <v>78187</v>
      </c>
      <c r="G133" s="2" t="s">
        <v>17</v>
      </c>
      <c r="H133" s="2" t="s">
        <v>14</v>
      </c>
    </row>
    <row r="134" spans="1:8">
      <c r="A134" s="2">
        <v>133</v>
      </c>
      <c r="B134" s="2" t="s">
        <v>106</v>
      </c>
      <c r="C134" s="2" t="s">
        <v>133</v>
      </c>
      <c r="D134" s="2" t="s">
        <v>12</v>
      </c>
      <c r="E134" s="2">
        <v>33</v>
      </c>
      <c r="F134" s="3">
        <v>58490</v>
      </c>
      <c r="G134" s="2" t="s">
        <v>38</v>
      </c>
      <c r="H134" s="2" t="s">
        <v>18</v>
      </c>
    </row>
    <row r="135" spans="1:8">
      <c r="A135" s="2">
        <v>134</v>
      </c>
      <c r="B135" s="2" t="s">
        <v>108</v>
      </c>
      <c r="C135" s="2" t="s">
        <v>132</v>
      </c>
      <c r="D135" s="2" t="s">
        <v>8</v>
      </c>
      <c r="E135" s="2">
        <v>8</v>
      </c>
      <c r="F135" s="3">
        <v>67914</v>
      </c>
      <c r="G135" s="2" t="s">
        <v>28</v>
      </c>
      <c r="H135" s="2" t="s">
        <v>10</v>
      </c>
    </row>
    <row r="136" spans="1:8">
      <c r="A136" s="2">
        <v>135</v>
      </c>
      <c r="B136" s="2" t="s">
        <v>107</v>
      </c>
      <c r="C136" s="2" t="s">
        <v>130</v>
      </c>
      <c r="D136" s="2" t="s">
        <v>12</v>
      </c>
      <c r="E136" s="2">
        <v>37</v>
      </c>
      <c r="F136" s="3">
        <v>46197</v>
      </c>
      <c r="G136" s="2" t="s">
        <v>32</v>
      </c>
      <c r="H136" s="2" t="s">
        <v>14</v>
      </c>
    </row>
    <row r="137" spans="1:8">
      <c r="A137" s="2">
        <v>136</v>
      </c>
      <c r="B137" s="2" t="s">
        <v>105</v>
      </c>
      <c r="C137" s="2" t="s">
        <v>134</v>
      </c>
      <c r="D137" s="2" t="s">
        <v>22</v>
      </c>
      <c r="E137" s="2">
        <v>8</v>
      </c>
      <c r="F137" s="3">
        <v>71320</v>
      </c>
      <c r="G137" s="2" t="s">
        <v>28</v>
      </c>
      <c r="H137" s="2" t="s">
        <v>14</v>
      </c>
    </row>
    <row r="138" spans="1:8">
      <c r="A138" s="2">
        <v>137</v>
      </c>
      <c r="B138" s="2" t="s">
        <v>109</v>
      </c>
      <c r="C138" s="2" t="s">
        <v>133</v>
      </c>
      <c r="D138" s="2" t="s">
        <v>8</v>
      </c>
      <c r="E138" s="2">
        <v>18</v>
      </c>
      <c r="F138" s="3">
        <v>84233</v>
      </c>
      <c r="G138" s="2" t="s">
        <v>20</v>
      </c>
      <c r="H138" s="2" t="s">
        <v>23</v>
      </c>
    </row>
    <row r="139" spans="1:8">
      <c r="A139" s="2">
        <v>138</v>
      </c>
      <c r="B139" s="2" t="s">
        <v>110</v>
      </c>
      <c r="C139" s="2" t="s">
        <v>132</v>
      </c>
      <c r="D139" s="2" t="s">
        <v>12</v>
      </c>
      <c r="E139" s="2">
        <v>50</v>
      </c>
      <c r="F139" s="3">
        <v>71143</v>
      </c>
      <c r="G139" s="2" t="s">
        <v>13</v>
      </c>
      <c r="H139" s="2" t="s">
        <v>26</v>
      </c>
    </row>
    <row r="140" spans="1:8">
      <c r="A140" s="2">
        <v>139</v>
      </c>
      <c r="B140" s="2" t="s">
        <v>113</v>
      </c>
      <c r="C140" s="2" t="s">
        <v>134</v>
      </c>
      <c r="D140" s="2" t="s">
        <v>8</v>
      </c>
      <c r="E140" s="2">
        <v>35</v>
      </c>
      <c r="F140" s="3">
        <v>77511</v>
      </c>
      <c r="G140" s="2" t="s">
        <v>17</v>
      </c>
      <c r="H140" s="2" t="s">
        <v>26</v>
      </c>
    </row>
    <row r="141" spans="1:8">
      <c r="A141" s="2">
        <v>140</v>
      </c>
      <c r="B141" s="2" t="s">
        <v>107</v>
      </c>
      <c r="C141" s="2" t="s">
        <v>134</v>
      </c>
      <c r="D141" s="2" t="s">
        <v>22</v>
      </c>
      <c r="E141" s="2">
        <v>24</v>
      </c>
      <c r="F141" s="3">
        <v>68349</v>
      </c>
      <c r="G141" s="2" t="s">
        <v>20</v>
      </c>
      <c r="H141" s="2" t="s">
        <v>18</v>
      </c>
    </row>
    <row r="142" spans="1:8">
      <c r="A142" s="2">
        <v>141</v>
      </c>
      <c r="B142" s="2" t="s">
        <v>111</v>
      </c>
      <c r="C142" s="2" t="s">
        <v>133</v>
      </c>
      <c r="D142" s="2" t="s">
        <v>22</v>
      </c>
      <c r="E142" s="2">
        <v>35</v>
      </c>
      <c r="F142" s="3">
        <v>91751</v>
      </c>
      <c r="G142" s="2" t="s">
        <v>25</v>
      </c>
      <c r="H142" s="2" t="s">
        <v>14</v>
      </c>
    </row>
    <row r="143" spans="1:8">
      <c r="A143" s="2">
        <v>142</v>
      </c>
      <c r="B143" s="2" t="s">
        <v>109</v>
      </c>
      <c r="C143" s="2" t="s">
        <v>130</v>
      </c>
      <c r="D143" s="2" t="s">
        <v>12</v>
      </c>
      <c r="E143" s="2">
        <v>49</v>
      </c>
      <c r="F143" s="3">
        <v>40733</v>
      </c>
      <c r="G143" s="2" t="s">
        <v>9</v>
      </c>
      <c r="H143" s="2" t="s">
        <v>23</v>
      </c>
    </row>
    <row r="144" spans="1:8">
      <c r="A144" s="2">
        <v>143</v>
      </c>
      <c r="B144" s="2" t="s">
        <v>111</v>
      </c>
      <c r="C144" s="2" t="s">
        <v>129</v>
      </c>
      <c r="D144" s="2" t="s">
        <v>8</v>
      </c>
      <c r="E144" s="2">
        <v>3</v>
      </c>
      <c r="F144" s="3">
        <v>39716</v>
      </c>
      <c r="G144" s="2" t="s">
        <v>17</v>
      </c>
      <c r="H144" s="2" t="s">
        <v>18</v>
      </c>
    </row>
    <row r="145" spans="1:8">
      <c r="A145" s="2">
        <v>144</v>
      </c>
      <c r="B145" s="2" t="s">
        <v>108</v>
      </c>
      <c r="C145" s="2" t="s">
        <v>133</v>
      </c>
      <c r="D145" s="2" t="s">
        <v>16</v>
      </c>
      <c r="E145" s="2">
        <v>49</v>
      </c>
      <c r="F145" s="3">
        <v>70187</v>
      </c>
      <c r="G145" s="2" t="s">
        <v>17</v>
      </c>
      <c r="H145" s="2" t="s">
        <v>26</v>
      </c>
    </row>
    <row r="146" spans="1:8">
      <c r="A146" s="2">
        <v>145</v>
      </c>
      <c r="B146" s="2" t="s">
        <v>107</v>
      </c>
      <c r="C146" s="2" t="s">
        <v>129</v>
      </c>
      <c r="D146" s="2" t="s">
        <v>22</v>
      </c>
      <c r="E146" s="2">
        <v>47</v>
      </c>
      <c r="F146" s="3">
        <v>47401</v>
      </c>
      <c r="G146" s="2" t="s">
        <v>32</v>
      </c>
      <c r="H146" s="2" t="s">
        <v>29</v>
      </c>
    </row>
    <row r="147" spans="1:8">
      <c r="A147" s="2">
        <v>146</v>
      </c>
      <c r="B147" s="2" t="s">
        <v>111</v>
      </c>
      <c r="C147" s="2" t="s">
        <v>130</v>
      </c>
      <c r="D147" s="2" t="s">
        <v>16</v>
      </c>
      <c r="E147" s="2">
        <v>29</v>
      </c>
      <c r="F147" s="3">
        <v>92848</v>
      </c>
      <c r="G147" s="2" t="s">
        <v>28</v>
      </c>
      <c r="H147" s="2" t="s">
        <v>18</v>
      </c>
    </row>
    <row r="148" spans="1:8">
      <c r="A148" s="2">
        <v>147</v>
      </c>
      <c r="B148" s="2" t="s">
        <v>114</v>
      </c>
      <c r="C148" s="2" t="s">
        <v>135</v>
      </c>
      <c r="D148" s="2" t="s">
        <v>12</v>
      </c>
      <c r="E148" s="2">
        <v>35</v>
      </c>
      <c r="F148" s="3">
        <v>66070</v>
      </c>
      <c r="G148" s="2" t="s">
        <v>25</v>
      </c>
      <c r="H148" s="2" t="s">
        <v>29</v>
      </c>
    </row>
    <row r="149" spans="1:8">
      <c r="A149" s="2">
        <v>148</v>
      </c>
      <c r="B149" s="2" t="s">
        <v>112</v>
      </c>
      <c r="C149" s="2" t="s">
        <v>131</v>
      </c>
      <c r="D149" s="2" t="s">
        <v>22</v>
      </c>
      <c r="E149" s="2">
        <v>14</v>
      </c>
      <c r="F149" s="3">
        <v>80936</v>
      </c>
      <c r="G149" s="2" t="s">
        <v>32</v>
      </c>
      <c r="H149" s="2" t="s">
        <v>29</v>
      </c>
    </row>
    <row r="150" spans="1:8">
      <c r="A150" s="2">
        <v>149</v>
      </c>
      <c r="B150" s="2" t="s">
        <v>109</v>
      </c>
      <c r="C150" s="2" t="s">
        <v>133</v>
      </c>
      <c r="D150" s="2" t="s">
        <v>16</v>
      </c>
      <c r="E150" s="2">
        <v>28</v>
      </c>
      <c r="F150" s="3">
        <v>60649</v>
      </c>
      <c r="G150" s="2" t="s">
        <v>9</v>
      </c>
      <c r="H150" s="2" t="s">
        <v>18</v>
      </c>
    </row>
    <row r="151" spans="1:8">
      <c r="A151" s="2">
        <v>150</v>
      </c>
      <c r="B151" s="2" t="s">
        <v>106</v>
      </c>
      <c r="C151" s="2" t="s">
        <v>129</v>
      </c>
      <c r="D151" s="2" t="s">
        <v>22</v>
      </c>
      <c r="E151" s="2">
        <v>7</v>
      </c>
      <c r="F151" s="3">
        <v>37395</v>
      </c>
      <c r="G151" s="2" t="s">
        <v>32</v>
      </c>
      <c r="H151" s="2" t="s">
        <v>18</v>
      </c>
    </row>
    <row r="152" spans="1:8">
      <c r="A152" s="2">
        <v>151</v>
      </c>
      <c r="B152" s="2" t="s">
        <v>109</v>
      </c>
      <c r="C152" s="2" t="s">
        <v>130</v>
      </c>
      <c r="D152" s="2" t="s">
        <v>16</v>
      </c>
      <c r="E152" s="2">
        <v>48</v>
      </c>
      <c r="F152" s="3">
        <v>67138</v>
      </c>
      <c r="G152" s="2" t="s">
        <v>32</v>
      </c>
      <c r="H152" s="2" t="s">
        <v>23</v>
      </c>
    </row>
    <row r="153" spans="1:8">
      <c r="A153" s="2">
        <v>152</v>
      </c>
      <c r="B153" s="2" t="s">
        <v>111</v>
      </c>
      <c r="C153" s="2" t="s">
        <v>132</v>
      </c>
      <c r="D153" s="2" t="s">
        <v>8</v>
      </c>
      <c r="E153" s="2">
        <v>42</v>
      </c>
      <c r="F153" s="3">
        <v>98941</v>
      </c>
      <c r="G153" s="2" t="s">
        <v>32</v>
      </c>
      <c r="H153" s="2" t="s">
        <v>18</v>
      </c>
    </row>
    <row r="154" spans="1:8">
      <c r="A154" s="2">
        <v>153</v>
      </c>
      <c r="B154" s="2" t="s">
        <v>111</v>
      </c>
      <c r="C154" s="2" t="s">
        <v>134</v>
      </c>
      <c r="D154" s="2" t="s">
        <v>8</v>
      </c>
      <c r="E154" s="2">
        <v>49</v>
      </c>
      <c r="F154" s="3">
        <v>28134</v>
      </c>
      <c r="G154" s="2" t="s">
        <v>28</v>
      </c>
      <c r="H154" s="2" t="s">
        <v>10</v>
      </c>
    </row>
    <row r="155" spans="1:8">
      <c r="A155" s="2">
        <v>154</v>
      </c>
      <c r="B155" s="2" t="s">
        <v>113</v>
      </c>
      <c r="C155" s="2" t="s">
        <v>135</v>
      </c>
      <c r="D155" s="2" t="s">
        <v>12</v>
      </c>
      <c r="E155" s="2">
        <v>16</v>
      </c>
      <c r="F155" s="3">
        <v>93947</v>
      </c>
      <c r="G155" s="2" t="s">
        <v>32</v>
      </c>
      <c r="H155" s="2" t="s">
        <v>26</v>
      </c>
    </row>
    <row r="156" spans="1:8">
      <c r="A156" s="2">
        <v>155</v>
      </c>
      <c r="B156" s="2" t="s">
        <v>114</v>
      </c>
      <c r="C156" s="2" t="s">
        <v>133</v>
      </c>
      <c r="D156" s="2" t="s">
        <v>22</v>
      </c>
      <c r="E156" s="2">
        <v>20</v>
      </c>
      <c r="F156" s="3">
        <v>90093</v>
      </c>
      <c r="G156" s="2" t="s">
        <v>32</v>
      </c>
      <c r="H156" s="2" t="s">
        <v>14</v>
      </c>
    </row>
    <row r="157" spans="1:8">
      <c r="A157" s="2">
        <v>156</v>
      </c>
      <c r="B157" s="2" t="s">
        <v>106</v>
      </c>
      <c r="C157" s="2" t="s">
        <v>129</v>
      </c>
      <c r="D157" s="2" t="s">
        <v>16</v>
      </c>
      <c r="E157" s="2">
        <v>3</v>
      </c>
      <c r="F157" s="3">
        <v>68509</v>
      </c>
      <c r="G157" s="2" t="s">
        <v>32</v>
      </c>
      <c r="H157" s="2" t="s">
        <v>18</v>
      </c>
    </row>
    <row r="158" spans="1:8">
      <c r="A158" s="2">
        <v>157</v>
      </c>
      <c r="B158" s="2" t="s">
        <v>110</v>
      </c>
      <c r="C158" s="2" t="s">
        <v>132</v>
      </c>
      <c r="D158" s="2" t="s">
        <v>12</v>
      </c>
      <c r="E158" s="2">
        <v>29</v>
      </c>
      <c r="F158" s="3">
        <v>96428</v>
      </c>
      <c r="G158" s="2" t="s">
        <v>32</v>
      </c>
      <c r="H158" s="2" t="s">
        <v>29</v>
      </c>
    </row>
    <row r="159" spans="1:8">
      <c r="A159" s="2">
        <v>158</v>
      </c>
      <c r="B159" s="2" t="s">
        <v>113</v>
      </c>
      <c r="C159" s="2" t="s">
        <v>129</v>
      </c>
      <c r="D159" s="2" t="s">
        <v>8</v>
      </c>
      <c r="E159" s="2">
        <v>17</v>
      </c>
      <c r="F159" s="3">
        <v>62641</v>
      </c>
      <c r="G159" s="2" t="s">
        <v>17</v>
      </c>
      <c r="H159" s="2" t="s">
        <v>29</v>
      </c>
    </row>
    <row r="160" spans="1:8">
      <c r="A160" s="2">
        <v>159</v>
      </c>
      <c r="B160" s="2" t="s">
        <v>108</v>
      </c>
      <c r="C160" s="2" t="s">
        <v>130</v>
      </c>
      <c r="D160" s="2" t="s">
        <v>8</v>
      </c>
      <c r="E160" s="2">
        <v>23</v>
      </c>
      <c r="F160" s="3">
        <v>32831</v>
      </c>
      <c r="G160" s="2" t="s">
        <v>25</v>
      </c>
      <c r="H160" s="2" t="s">
        <v>18</v>
      </c>
    </row>
    <row r="161" spans="1:8">
      <c r="A161" s="2">
        <v>160</v>
      </c>
      <c r="B161" s="2" t="s">
        <v>106</v>
      </c>
      <c r="C161" s="2" t="s">
        <v>133</v>
      </c>
      <c r="D161" s="2" t="s">
        <v>12</v>
      </c>
      <c r="E161" s="2">
        <v>6</v>
      </c>
      <c r="F161" s="3">
        <v>76091</v>
      </c>
      <c r="G161" s="2" t="s">
        <v>20</v>
      </c>
      <c r="H161" s="2" t="s">
        <v>14</v>
      </c>
    </row>
    <row r="162" spans="1:8">
      <c r="A162" s="2">
        <v>161</v>
      </c>
      <c r="B162" s="2" t="s">
        <v>107</v>
      </c>
      <c r="C162" s="2" t="s">
        <v>130</v>
      </c>
      <c r="D162" s="2" t="s">
        <v>22</v>
      </c>
      <c r="E162" s="2">
        <v>29</v>
      </c>
      <c r="F162" s="3">
        <v>63718</v>
      </c>
      <c r="G162" s="2" t="s">
        <v>20</v>
      </c>
      <c r="H162" s="2" t="s">
        <v>14</v>
      </c>
    </row>
    <row r="163" spans="1:8">
      <c r="A163" s="2">
        <v>162</v>
      </c>
      <c r="B163" s="2" t="s">
        <v>112</v>
      </c>
      <c r="C163" s="2" t="s">
        <v>129</v>
      </c>
      <c r="D163" s="2" t="s">
        <v>16</v>
      </c>
      <c r="E163" s="2">
        <v>8</v>
      </c>
      <c r="F163" s="3">
        <v>58159</v>
      </c>
      <c r="G163" s="2" t="s">
        <v>20</v>
      </c>
      <c r="H163" s="2" t="s">
        <v>23</v>
      </c>
    </row>
    <row r="164" spans="1:8">
      <c r="A164" s="2">
        <v>163</v>
      </c>
      <c r="B164" s="2" t="s">
        <v>113</v>
      </c>
      <c r="C164" s="2" t="s">
        <v>133</v>
      </c>
      <c r="D164" s="2" t="s">
        <v>8</v>
      </c>
      <c r="E164" s="2">
        <v>50</v>
      </c>
      <c r="F164" s="3">
        <v>40952</v>
      </c>
      <c r="G164" s="2" t="s">
        <v>9</v>
      </c>
      <c r="H164" s="2" t="s">
        <v>23</v>
      </c>
    </row>
    <row r="165" spans="1:8">
      <c r="A165" s="2">
        <v>164</v>
      </c>
      <c r="B165" s="2" t="s">
        <v>112</v>
      </c>
      <c r="C165" s="2" t="s">
        <v>131</v>
      </c>
      <c r="D165" s="2" t="s">
        <v>12</v>
      </c>
      <c r="E165" s="2">
        <v>16</v>
      </c>
      <c r="F165" s="3">
        <v>48902</v>
      </c>
      <c r="G165" s="2" t="s">
        <v>38</v>
      </c>
      <c r="H165" s="2" t="s">
        <v>23</v>
      </c>
    </row>
    <row r="166" spans="1:8">
      <c r="A166" s="2">
        <v>165</v>
      </c>
      <c r="B166" s="2" t="s">
        <v>114</v>
      </c>
      <c r="C166" s="2" t="s">
        <v>129</v>
      </c>
      <c r="D166" s="2" t="s">
        <v>8</v>
      </c>
      <c r="E166" s="2">
        <v>14</v>
      </c>
      <c r="F166" s="3">
        <v>52021</v>
      </c>
      <c r="G166" s="2" t="s">
        <v>38</v>
      </c>
      <c r="H166" s="2" t="s">
        <v>14</v>
      </c>
    </row>
    <row r="167" spans="1:8">
      <c r="A167" s="2">
        <v>166</v>
      </c>
      <c r="B167" s="2" t="s">
        <v>108</v>
      </c>
      <c r="C167" s="2" t="s">
        <v>134</v>
      </c>
      <c r="D167" s="2" t="s">
        <v>8</v>
      </c>
      <c r="E167" s="2">
        <v>48</v>
      </c>
      <c r="F167" s="3">
        <v>67975</v>
      </c>
      <c r="G167" s="2" t="s">
        <v>9</v>
      </c>
      <c r="H167" s="2" t="s">
        <v>29</v>
      </c>
    </row>
    <row r="168" spans="1:8">
      <c r="A168" s="2">
        <v>167</v>
      </c>
      <c r="B168" s="2" t="s">
        <v>108</v>
      </c>
      <c r="C168" s="2" t="s">
        <v>133</v>
      </c>
      <c r="D168" s="2" t="s">
        <v>16</v>
      </c>
      <c r="E168" s="2">
        <v>38</v>
      </c>
      <c r="F168" s="3">
        <v>99278</v>
      </c>
      <c r="G168" s="2" t="s">
        <v>17</v>
      </c>
      <c r="H168" s="2" t="s">
        <v>23</v>
      </c>
    </row>
    <row r="169" spans="1:8">
      <c r="A169" s="2">
        <v>168</v>
      </c>
      <c r="B169" s="2" t="s">
        <v>110</v>
      </c>
      <c r="C169" s="2" t="s">
        <v>131</v>
      </c>
      <c r="D169" s="2" t="s">
        <v>22</v>
      </c>
      <c r="E169" s="2">
        <v>45</v>
      </c>
      <c r="F169" s="3">
        <v>99881</v>
      </c>
      <c r="G169" s="2" t="s">
        <v>17</v>
      </c>
      <c r="H169" s="2" t="s">
        <v>18</v>
      </c>
    </row>
    <row r="170" spans="1:8">
      <c r="A170" s="2">
        <v>169</v>
      </c>
      <c r="B170" s="2" t="s">
        <v>108</v>
      </c>
      <c r="C170" s="2" t="s">
        <v>133</v>
      </c>
      <c r="D170" s="2" t="s">
        <v>22</v>
      </c>
      <c r="E170" s="2">
        <v>23</v>
      </c>
      <c r="F170" s="3">
        <v>39851</v>
      </c>
      <c r="G170" s="2" t="s">
        <v>9</v>
      </c>
      <c r="H170" s="2" t="s">
        <v>23</v>
      </c>
    </row>
    <row r="171" spans="1:8">
      <c r="A171" s="2">
        <v>170</v>
      </c>
      <c r="B171" s="2" t="s">
        <v>111</v>
      </c>
      <c r="C171" s="2" t="s">
        <v>135</v>
      </c>
      <c r="D171" s="2" t="s">
        <v>16</v>
      </c>
      <c r="E171" s="2">
        <v>46</v>
      </c>
      <c r="F171" s="3">
        <v>57598</v>
      </c>
      <c r="G171" s="2" t="s">
        <v>28</v>
      </c>
      <c r="H171" s="2" t="s">
        <v>18</v>
      </c>
    </row>
    <row r="172" spans="1:8">
      <c r="A172" s="2">
        <v>171</v>
      </c>
      <c r="B172" s="2" t="s">
        <v>109</v>
      </c>
      <c r="C172" s="2" t="s">
        <v>134</v>
      </c>
      <c r="D172" s="2" t="s">
        <v>12</v>
      </c>
      <c r="E172" s="2">
        <v>40</v>
      </c>
      <c r="F172" s="3">
        <v>59472</v>
      </c>
      <c r="G172" s="2" t="s">
        <v>9</v>
      </c>
      <c r="H172" s="2" t="s">
        <v>18</v>
      </c>
    </row>
    <row r="173" spans="1:8">
      <c r="A173" s="2">
        <v>172</v>
      </c>
      <c r="B173" s="2" t="s">
        <v>109</v>
      </c>
      <c r="C173" s="2" t="s">
        <v>133</v>
      </c>
      <c r="D173" s="2" t="s">
        <v>12</v>
      </c>
      <c r="E173" s="2">
        <v>41</v>
      </c>
      <c r="F173" s="3">
        <v>83041</v>
      </c>
      <c r="G173" s="2" t="s">
        <v>25</v>
      </c>
      <c r="H173" s="2" t="s">
        <v>29</v>
      </c>
    </row>
    <row r="174" spans="1:8">
      <c r="A174" s="2">
        <v>173</v>
      </c>
      <c r="B174" s="2" t="s">
        <v>110</v>
      </c>
      <c r="C174" s="2" t="s">
        <v>132</v>
      </c>
      <c r="D174" s="2" t="s">
        <v>22</v>
      </c>
      <c r="E174" s="2">
        <v>28</v>
      </c>
      <c r="F174" s="3">
        <v>72013</v>
      </c>
      <c r="G174" s="2" t="s">
        <v>28</v>
      </c>
      <c r="H174" s="2" t="s">
        <v>26</v>
      </c>
    </row>
    <row r="175" spans="1:8">
      <c r="A175" s="2">
        <v>174</v>
      </c>
      <c r="B175" s="2" t="s">
        <v>111</v>
      </c>
      <c r="C175" s="2" t="s">
        <v>129</v>
      </c>
      <c r="D175" s="2" t="s">
        <v>8</v>
      </c>
      <c r="E175" s="2">
        <v>11</v>
      </c>
      <c r="F175" s="3">
        <v>50120</v>
      </c>
      <c r="G175" s="2" t="s">
        <v>13</v>
      </c>
      <c r="H175" s="2" t="s">
        <v>18</v>
      </c>
    </row>
    <row r="176" spans="1:8">
      <c r="A176" s="2">
        <v>175</v>
      </c>
      <c r="B176" s="2" t="s">
        <v>109</v>
      </c>
      <c r="C176" s="2" t="s">
        <v>132</v>
      </c>
      <c r="D176" s="2" t="s">
        <v>8</v>
      </c>
      <c r="E176" s="2">
        <v>40</v>
      </c>
      <c r="F176" s="3">
        <v>80386</v>
      </c>
      <c r="G176" s="2" t="s">
        <v>32</v>
      </c>
      <c r="H176" s="2" t="s">
        <v>23</v>
      </c>
    </row>
    <row r="177" spans="1:8">
      <c r="A177" s="2">
        <v>176</v>
      </c>
      <c r="B177" s="2" t="s">
        <v>107</v>
      </c>
      <c r="C177" s="2" t="s">
        <v>129</v>
      </c>
      <c r="D177" s="2" t="s">
        <v>12</v>
      </c>
      <c r="E177" s="2">
        <v>9</v>
      </c>
      <c r="F177" s="3">
        <v>54810</v>
      </c>
      <c r="G177" s="2" t="s">
        <v>25</v>
      </c>
      <c r="H177" s="2" t="s">
        <v>29</v>
      </c>
    </row>
    <row r="178" spans="1:8">
      <c r="A178" s="2">
        <v>177</v>
      </c>
      <c r="B178" s="2" t="s">
        <v>111</v>
      </c>
      <c r="C178" s="2" t="s">
        <v>130</v>
      </c>
      <c r="D178" s="2" t="s">
        <v>16</v>
      </c>
      <c r="E178" s="2">
        <v>14</v>
      </c>
      <c r="F178" s="3">
        <v>54102</v>
      </c>
      <c r="G178" s="2" t="s">
        <v>38</v>
      </c>
      <c r="H178" s="2" t="s">
        <v>29</v>
      </c>
    </row>
    <row r="179" spans="1:8">
      <c r="A179" s="2">
        <v>178</v>
      </c>
      <c r="B179" s="2" t="s">
        <v>114</v>
      </c>
      <c r="C179" s="2" t="s">
        <v>129</v>
      </c>
      <c r="D179" s="2" t="s">
        <v>8</v>
      </c>
      <c r="E179" s="2">
        <v>14</v>
      </c>
      <c r="F179" s="3">
        <v>51592</v>
      </c>
      <c r="G179" s="2" t="s">
        <v>13</v>
      </c>
      <c r="H179" s="2" t="s">
        <v>14</v>
      </c>
    </row>
    <row r="180" spans="1:8">
      <c r="A180" s="2">
        <v>179</v>
      </c>
      <c r="B180" s="2" t="s">
        <v>105</v>
      </c>
      <c r="C180" s="2" t="s">
        <v>135</v>
      </c>
      <c r="D180" s="2" t="s">
        <v>12</v>
      </c>
      <c r="E180" s="2">
        <v>4</v>
      </c>
      <c r="F180" s="3">
        <v>85527</v>
      </c>
      <c r="G180" s="2" t="s">
        <v>9</v>
      </c>
      <c r="H180" s="2" t="s">
        <v>18</v>
      </c>
    </row>
    <row r="181" spans="1:8">
      <c r="A181" s="2">
        <v>180</v>
      </c>
      <c r="B181" s="2" t="s">
        <v>112</v>
      </c>
      <c r="C181" s="2" t="s">
        <v>131</v>
      </c>
      <c r="D181" s="2" t="s">
        <v>16</v>
      </c>
      <c r="E181" s="2">
        <v>37</v>
      </c>
      <c r="F181" s="3">
        <v>44533</v>
      </c>
      <c r="G181" s="2" t="s">
        <v>38</v>
      </c>
      <c r="H181" s="2" t="s">
        <v>23</v>
      </c>
    </row>
    <row r="182" spans="1:8">
      <c r="A182" s="2">
        <v>181</v>
      </c>
      <c r="B182" s="2" t="s">
        <v>111</v>
      </c>
      <c r="C182" s="2" t="s">
        <v>130</v>
      </c>
      <c r="D182" s="2" t="s">
        <v>22</v>
      </c>
      <c r="E182" s="2">
        <v>23</v>
      </c>
      <c r="F182" s="3">
        <v>63058</v>
      </c>
      <c r="G182" s="2" t="s">
        <v>17</v>
      </c>
      <c r="H182" s="2" t="s">
        <v>18</v>
      </c>
    </row>
    <row r="183" spans="1:8">
      <c r="A183" s="2">
        <v>182</v>
      </c>
      <c r="B183" s="2" t="s">
        <v>112</v>
      </c>
      <c r="C183" s="2" t="s">
        <v>133</v>
      </c>
      <c r="D183" s="2" t="s">
        <v>16</v>
      </c>
      <c r="E183" s="2">
        <v>35</v>
      </c>
      <c r="F183" s="3">
        <v>38871</v>
      </c>
      <c r="G183" s="2" t="s">
        <v>13</v>
      </c>
      <c r="H183" s="2" t="s">
        <v>23</v>
      </c>
    </row>
    <row r="184" spans="1:8">
      <c r="A184" s="2">
        <v>183</v>
      </c>
      <c r="B184" s="2" t="s">
        <v>107</v>
      </c>
      <c r="C184" s="2" t="s">
        <v>129</v>
      </c>
      <c r="D184" s="2" t="s">
        <v>22</v>
      </c>
      <c r="E184" s="2">
        <v>18</v>
      </c>
      <c r="F184" s="3">
        <v>80593</v>
      </c>
      <c r="G184" s="2" t="s">
        <v>25</v>
      </c>
      <c r="H184" s="2" t="s">
        <v>10</v>
      </c>
    </row>
    <row r="185" spans="1:8">
      <c r="A185" s="2">
        <v>184</v>
      </c>
      <c r="B185" s="2" t="s">
        <v>105</v>
      </c>
      <c r="C185" s="2" t="s">
        <v>135</v>
      </c>
      <c r="D185" s="2" t="s">
        <v>12</v>
      </c>
      <c r="E185" s="2">
        <v>39</v>
      </c>
      <c r="F185" s="3">
        <v>43935</v>
      </c>
      <c r="G185" s="2" t="s">
        <v>9</v>
      </c>
      <c r="H185" s="2" t="s">
        <v>14</v>
      </c>
    </row>
    <row r="186" spans="1:8">
      <c r="A186" s="2">
        <v>185</v>
      </c>
      <c r="B186" s="2" t="s">
        <v>106</v>
      </c>
      <c r="C186" s="2" t="s">
        <v>132</v>
      </c>
      <c r="D186" s="2" t="s">
        <v>16</v>
      </c>
      <c r="E186" s="2">
        <v>35</v>
      </c>
      <c r="F186" s="3">
        <v>38057</v>
      </c>
      <c r="G186" s="2" t="s">
        <v>20</v>
      </c>
      <c r="H186" s="2" t="s">
        <v>29</v>
      </c>
    </row>
    <row r="187" spans="1:8">
      <c r="A187" s="2">
        <v>186</v>
      </c>
      <c r="B187" s="2" t="s">
        <v>110</v>
      </c>
      <c r="C187" s="2" t="s">
        <v>131</v>
      </c>
      <c r="D187" s="2" t="s">
        <v>12</v>
      </c>
      <c r="E187" s="2">
        <v>11</v>
      </c>
      <c r="F187" s="3">
        <v>72444</v>
      </c>
      <c r="G187" s="2" t="s">
        <v>9</v>
      </c>
      <c r="H187" s="2" t="s">
        <v>14</v>
      </c>
    </row>
    <row r="188" spans="1:8">
      <c r="A188" s="2">
        <v>187</v>
      </c>
      <c r="B188" s="2" t="s">
        <v>111</v>
      </c>
      <c r="C188" s="2" t="s">
        <v>130</v>
      </c>
      <c r="D188" s="2" t="s">
        <v>22</v>
      </c>
      <c r="E188" s="2">
        <v>21</v>
      </c>
      <c r="F188" s="3">
        <v>92351</v>
      </c>
      <c r="G188" s="2" t="s">
        <v>17</v>
      </c>
      <c r="H188" s="2" t="s">
        <v>10</v>
      </c>
    </row>
    <row r="189" spans="1:8">
      <c r="A189" s="2">
        <v>188</v>
      </c>
      <c r="B189" s="2" t="s">
        <v>110</v>
      </c>
      <c r="C189" s="2" t="s">
        <v>131</v>
      </c>
      <c r="D189" s="2" t="s">
        <v>8</v>
      </c>
      <c r="E189" s="2">
        <v>46</v>
      </c>
      <c r="F189" s="3">
        <v>33600</v>
      </c>
      <c r="G189" s="2" t="s">
        <v>38</v>
      </c>
      <c r="H189" s="2" t="s">
        <v>26</v>
      </c>
    </row>
    <row r="190" spans="1:8">
      <c r="A190" s="2">
        <v>189</v>
      </c>
      <c r="B190" s="2" t="s">
        <v>108</v>
      </c>
      <c r="C190" s="2" t="s">
        <v>130</v>
      </c>
      <c r="D190" s="2" t="s">
        <v>8</v>
      </c>
      <c r="E190" s="2">
        <v>19</v>
      </c>
      <c r="F190" s="3">
        <v>70785</v>
      </c>
      <c r="G190" s="2" t="s">
        <v>38</v>
      </c>
      <c r="H190" s="2" t="s">
        <v>14</v>
      </c>
    </row>
    <row r="191" spans="1:8">
      <c r="A191" s="2">
        <v>190</v>
      </c>
      <c r="B191" s="2" t="s">
        <v>112</v>
      </c>
      <c r="C191" s="2" t="s">
        <v>135</v>
      </c>
      <c r="D191" s="2" t="s">
        <v>22</v>
      </c>
      <c r="E191" s="2">
        <v>19</v>
      </c>
      <c r="F191" s="3">
        <v>70172</v>
      </c>
      <c r="G191" s="2" t="s">
        <v>32</v>
      </c>
      <c r="H191" s="2" t="s">
        <v>14</v>
      </c>
    </row>
    <row r="192" spans="1:8">
      <c r="A192" s="2">
        <v>191</v>
      </c>
      <c r="B192" s="2" t="s">
        <v>112</v>
      </c>
      <c r="C192" s="2" t="s">
        <v>132</v>
      </c>
      <c r="D192" s="2" t="s">
        <v>8</v>
      </c>
      <c r="E192" s="2">
        <v>37</v>
      </c>
      <c r="F192" s="3">
        <v>63485</v>
      </c>
      <c r="G192" s="2" t="s">
        <v>13</v>
      </c>
      <c r="H192" s="2" t="s">
        <v>10</v>
      </c>
    </row>
    <row r="193" spans="1:8">
      <c r="A193" s="2">
        <v>192</v>
      </c>
      <c r="B193" s="2" t="s">
        <v>108</v>
      </c>
      <c r="C193" s="2" t="s">
        <v>130</v>
      </c>
      <c r="D193" s="2" t="s">
        <v>8</v>
      </c>
      <c r="E193" s="2">
        <v>18</v>
      </c>
      <c r="F193" s="3">
        <v>25687</v>
      </c>
      <c r="G193" s="2" t="s">
        <v>20</v>
      </c>
      <c r="H193" s="2" t="s">
        <v>14</v>
      </c>
    </row>
    <row r="194" spans="1:8">
      <c r="A194" s="2">
        <v>193</v>
      </c>
      <c r="B194" s="2" t="s">
        <v>106</v>
      </c>
      <c r="C194" s="2" t="s">
        <v>133</v>
      </c>
      <c r="D194" s="2" t="s">
        <v>16</v>
      </c>
      <c r="E194" s="2">
        <v>33</v>
      </c>
      <c r="F194" s="3">
        <v>56913</v>
      </c>
      <c r="G194" s="2" t="s">
        <v>17</v>
      </c>
      <c r="H194" s="2" t="s">
        <v>14</v>
      </c>
    </row>
    <row r="195" spans="1:8">
      <c r="A195" s="2">
        <v>194</v>
      </c>
      <c r="B195" s="2" t="s">
        <v>113</v>
      </c>
      <c r="C195" s="2" t="s">
        <v>131</v>
      </c>
      <c r="D195" s="2" t="s">
        <v>16</v>
      </c>
      <c r="E195" s="2">
        <v>44</v>
      </c>
      <c r="F195" s="3">
        <v>80258</v>
      </c>
      <c r="G195" s="2" t="s">
        <v>17</v>
      </c>
      <c r="H195" s="2" t="s">
        <v>10</v>
      </c>
    </row>
    <row r="196" spans="1:8">
      <c r="A196" s="2">
        <v>195</v>
      </c>
      <c r="B196" s="2" t="s">
        <v>114</v>
      </c>
      <c r="C196" s="2" t="s">
        <v>129</v>
      </c>
      <c r="D196" s="2" t="s">
        <v>8</v>
      </c>
      <c r="E196" s="2">
        <v>7</v>
      </c>
      <c r="F196" s="3">
        <v>98948</v>
      </c>
      <c r="G196" s="2" t="s">
        <v>28</v>
      </c>
      <c r="H196" s="2" t="s">
        <v>10</v>
      </c>
    </row>
    <row r="197" spans="1:8">
      <c r="A197" s="2">
        <v>196</v>
      </c>
      <c r="B197" s="2" t="s">
        <v>111</v>
      </c>
      <c r="C197" s="2" t="s">
        <v>131</v>
      </c>
      <c r="D197" s="2" t="s">
        <v>16</v>
      </c>
      <c r="E197" s="2">
        <v>9</v>
      </c>
      <c r="F197" s="3">
        <v>49380</v>
      </c>
      <c r="G197" s="2" t="s">
        <v>25</v>
      </c>
      <c r="H197" s="2" t="s">
        <v>29</v>
      </c>
    </row>
    <row r="198" spans="1:8">
      <c r="A198" s="2">
        <v>197</v>
      </c>
      <c r="B198" s="2" t="s">
        <v>112</v>
      </c>
      <c r="C198" s="2" t="s">
        <v>131</v>
      </c>
      <c r="D198" s="2" t="s">
        <v>22</v>
      </c>
      <c r="E198" s="2">
        <v>49</v>
      </c>
      <c r="F198" s="3">
        <v>96080</v>
      </c>
      <c r="G198" s="2" t="s">
        <v>28</v>
      </c>
      <c r="H198" s="2" t="s">
        <v>26</v>
      </c>
    </row>
    <row r="199" spans="1:8">
      <c r="A199" s="2">
        <v>198</v>
      </c>
      <c r="B199" s="2" t="s">
        <v>114</v>
      </c>
      <c r="C199" s="2" t="s">
        <v>134</v>
      </c>
      <c r="D199" s="2" t="s">
        <v>16</v>
      </c>
      <c r="E199" s="2">
        <v>27</v>
      </c>
      <c r="F199" s="3">
        <v>61805</v>
      </c>
      <c r="G199" s="2" t="s">
        <v>32</v>
      </c>
      <c r="H199" s="2" t="s">
        <v>23</v>
      </c>
    </row>
    <row r="200" spans="1:8">
      <c r="A200" s="2">
        <v>199</v>
      </c>
      <c r="B200" s="2" t="s">
        <v>112</v>
      </c>
      <c r="C200" s="2" t="s">
        <v>132</v>
      </c>
      <c r="D200" s="2" t="s">
        <v>16</v>
      </c>
      <c r="E200" s="2">
        <v>4</v>
      </c>
      <c r="F200" s="3">
        <v>57181</v>
      </c>
      <c r="G200" s="2" t="s">
        <v>28</v>
      </c>
      <c r="H200" s="2" t="s">
        <v>23</v>
      </c>
    </row>
    <row r="201" spans="1:8">
      <c r="A201" s="2">
        <v>200</v>
      </c>
      <c r="B201" s="2" t="s">
        <v>113</v>
      </c>
      <c r="C201" s="2" t="s">
        <v>131</v>
      </c>
      <c r="D201" s="2" t="s">
        <v>16</v>
      </c>
      <c r="E201" s="2">
        <v>18</v>
      </c>
      <c r="F201" s="3">
        <v>94661</v>
      </c>
      <c r="G201" s="2" t="s">
        <v>9</v>
      </c>
      <c r="H201" s="2" t="s">
        <v>26</v>
      </c>
    </row>
    <row r="202" spans="1:8">
      <c r="A202" s="2">
        <v>201</v>
      </c>
      <c r="B202" s="2" t="s">
        <v>108</v>
      </c>
      <c r="C202" s="2" t="s">
        <v>129</v>
      </c>
      <c r="D202" s="2" t="s">
        <v>12</v>
      </c>
      <c r="E202" s="2">
        <v>42</v>
      </c>
      <c r="F202" s="3">
        <v>57117</v>
      </c>
      <c r="G202" s="2" t="s">
        <v>17</v>
      </c>
      <c r="H202" s="2" t="s">
        <v>26</v>
      </c>
    </row>
    <row r="203" spans="1:8">
      <c r="A203" s="2">
        <v>202</v>
      </c>
      <c r="B203" s="2" t="s">
        <v>113</v>
      </c>
      <c r="C203" s="2" t="s">
        <v>134</v>
      </c>
      <c r="D203" s="2" t="s">
        <v>22</v>
      </c>
      <c r="E203" s="2">
        <v>9</v>
      </c>
      <c r="F203" s="3">
        <v>92239</v>
      </c>
      <c r="G203" s="2" t="s">
        <v>17</v>
      </c>
      <c r="H203" s="2" t="s">
        <v>26</v>
      </c>
    </row>
    <row r="204" spans="1:8">
      <c r="A204" s="2">
        <v>203</v>
      </c>
      <c r="B204" s="2" t="s">
        <v>112</v>
      </c>
      <c r="C204" s="2" t="s">
        <v>130</v>
      </c>
      <c r="D204" s="2" t="s">
        <v>8</v>
      </c>
      <c r="E204" s="2">
        <v>45</v>
      </c>
      <c r="F204" s="3">
        <v>99016</v>
      </c>
      <c r="G204" s="2" t="s">
        <v>25</v>
      </c>
      <c r="H204" s="2" t="s">
        <v>10</v>
      </c>
    </row>
    <row r="205" spans="1:8">
      <c r="A205" s="2">
        <v>204</v>
      </c>
      <c r="B205" s="2" t="s">
        <v>108</v>
      </c>
      <c r="C205" s="2" t="s">
        <v>134</v>
      </c>
      <c r="D205" s="2" t="s">
        <v>8</v>
      </c>
      <c r="E205" s="2">
        <v>9</v>
      </c>
      <c r="F205" s="3">
        <v>98275</v>
      </c>
      <c r="G205" s="2" t="s">
        <v>9</v>
      </c>
      <c r="H205" s="2" t="s">
        <v>23</v>
      </c>
    </row>
    <row r="206" spans="1:8">
      <c r="A206" s="2">
        <v>205</v>
      </c>
      <c r="B206" s="2" t="s">
        <v>113</v>
      </c>
      <c r="C206" s="2" t="s">
        <v>132</v>
      </c>
      <c r="D206" s="2" t="s">
        <v>12</v>
      </c>
      <c r="E206" s="2">
        <v>16</v>
      </c>
      <c r="F206" s="3">
        <v>87305</v>
      </c>
      <c r="G206" s="2" t="s">
        <v>13</v>
      </c>
      <c r="H206" s="2" t="s">
        <v>18</v>
      </c>
    </row>
    <row r="207" spans="1:8">
      <c r="A207" s="2">
        <v>206</v>
      </c>
      <c r="B207" s="2" t="s">
        <v>106</v>
      </c>
      <c r="C207" s="2" t="s">
        <v>129</v>
      </c>
      <c r="D207" s="2" t="s">
        <v>16</v>
      </c>
      <c r="E207" s="2">
        <v>10</v>
      </c>
      <c r="F207" s="3">
        <v>54003</v>
      </c>
      <c r="G207" s="2" t="s">
        <v>32</v>
      </c>
      <c r="H207" s="2" t="s">
        <v>18</v>
      </c>
    </row>
    <row r="208" spans="1:8">
      <c r="A208" s="2">
        <v>207</v>
      </c>
      <c r="B208" s="2" t="s">
        <v>108</v>
      </c>
      <c r="C208" s="2" t="s">
        <v>130</v>
      </c>
      <c r="D208" s="2" t="s">
        <v>22</v>
      </c>
      <c r="E208" s="2">
        <v>46</v>
      </c>
      <c r="F208" s="3">
        <v>75129</v>
      </c>
      <c r="G208" s="2" t="s">
        <v>13</v>
      </c>
      <c r="H208" s="2" t="s">
        <v>18</v>
      </c>
    </row>
    <row r="209" spans="1:8">
      <c r="A209" s="2">
        <v>208</v>
      </c>
      <c r="B209" s="2" t="s">
        <v>111</v>
      </c>
      <c r="C209" s="2" t="s">
        <v>131</v>
      </c>
      <c r="D209" s="2" t="s">
        <v>22</v>
      </c>
      <c r="E209" s="2">
        <v>21</v>
      </c>
      <c r="F209" s="3">
        <v>67432</v>
      </c>
      <c r="G209" s="2" t="s">
        <v>17</v>
      </c>
      <c r="H209" s="2" t="s">
        <v>29</v>
      </c>
    </row>
    <row r="210" spans="1:8">
      <c r="A210" s="2">
        <v>209</v>
      </c>
      <c r="B210" s="2" t="s">
        <v>112</v>
      </c>
      <c r="C210" s="2" t="s">
        <v>130</v>
      </c>
      <c r="D210" s="2" t="s">
        <v>8</v>
      </c>
      <c r="E210" s="2">
        <v>16</v>
      </c>
      <c r="F210" s="3">
        <v>89967</v>
      </c>
      <c r="G210" s="2" t="s">
        <v>17</v>
      </c>
      <c r="H210" s="2" t="s">
        <v>26</v>
      </c>
    </row>
    <row r="211" spans="1:8">
      <c r="A211" s="2">
        <v>210</v>
      </c>
      <c r="B211" s="2" t="s">
        <v>107</v>
      </c>
      <c r="C211" s="2" t="s">
        <v>131</v>
      </c>
      <c r="D211" s="2" t="s">
        <v>12</v>
      </c>
      <c r="E211" s="2">
        <v>49</v>
      </c>
      <c r="F211" s="3">
        <v>67295</v>
      </c>
      <c r="G211" s="2" t="s">
        <v>13</v>
      </c>
      <c r="H211" s="2" t="s">
        <v>26</v>
      </c>
    </row>
    <row r="212" spans="1:8">
      <c r="A212" s="2">
        <v>211</v>
      </c>
      <c r="B212" s="2" t="s">
        <v>110</v>
      </c>
      <c r="C212" s="2" t="s">
        <v>130</v>
      </c>
      <c r="D212" s="2" t="s">
        <v>12</v>
      </c>
      <c r="E212" s="2">
        <v>44</v>
      </c>
      <c r="F212" s="3">
        <v>85230</v>
      </c>
      <c r="G212" s="2" t="s">
        <v>28</v>
      </c>
      <c r="H212" s="2" t="s">
        <v>23</v>
      </c>
    </row>
    <row r="213" spans="1:8">
      <c r="A213" s="2">
        <v>212</v>
      </c>
      <c r="B213" s="2" t="s">
        <v>112</v>
      </c>
      <c r="C213" s="2" t="s">
        <v>130</v>
      </c>
      <c r="D213" s="2" t="s">
        <v>12</v>
      </c>
      <c r="E213" s="2">
        <v>26</v>
      </c>
      <c r="F213" s="3">
        <v>77228</v>
      </c>
      <c r="G213" s="2" t="s">
        <v>9</v>
      </c>
      <c r="H213" s="2" t="s">
        <v>14</v>
      </c>
    </row>
    <row r="214" spans="1:8">
      <c r="A214" s="2">
        <v>213</v>
      </c>
      <c r="B214" s="2" t="s">
        <v>111</v>
      </c>
      <c r="C214" s="2" t="s">
        <v>131</v>
      </c>
      <c r="D214" s="2" t="s">
        <v>12</v>
      </c>
      <c r="E214" s="2">
        <v>32</v>
      </c>
      <c r="F214" s="3">
        <v>43097</v>
      </c>
      <c r="G214" s="2" t="s">
        <v>25</v>
      </c>
      <c r="H214" s="2" t="s">
        <v>10</v>
      </c>
    </row>
    <row r="215" spans="1:8">
      <c r="A215" s="2">
        <v>214</v>
      </c>
      <c r="B215" s="2" t="s">
        <v>109</v>
      </c>
      <c r="C215" s="2" t="s">
        <v>134</v>
      </c>
      <c r="D215" s="2" t="s">
        <v>22</v>
      </c>
      <c r="E215" s="2">
        <v>10</v>
      </c>
      <c r="F215" s="3">
        <v>45479</v>
      </c>
      <c r="G215" s="2" t="s">
        <v>25</v>
      </c>
      <c r="H215" s="2" t="s">
        <v>23</v>
      </c>
    </row>
    <row r="216" spans="1:8">
      <c r="A216" s="2">
        <v>215</v>
      </c>
      <c r="B216" s="2" t="s">
        <v>114</v>
      </c>
      <c r="C216" s="2" t="s">
        <v>130</v>
      </c>
      <c r="D216" s="2" t="s">
        <v>16</v>
      </c>
      <c r="E216" s="2">
        <v>37</v>
      </c>
      <c r="F216" s="3">
        <v>55706</v>
      </c>
      <c r="G216" s="2" t="s">
        <v>32</v>
      </c>
      <c r="H216" s="2" t="s">
        <v>29</v>
      </c>
    </row>
    <row r="217" spans="1:8">
      <c r="A217" s="2">
        <v>216</v>
      </c>
      <c r="B217" s="2" t="s">
        <v>114</v>
      </c>
      <c r="C217" s="2" t="s">
        <v>135</v>
      </c>
      <c r="D217" s="2" t="s">
        <v>8</v>
      </c>
      <c r="E217" s="2">
        <v>41</v>
      </c>
      <c r="F217" s="3">
        <v>68832</v>
      </c>
      <c r="G217" s="2" t="s">
        <v>20</v>
      </c>
      <c r="H217" s="2" t="s">
        <v>14</v>
      </c>
    </row>
    <row r="218" spans="1:8">
      <c r="A218" s="2">
        <v>217</v>
      </c>
      <c r="B218" s="2" t="s">
        <v>110</v>
      </c>
      <c r="C218" s="2" t="s">
        <v>130</v>
      </c>
      <c r="D218" s="2" t="s">
        <v>22</v>
      </c>
      <c r="E218" s="2">
        <v>18</v>
      </c>
      <c r="F218" s="3">
        <v>52662</v>
      </c>
      <c r="G218" s="2" t="s">
        <v>28</v>
      </c>
      <c r="H218" s="2" t="s">
        <v>26</v>
      </c>
    </row>
    <row r="219" spans="1:8">
      <c r="A219" s="2">
        <v>218</v>
      </c>
      <c r="B219" s="2" t="s">
        <v>112</v>
      </c>
      <c r="C219" s="2" t="s">
        <v>130</v>
      </c>
      <c r="D219" s="2" t="s">
        <v>12</v>
      </c>
      <c r="E219" s="2">
        <v>41</v>
      </c>
      <c r="F219" s="3">
        <v>73970</v>
      </c>
      <c r="G219" s="2" t="s">
        <v>32</v>
      </c>
      <c r="H219" s="2" t="s">
        <v>10</v>
      </c>
    </row>
    <row r="220" spans="1:8">
      <c r="A220" s="2">
        <v>219</v>
      </c>
      <c r="B220" s="2" t="s">
        <v>110</v>
      </c>
      <c r="C220" s="2" t="s">
        <v>135</v>
      </c>
      <c r="D220" s="2" t="s">
        <v>12</v>
      </c>
      <c r="E220" s="2">
        <v>27</v>
      </c>
      <c r="F220" s="3">
        <v>72256</v>
      </c>
      <c r="G220" s="2" t="s">
        <v>13</v>
      </c>
      <c r="H220" s="2" t="s">
        <v>14</v>
      </c>
    </row>
    <row r="221" spans="1:8">
      <c r="A221" s="2">
        <v>220</v>
      </c>
      <c r="B221" s="2" t="s">
        <v>105</v>
      </c>
      <c r="C221" s="2" t="s">
        <v>129</v>
      </c>
      <c r="D221" s="2" t="s">
        <v>8</v>
      </c>
      <c r="E221" s="2">
        <v>25</v>
      </c>
      <c r="F221" s="3">
        <v>33476</v>
      </c>
      <c r="G221" s="2" t="s">
        <v>13</v>
      </c>
      <c r="H221" s="2" t="s">
        <v>10</v>
      </c>
    </row>
    <row r="222" spans="1:8">
      <c r="A222" s="2">
        <v>221</v>
      </c>
      <c r="B222" s="2" t="s">
        <v>112</v>
      </c>
      <c r="C222" s="2" t="s">
        <v>131</v>
      </c>
      <c r="D222" s="2" t="s">
        <v>16</v>
      </c>
      <c r="E222" s="2">
        <v>29</v>
      </c>
      <c r="F222" s="3">
        <v>46064</v>
      </c>
      <c r="G222" s="2" t="s">
        <v>32</v>
      </c>
      <c r="H222" s="2" t="s">
        <v>18</v>
      </c>
    </row>
    <row r="223" spans="1:8">
      <c r="A223" s="2">
        <v>222</v>
      </c>
      <c r="B223" s="2" t="s">
        <v>108</v>
      </c>
      <c r="C223" s="2" t="s">
        <v>133</v>
      </c>
      <c r="D223" s="2" t="s">
        <v>16</v>
      </c>
      <c r="E223" s="2">
        <v>5</v>
      </c>
      <c r="F223" s="3">
        <v>98433</v>
      </c>
      <c r="G223" s="2" t="s">
        <v>25</v>
      </c>
      <c r="H223" s="2" t="s">
        <v>26</v>
      </c>
    </row>
    <row r="224" spans="1:8">
      <c r="A224" s="2">
        <v>223</v>
      </c>
      <c r="B224" s="2" t="s">
        <v>108</v>
      </c>
      <c r="C224" s="2" t="s">
        <v>135</v>
      </c>
      <c r="D224" s="2" t="s">
        <v>16</v>
      </c>
      <c r="E224" s="2">
        <v>41</v>
      </c>
      <c r="F224" s="3">
        <v>29662</v>
      </c>
      <c r="G224" s="2" t="s">
        <v>25</v>
      </c>
      <c r="H224" s="2" t="s">
        <v>26</v>
      </c>
    </row>
    <row r="225" spans="1:8">
      <c r="A225" s="2">
        <v>224</v>
      </c>
      <c r="B225" s="2" t="s">
        <v>105</v>
      </c>
      <c r="C225" s="2" t="s">
        <v>132</v>
      </c>
      <c r="D225" s="2" t="s">
        <v>12</v>
      </c>
      <c r="E225" s="2">
        <v>50</v>
      </c>
      <c r="F225" s="3">
        <v>90387</v>
      </c>
      <c r="G225" s="2" t="s">
        <v>9</v>
      </c>
      <c r="H225" s="2" t="s">
        <v>26</v>
      </c>
    </row>
    <row r="226" spans="1:8">
      <c r="A226" s="2">
        <v>225</v>
      </c>
      <c r="B226" s="2" t="s">
        <v>106</v>
      </c>
      <c r="C226" s="2" t="s">
        <v>129</v>
      </c>
      <c r="D226" s="2" t="s">
        <v>22</v>
      </c>
      <c r="E226" s="2">
        <v>6</v>
      </c>
      <c r="F226" s="3">
        <v>26501</v>
      </c>
      <c r="G226" s="2" t="s">
        <v>38</v>
      </c>
      <c r="H226" s="2" t="s">
        <v>10</v>
      </c>
    </row>
    <row r="227" spans="1:8">
      <c r="A227" s="2">
        <v>226</v>
      </c>
      <c r="B227" s="2" t="s">
        <v>105</v>
      </c>
      <c r="C227" s="2" t="s">
        <v>130</v>
      </c>
      <c r="D227" s="2" t="s">
        <v>22</v>
      </c>
      <c r="E227" s="2">
        <v>26</v>
      </c>
      <c r="F227" s="3">
        <v>48383</v>
      </c>
      <c r="G227" s="2" t="s">
        <v>25</v>
      </c>
      <c r="H227" s="2" t="s">
        <v>10</v>
      </c>
    </row>
    <row r="228" spans="1:8">
      <c r="A228" s="2">
        <v>227</v>
      </c>
      <c r="B228" s="2" t="s">
        <v>105</v>
      </c>
      <c r="C228" s="2" t="s">
        <v>134</v>
      </c>
      <c r="D228" s="2" t="s">
        <v>16</v>
      </c>
      <c r="E228" s="2">
        <v>33</v>
      </c>
      <c r="F228" s="3">
        <v>52838</v>
      </c>
      <c r="G228" s="2" t="s">
        <v>13</v>
      </c>
      <c r="H228" s="2" t="s">
        <v>29</v>
      </c>
    </row>
    <row r="229" spans="1:8">
      <c r="A229" s="2">
        <v>228</v>
      </c>
      <c r="B229" s="2" t="s">
        <v>110</v>
      </c>
      <c r="C229" s="2" t="s">
        <v>135</v>
      </c>
      <c r="D229" s="2" t="s">
        <v>8</v>
      </c>
      <c r="E229" s="2">
        <v>48</v>
      </c>
      <c r="F229" s="3">
        <v>57828</v>
      </c>
      <c r="G229" s="2" t="s">
        <v>9</v>
      </c>
      <c r="H229" s="2" t="s">
        <v>29</v>
      </c>
    </row>
    <row r="230" spans="1:8">
      <c r="A230" s="2">
        <v>229</v>
      </c>
      <c r="B230" s="2" t="s">
        <v>113</v>
      </c>
      <c r="C230" s="2" t="s">
        <v>129</v>
      </c>
      <c r="D230" s="2" t="s">
        <v>16</v>
      </c>
      <c r="E230" s="2">
        <v>18</v>
      </c>
      <c r="F230" s="3">
        <v>25084</v>
      </c>
      <c r="G230" s="2" t="s">
        <v>25</v>
      </c>
      <c r="H230" s="2" t="s">
        <v>29</v>
      </c>
    </row>
    <row r="231" spans="1:8">
      <c r="A231" s="2">
        <v>230</v>
      </c>
      <c r="B231" s="2" t="s">
        <v>108</v>
      </c>
      <c r="C231" s="2" t="s">
        <v>129</v>
      </c>
      <c r="D231" s="2" t="s">
        <v>16</v>
      </c>
      <c r="E231" s="2">
        <v>45</v>
      </c>
      <c r="F231" s="3">
        <v>68863</v>
      </c>
      <c r="G231" s="2" t="s">
        <v>17</v>
      </c>
      <c r="H231" s="2" t="s">
        <v>23</v>
      </c>
    </row>
    <row r="232" spans="1:8">
      <c r="A232" s="2">
        <v>231</v>
      </c>
      <c r="B232" s="2" t="s">
        <v>113</v>
      </c>
      <c r="C232" s="2" t="s">
        <v>130</v>
      </c>
      <c r="D232" s="2" t="s">
        <v>8</v>
      </c>
      <c r="E232" s="2">
        <v>24</v>
      </c>
      <c r="F232" s="3">
        <v>50227</v>
      </c>
      <c r="G232" s="2" t="s">
        <v>9</v>
      </c>
      <c r="H232" s="2" t="s">
        <v>18</v>
      </c>
    </row>
    <row r="233" spans="1:8">
      <c r="A233" s="2">
        <v>232</v>
      </c>
      <c r="B233" s="2" t="s">
        <v>105</v>
      </c>
      <c r="C233" s="2" t="s">
        <v>133</v>
      </c>
      <c r="D233" s="2" t="s">
        <v>16</v>
      </c>
      <c r="E233" s="2">
        <v>30</v>
      </c>
      <c r="F233" s="3">
        <v>82825</v>
      </c>
      <c r="G233" s="2" t="s">
        <v>28</v>
      </c>
      <c r="H233" s="2" t="s">
        <v>18</v>
      </c>
    </row>
    <row r="234" spans="1:8">
      <c r="A234" s="2">
        <v>233</v>
      </c>
      <c r="B234" s="2" t="s">
        <v>106</v>
      </c>
      <c r="C234" s="2" t="s">
        <v>134</v>
      </c>
      <c r="D234" s="2" t="s">
        <v>8</v>
      </c>
      <c r="E234" s="2">
        <v>32</v>
      </c>
      <c r="F234" s="3">
        <v>38080</v>
      </c>
      <c r="G234" s="2" t="s">
        <v>28</v>
      </c>
      <c r="H234" s="2" t="s">
        <v>10</v>
      </c>
    </row>
    <row r="235" spans="1:8">
      <c r="A235" s="2">
        <v>234</v>
      </c>
      <c r="B235" s="2" t="s">
        <v>108</v>
      </c>
      <c r="C235" s="2" t="s">
        <v>134</v>
      </c>
      <c r="D235" s="2" t="s">
        <v>8</v>
      </c>
      <c r="E235" s="2">
        <v>21</v>
      </c>
      <c r="F235" s="3">
        <v>42649</v>
      </c>
      <c r="G235" s="2" t="s">
        <v>38</v>
      </c>
      <c r="H235" s="2" t="s">
        <v>29</v>
      </c>
    </row>
    <row r="236" spans="1:8">
      <c r="A236" s="2">
        <v>235</v>
      </c>
      <c r="B236" s="2" t="s">
        <v>112</v>
      </c>
      <c r="C236" s="2" t="s">
        <v>134</v>
      </c>
      <c r="D236" s="2" t="s">
        <v>22</v>
      </c>
      <c r="E236" s="2">
        <v>38</v>
      </c>
      <c r="F236" s="3">
        <v>56502</v>
      </c>
      <c r="G236" s="2" t="s">
        <v>13</v>
      </c>
      <c r="H236" s="2" t="s">
        <v>26</v>
      </c>
    </row>
    <row r="237" spans="1:8">
      <c r="A237" s="2">
        <v>236</v>
      </c>
      <c r="B237" s="2" t="s">
        <v>112</v>
      </c>
      <c r="C237" s="2" t="s">
        <v>131</v>
      </c>
      <c r="D237" s="2" t="s">
        <v>8</v>
      </c>
      <c r="E237" s="2">
        <v>1</v>
      </c>
      <c r="F237" s="3">
        <v>78599</v>
      </c>
      <c r="G237" s="2" t="s">
        <v>20</v>
      </c>
      <c r="H237" s="2" t="s">
        <v>26</v>
      </c>
    </row>
    <row r="238" spans="1:8">
      <c r="A238" s="2">
        <v>237</v>
      </c>
      <c r="B238" s="2" t="s">
        <v>112</v>
      </c>
      <c r="C238" s="2" t="s">
        <v>132</v>
      </c>
      <c r="D238" s="2" t="s">
        <v>16</v>
      </c>
      <c r="E238" s="2">
        <v>50</v>
      </c>
      <c r="F238" s="3">
        <v>27824</v>
      </c>
      <c r="G238" s="2" t="s">
        <v>25</v>
      </c>
      <c r="H238" s="2" t="s">
        <v>18</v>
      </c>
    </row>
    <row r="239" spans="1:8">
      <c r="A239" s="2">
        <v>238</v>
      </c>
      <c r="B239" s="2" t="s">
        <v>111</v>
      </c>
      <c r="C239" s="2" t="s">
        <v>129</v>
      </c>
      <c r="D239" s="2" t="s">
        <v>8</v>
      </c>
      <c r="E239" s="2">
        <v>47</v>
      </c>
      <c r="F239" s="3">
        <v>25018</v>
      </c>
      <c r="G239" s="2" t="s">
        <v>38</v>
      </c>
      <c r="H239" s="2" t="s">
        <v>18</v>
      </c>
    </row>
    <row r="240" spans="1:8">
      <c r="A240" s="2">
        <v>239</v>
      </c>
      <c r="B240" s="2" t="s">
        <v>110</v>
      </c>
      <c r="C240" s="2" t="s">
        <v>132</v>
      </c>
      <c r="D240" s="2" t="s">
        <v>16</v>
      </c>
      <c r="E240" s="2">
        <v>6</v>
      </c>
      <c r="F240" s="3">
        <v>90932</v>
      </c>
      <c r="G240" s="2" t="s">
        <v>32</v>
      </c>
      <c r="H240" s="2" t="s">
        <v>10</v>
      </c>
    </row>
    <row r="241" spans="1:8">
      <c r="A241" s="2">
        <v>240</v>
      </c>
      <c r="B241" s="2" t="s">
        <v>109</v>
      </c>
      <c r="C241" s="2" t="s">
        <v>132</v>
      </c>
      <c r="D241" s="2" t="s">
        <v>8</v>
      </c>
      <c r="E241" s="2">
        <v>47</v>
      </c>
      <c r="F241" s="3">
        <v>32893</v>
      </c>
      <c r="G241" s="2" t="s">
        <v>28</v>
      </c>
      <c r="H241" s="2" t="s">
        <v>10</v>
      </c>
    </row>
    <row r="242" spans="1:8">
      <c r="A242" s="2">
        <v>241</v>
      </c>
      <c r="B242" s="2" t="s">
        <v>105</v>
      </c>
      <c r="C242" s="2" t="s">
        <v>129</v>
      </c>
      <c r="D242" s="2" t="s">
        <v>22</v>
      </c>
      <c r="E242" s="2">
        <v>30</v>
      </c>
      <c r="F242" s="3">
        <v>38839</v>
      </c>
      <c r="G242" s="2" t="s">
        <v>9</v>
      </c>
      <c r="H242" s="2" t="s">
        <v>14</v>
      </c>
    </row>
    <row r="243" spans="1:8">
      <c r="A243" s="2">
        <v>242</v>
      </c>
      <c r="B243" s="2" t="s">
        <v>109</v>
      </c>
      <c r="C243" s="2" t="s">
        <v>131</v>
      </c>
      <c r="D243" s="2" t="s">
        <v>16</v>
      </c>
      <c r="E243" s="2">
        <v>41</v>
      </c>
      <c r="F243" s="3">
        <v>92963</v>
      </c>
      <c r="G243" s="2" t="s">
        <v>20</v>
      </c>
      <c r="H243" s="2" t="s">
        <v>14</v>
      </c>
    </row>
    <row r="244" spans="1:8">
      <c r="A244" s="2">
        <v>243</v>
      </c>
      <c r="B244" s="2" t="s">
        <v>107</v>
      </c>
      <c r="C244" s="2" t="s">
        <v>134</v>
      </c>
      <c r="D244" s="2" t="s">
        <v>16</v>
      </c>
      <c r="E244" s="2">
        <v>43</v>
      </c>
      <c r="F244" s="3">
        <v>34485</v>
      </c>
      <c r="G244" s="2" t="s">
        <v>9</v>
      </c>
      <c r="H244" s="2" t="s">
        <v>10</v>
      </c>
    </row>
    <row r="245" spans="1:8">
      <c r="A245" s="2">
        <v>244</v>
      </c>
      <c r="B245" s="2" t="s">
        <v>110</v>
      </c>
      <c r="C245" s="2" t="s">
        <v>129</v>
      </c>
      <c r="D245" s="2" t="s">
        <v>16</v>
      </c>
      <c r="E245" s="2">
        <v>45</v>
      </c>
      <c r="F245" s="3">
        <v>88620</v>
      </c>
      <c r="G245" s="2" t="s">
        <v>17</v>
      </c>
      <c r="H245" s="2" t="s">
        <v>14</v>
      </c>
    </row>
    <row r="246" spans="1:8">
      <c r="A246" s="2">
        <v>245</v>
      </c>
      <c r="B246" s="2" t="s">
        <v>112</v>
      </c>
      <c r="C246" s="2" t="s">
        <v>131</v>
      </c>
      <c r="D246" s="2" t="s">
        <v>8</v>
      </c>
      <c r="E246" s="2">
        <v>23</v>
      </c>
      <c r="F246" s="3">
        <v>42104</v>
      </c>
      <c r="G246" s="2" t="s">
        <v>28</v>
      </c>
      <c r="H246" s="2" t="s">
        <v>18</v>
      </c>
    </row>
    <row r="247" spans="1:8">
      <c r="A247" s="2">
        <v>246</v>
      </c>
      <c r="B247" s="2" t="s">
        <v>108</v>
      </c>
      <c r="C247" s="2" t="s">
        <v>133</v>
      </c>
      <c r="D247" s="2" t="s">
        <v>22</v>
      </c>
      <c r="E247" s="2">
        <v>5</v>
      </c>
      <c r="F247" s="3">
        <v>98195</v>
      </c>
      <c r="G247" s="2" t="s">
        <v>17</v>
      </c>
      <c r="H247" s="2" t="s">
        <v>10</v>
      </c>
    </row>
    <row r="248" spans="1:8">
      <c r="A248" s="2">
        <v>247</v>
      </c>
      <c r="B248" s="2" t="s">
        <v>110</v>
      </c>
      <c r="C248" s="2" t="s">
        <v>131</v>
      </c>
      <c r="D248" s="2" t="s">
        <v>22</v>
      </c>
      <c r="E248" s="2">
        <v>35</v>
      </c>
      <c r="F248" s="3">
        <v>38436</v>
      </c>
      <c r="G248" s="2" t="s">
        <v>17</v>
      </c>
      <c r="H248" s="2" t="s">
        <v>10</v>
      </c>
    </row>
    <row r="249" spans="1:8">
      <c r="A249" s="2">
        <v>248</v>
      </c>
      <c r="B249" s="2" t="s">
        <v>111</v>
      </c>
      <c r="C249" s="2" t="s">
        <v>129</v>
      </c>
      <c r="D249" s="2" t="s">
        <v>22</v>
      </c>
      <c r="E249" s="2">
        <v>26</v>
      </c>
      <c r="F249" s="3">
        <v>98049</v>
      </c>
      <c r="G249" s="2" t="s">
        <v>28</v>
      </c>
      <c r="H249" s="2" t="s">
        <v>29</v>
      </c>
    </row>
    <row r="250" spans="1:8">
      <c r="A250" s="2">
        <v>249</v>
      </c>
      <c r="B250" s="2" t="s">
        <v>108</v>
      </c>
      <c r="C250" s="2" t="s">
        <v>130</v>
      </c>
      <c r="D250" s="2" t="s">
        <v>22</v>
      </c>
      <c r="E250" s="2">
        <v>14</v>
      </c>
      <c r="F250" s="3">
        <v>71131</v>
      </c>
      <c r="G250" s="2" t="s">
        <v>17</v>
      </c>
      <c r="H250" s="2" t="s">
        <v>18</v>
      </c>
    </row>
    <row r="251" spans="1:8">
      <c r="A251" s="2">
        <v>250</v>
      </c>
      <c r="B251" s="2" t="s">
        <v>113</v>
      </c>
      <c r="C251" s="2" t="s">
        <v>131</v>
      </c>
      <c r="D251" s="2" t="s">
        <v>8</v>
      </c>
      <c r="E251" s="2">
        <v>28</v>
      </c>
      <c r="F251" s="3">
        <v>26796</v>
      </c>
      <c r="G251" s="2" t="s">
        <v>38</v>
      </c>
      <c r="H251" s="2" t="s">
        <v>18</v>
      </c>
    </row>
    <row r="252" spans="1:8">
      <c r="A252" s="2">
        <v>251</v>
      </c>
      <c r="B252" s="2" t="s">
        <v>111</v>
      </c>
      <c r="C252" s="2" t="s">
        <v>129</v>
      </c>
      <c r="D252" s="2" t="s">
        <v>16</v>
      </c>
      <c r="E252" s="2">
        <v>14</v>
      </c>
      <c r="F252" s="3">
        <v>60827</v>
      </c>
      <c r="G252" s="2" t="s">
        <v>13</v>
      </c>
      <c r="H252" s="2" t="s">
        <v>23</v>
      </c>
    </row>
    <row r="253" spans="1:8">
      <c r="A253" s="2">
        <v>252</v>
      </c>
      <c r="B253" s="2" t="s">
        <v>113</v>
      </c>
      <c r="C253" s="2" t="s">
        <v>131</v>
      </c>
      <c r="D253" s="2" t="s">
        <v>12</v>
      </c>
      <c r="E253" s="2">
        <v>32</v>
      </c>
      <c r="F253" s="3">
        <v>79735</v>
      </c>
      <c r="G253" s="2" t="s">
        <v>20</v>
      </c>
      <c r="H253" s="2" t="s">
        <v>23</v>
      </c>
    </row>
    <row r="254" spans="1:8">
      <c r="A254" s="2">
        <v>253</v>
      </c>
      <c r="B254" s="2" t="s">
        <v>108</v>
      </c>
      <c r="C254" s="2" t="s">
        <v>135</v>
      </c>
      <c r="D254" s="2" t="s">
        <v>22</v>
      </c>
      <c r="E254" s="2">
        <v>18</v>
      </c>
      <c r="F254" s="3">
        <v>71863</v>
      </c>
      <c r="G254" s="2" t="s">
        <v>17</v>
      </c>
      <c r="H254" s="2" t="s">
        <v>29</v>
      </c>
    </row>
    <row r="255" spans="1:8">
      <c r="A255" s="2">
        <v>254</v>
      </c>
      <c r="B255" s="2" t="s">
        <v>112</v>
      </c>
      <c r="C255" s="2" t="s">
        <v>133</v>
      </c>
      <c r="D255" s="2" t="s">
        <v>12</v>
      </c>
      <c r="E255" s="2">
        <v>21</v>
      </c>
      <c r="F255" s="3">
        <v>95516</v>
      </c>
      <c r="G255" s="2" t="s">
        <v>32</v>
      </c>
      <c r="H255" s="2" t="s">
        <v>23</v>
      </c>
    </row>
    <row r="256" spans="1:8">
      <c r="A256" s="2">
        <v>255</v>
      </c>
      <c r="B256" s="2" t="s">
        <v>109</v>
      </c>
      <c r="C256" s="2" t="s">
        <v>135</v>
      </c>
      <c r="D256" s="2" t="s">
        <v>8</v>
      </c>
      <c r="E256" s="2">
        <v>19</v>
      </c>
      <c r="F256" s="3">
        <v>65342</v>
      </c>
      <c r="G256" s="2" t="s">
        <v>25</v>
      </c>
      <c r="H256" s="2" t="s">
        <v>14</v>
      </c>
    </row>
    <row r="257" spans="1:8">
      <c r="A257" s="2">
        <v>256</v>
      </c>
      <c r="B257" s="2" t="s">
        <v>105</v>
      </c>
      <c r="C257" s="2" t="s">
        <v>134</v>
      </c>
      <c r="D257" s="2" t="s">
        <v>8</v>
      </c>
      <c r="E257" s="2">
        <v>22</v>
      </c>
      <c r="F257" s="1" t="s">
        <v>4</v>
      </c>
      <c r="G257" s="2" t="s">
        <v>28</v>
      </c>
      <c r="H257" s="2" t="s">
        <v>10</v>
      </c>
    </row>
    <row r="258" spans="1:8">
      <c r="A258" s="2">
        <v>257</v>
      </c>
      <c r="B258" s="2" t="s">
        <v>110</v>
      </c>
      <c r="C258" s="2" t="s">
        <v>131</v>
      </c>
      <c r="D258" s="2" t="s">
        <v>12</v>
      </c>
      <c r="E258" s="2">
        <v>36</v>
      </c>
      <c r="F258" s="3">
        <v>63178.482291184198</v>
      </c>
      <c r="G258" s="2" t="s">
        <v>17</v>
      </c>
      <c r="H258" s="2" t="s">
        <v>26</v>
      </c>
    </row>
    <row r="259" spans="1:8">
      <c r="A259" s="2">
        <v>258</v>
      </c>
      <c r="B259" s="2" t="s">
        <v>110</v>
      </c>
      <c r="C259" s="2" t="s">
        <v>134</v>
      </c>
      <c r="D259" s="2" t="s">
        <v>16</v>
      </c>
      <c r="E259" s="2">
        <v>37</v>
      </c>
      <c r="F259" s="3">
        <v>63180.628767417402</v>
      </c>
      <c r="G259" s="2" t="s">
        <v>17</v>
      </c>
      <c r="H259" s="2" t="s">
        <v>14</v>
      </c>
    </row>
    <row r="260" spans="1:8">
      <c r="A260" s="2">
        <v>259</v>
      </c>
      <c r="B260" s="2" t="s">
        <v>112</v>
      </c>
      <c r="C260" s="2" t="s">
        <v>131</v>
      </c>
      <c r="D260" s="2" t="s">
        <v>12</v>
      </c>
      <c r="E260" s="2">
        <v>9</v>
      </c>
      <c r="F260" s="3">
        <v>63182.775243650598</v>
      </c>
      <c r="G260" s="2" t="s">
        <v>9</v>
      </c>
      <c r="H260" s="2" t="s">
        <v>18</v>
      </c>
    </row>
    <row r="261" spans="1:8">
      <c r="A261" s="2">
        <v>260</v>
      </c>
      <c r="B261" s="2" t="s">
        <v>105</v>
      </c>
      <c r="C261" s="2" t="s">
        <v>130</v>
      </c>
      <c r="D261" s="2" t="s">
        <v>8</v>
      </c>
      <c r="E261" s="2">
        <v>37</v>
      </c>
      <c r="F261" s="3">
        <v>63184.921719883801</v>
      </c>
      <c r="G261" s="2" t="s">
        <v>9</v>
      </c>
      <c r="H261" s="2" t="s">
        <v>23</v>
      </c>
    </row>
    <row r="262" spans="1:8">
      <c r="A262" s="2">
        <v>261</v>
      </c>
      <c r="B262" s="2" t="s">
        <v>113</v>
      </c>
      <c r="C262" s="2" t="s">
        <v>130</v>
      </c>
      <c r="D262" s="2" t="s">
        <v>12</v>
      </c>
      <c r="E262" s="2">
        <v>32</v>
      </c>
      <c r="F262" s="3">
        <v>63187.068196116998</v>
      </c>
      <c r="G262" s="2" t="s">
        <v>20</v>
      </c>
      <c r="H262" s="2" t="s">
        <v>26</v>
      </c>
    </row>
    <row r="263" spans="1:8">
      <c r="A263" s="2">
        <v>262</v>
      </c>
      <c r="B263" s="2" t="s">
        <v>109</v>
      </c>
      <c r="C263" s="2" t="s">
        <v>130</v>
      </c>
      <c r="D263" s="2" t="s">
        <v>22</v>
      </c>
      <c r="E263" s="2">
        <v>22</v>
      </c>
      <c r="F263" s="3">
        <v>63189.214672350201</v>
      </c>
      <c r="G263" s="2" t="s">
        <v>13</v>
      </c>
      <c r="H263" s="2" t="s">
        <v>14</v>
      </c>
    </row>
    <row r="264" spans="1:8">
      <c r="A264" s="2">
        <v>263</v>
      </c>
      <c r="B264" s="2" t="s">
        <v>105</v>
      </c>
      <c r="C264" s="2" t="s">
        <v>133</v>
      </c>
      <c r="D264" s="2" t="s">
        <v>22</v>
      </c>
      <c r="E264" s="2">
        <v>44</v>
      </c>
      <c r="F264" s="3">
        <v>63191.361148583397</v>
      </c>
      <c r="G264" s="2" t="s">
        <v>28</v>
      </c>
      <c r="H264" s="2" t="s">
        <v>18</v>
      </c>
    </row>
    <row r="265" spans="1:8">
      <c r="A265" s="2">
        <v>264</v>
      </c>
      <c r="B265" s="2" t="s">
        <v>113</v>
      </c>
      <c r="C265" s="2" t="s">
        <v>131</v>
      </c>
      <c r="D265" s="2" t="s">
        <v>16</v>
      </c>
      <c r="E265" s="2">
        <v>49</v>
      </c>
      <c r="F265" s="3">
        <v>63193.507624816702</v>
      </c>
      <c r="G265" s="2" t="s">
        <v>9</v>
      </c>
      <c r="H265" s="2" t="s">
        <v>23</v>
      </c>
    </row>
    <row r="266" spans="1:8">
      <c r="A266" s="2">
        <v>265</v>
      </c>
      <c r="B266" s="2" t="s">
        <v>105</v>
      </c>
      <c r="C266" s="2" t="s">
        <v>131</v>
      </c>
      <c r="D266" s="2" t="s">
        <v>12</v>
      </c>
      <c r="E266" s="2">
        <v>4</v>
      </c>
      <c r="F266" s="3">
        <v>63195.654101049899</v>
      </c>
      <c r="G266" s="2" t="s">
        <v>25</v>
      </c>
      <c r="H266" s="2" t="s">
        <v>10</v>
      </c>
    </row>
    <row r="267" spans="1:8">
      <c r="A267" s="2">
        <v>266</v>
      </c>
      <c r="B267" s="2" t="s">
        <v>107</v>
      </c>
      <c r="C267" s="2" t="s">
        <v>132</v>
      </c>
      <c r="D267" s="2" t="s">
        <v>12</v>
      </c>
      <c r="E267" s="2">
        <v>3</v>
      </c>
      <c r="F267" s="3">
        <v>63197.800577283102</v>
      </c>
      <c r="G267" s="2" t="s">
        <v>25</v>
      </c>
      <c r="H267" s="2" t="s">
        <v>10</v>
      </c>
    </row>
    <row r="268" spans="1:8">
      <c r="A268" s="2">
        <v>267</v>
      </c>
      <c r="B268" s="2" t="s">
        <v>110</v>
      </c>
      <c r="C268" s="2" t="s">
        <v>129</v>
      </c>
      <c r="D268" s="2" t="s">
        <v>12</v>
      </c>
      <c r="E268" s="2">
        <v>7</v>
      </c>
      <c r="F268" s="3">
        <v>63199.947053516298</v>
      </c>
      <c r="G268" s="2" t="s">
        <v>17</v>
      </c>
      <c r="H268" s="2" t="s">
        <v>23</v>
      </c>
    </row>
    <row r="269" spans="1:8">
      <c r="A269" s="2">
        <v>268</v>
      </c>
      <c r="B269" s="2" t="s">
        <v>107</v>
      </c>
      <c r="C269" s="2" t="s">
        <v>135</v>
      </c>
      <c r="D269" s="2" t="s">
        <v>12</v>
      </c>
      <c r="E269" s="2">
        <v>41</v>
      </c>
      <c r="F269" s="3">
        <v>63202.093529749502</v>
      </c>
      <c r="G269" s="2" t="s">
        <v>13</v>
      </c>
      <c r="H269" s="2" t="s">
        <v>10</v>
      </c>
    </row>
    <row r="270" spans="1:8">
      <c r="A270" s="2">
        <v>269</v>
      </c>
      <c r="B270" s="2" t="s">
        <v>105</v>
      </c>
      <c r="C270" s="2" t="s">
        <v>131</v>
      </c>
      <c r="D270" s="2" t="s">
        <v>16</v>
      </c>
      <c r="E270" s="2">
        <v>30</v>
      </c>
      <c r="F270" s="3">
        <v>63204.240005982698</v>
      </c>
      <c r="G270" s="2" t="s">
        <v>13</v>
      </c>
      <c r="H270" s="2" t="s">
        <v>29</v>
      </c>
    </row>
    <row r="271" spans="1:8">
      <c r="A271" s="2">
        <v>270</v>
      </c>
      <c r="B271" s="2" t="s">
        <v>111</v>
      </c>
      <c r="C271" s="2" t="s">
        <v>133</v>
      </c>
      <c r="D271" s="2" t="s">
        <v>8</v>
      </c>
      <c r="E271" s="2">
        <v>2</v>
      </c>
      <c r="F271" s="3">
        <v>63206.386482215901</v>
      </c>
      <c r="G271" s="2" t="s">
        <v>20</v>
      </c>
      <c r="H271" s="2" t="s">
        <v>23</v>
      </c>
    </row>
    <row r="272" spans="1:8">
      <c r="A272" s="2">
        <v>271</v>
      </c>
      <c r="B272" s="2" t="s">
        <v>110</v>
      </c>
      <c r="C272" s="2" t="s">
        <v>135</v>
      </c>
      <c r="D272" s="2" t="s">
        <v>16</v>
      </c>
      <c r="E272" s="2">
        <v>8</v>
      </c>
      <c r="F272" s="3">
        <v>63208.532958449097</v>
      </c>
      <c r="G272" s="2" t="s">
        <v>20</v>
      </c>
      <c r="H272" s="2" t="s">
        <v>29</v>
      </c>
    </row>
    <row r="273" spans="1:8">
      <c r="A273" s="2">
        <v>272</v>
      </c>
      <c r="B273" s="2" t="s">
        <v>109</v>
      </c>
      <c r="C273" s="2" t="s">
        <v>129</v>
      </c>
      <c r="D273" s="2" t="s">
        <v>8</v>
      </c>
      <c r="E273" s="2">
        <v>11</v>
      </c>
      <c r="F273" s="3">
        <v>63210.679434682301</v>
      </c>
      <c r="G273" s="2" t="s">
        <v>25</v>
      </c>
      <c r="H273" s="2" t="s">
        <v>23</v>
      </c>
    </row>
    <row r="274" spans="1:8">
      <c r="A274" s="2">
        <v>273</v>
      </c>
      <c r="B274" s="2" t="s">
        <v>112</v>
      </c>
      <c r="C274" s="2" t="s">
        <v>132</v>
      </c>
      <c r="D274" s="2" t="s">
        <v>8</v>
      </c>
      <c r="E274" s="2">
        <v>29</v>
      </c>
      <c r="F274" s="3">
        <v>63212.825910915497</v>
      </c>
      <c r="G274" s="2" t="s">
        <v>17</v>
      </c>
      <c r="H274" s="2" t="s">
        <v>29</v>
      </c>
    </row>
    <row r="275" spans="1:8">
      <c r="A275" s="2">
        <v>274</v>
      </c>
      <c r="B275" s="2" t="s">
        <v>107</v>
      </c>
      <c r="C275" s="2" t="s">
        <v>135</v>
      </c>
      <c r="D275" s="2" t="s">
        <v>8</v>
      </c>
      <c r="E275" s="2">
        <v>30</v>
      </c>
      <c r="F275" s="3">
        <v>63214.972387148802</v>
      </c>
      <c r="G275" s="2" t="s">
        <v>32</v>
      </c>
      <c r="H275" s="2" t="s">
        <v>10</v>
      </c>
    </row>
    <row r="276" spans="1:8">
      <c r="A276" s="2">
        <v>275</v>
      </c>
      <c r="B276" s="2" t="s">
        <v>112</v>
      </c>
      <c r="C276" s="2" t="s">
        <v>133</v>
      </c>
      <c r="D276" s="2" t="s">
        <v>12</v>
      </c>
      <c r="E276" s="2">
        <v>1</v>
      </c>
      <c r="F276" s="3">
        <v>63217.118863381998</v>
      </c>
      <c r="G276" s="2" t="s">
        <v>17</v>
      </c>
      <c r="H276" s="2" t="s">
        <v>10</v>
      </c>
    </row>
    <row r="277" spans="1:8">
      <c r="A277" s="2">
        <v>276</v>
      </c>
      <c r="B277" s="2" t="s">
        <v>113</v>
      </c>
      <c r="C277" s="2" t="s">
        <v>129</v>
      </c>
      <c r="D277" s="2" t="s">
        <v>16</v>
      </c>
      <c r="E277" s="2">
        <v>28</v>
      </c>
      <c r="F277" s="3">
        <v>63219.265339615202</v>
      </c>
      <c r="G277" s="2" t="s">
        <v>17</v>
      </c>
      <c r="H277" s="2" t="s">
        <v>14</v>
      </c>
    </row>
    <row r="278" spans="1:8">
      <c r="A278" s="2">
        <v>277</v>
      </c>
      <c r="B278" s="2" t="s">
        <v>114</v>
      </c>
      <c r="C278" s="2" t="s">
        <v>130</v>
      </c>
      <c r="D278" s="2" t="s">
        <v>8</v>
      </c>
      <c r="E278" s="2">
        <v>13</v>
      </c>
      <c r="F278" s="3">
        <v>63221.411815848398</v>
      </c>
      <c r="G278" s="2" t="s">
        <v>28</v>
      </c>
      <c r="H278" s="2" t="s">
        <v>18</v>
      </c>
    </row>
    <row r="279" spans="1:8">
      <c r="A279" s="2">
        <v>278</v>
      </c>
      <c r="B279" s="2" t="s">
        <v>111</v>
      </c>
      <c r="C279" s="2" t="s">
        <v>130</v>
      </c>
      <c r="D279" s="2" t="s">
        <v>22</v>
      </c>
      <c r="E279" s="2">
        <v>45</v>
      </c>
      <c r="F279" s="3">
        <v>63223.558292081601</v>
      </c>
      <c r="G279" s="2" t="s">
        <v>28</v>
      </c>
      <c r="H279" s="2" t="s">
        <v>29</v>
      </c>
    </row>
    <row r="280" spans="1:8">
      <c r="A280" s="2">
        <v>279</v>
      </c>
      <c r="B280" s="2" t="s">
        <v>113</v>
      </c>
      <c r="C280" s="2" t="s">
        <v>130</v>
      </c>
      <c r="D280" s="2" t="s">
        <v>8</v>
      </c>
      <c r="E280" s="2">
        <v>9</v>
      </c>
      <c r="F280" s="3">
        <v>63225.704768314798</v>
      </c>
      <c r="G280" s="2" t="s">
        <v>13</v>
      </c>
      <c r="H280" s="2" t="s">
        <v>26</v>
      </c>
    </row>
    <row r="281" spans="1:8">
      <c r="A281" s="2">
        <v>280</v>
      </c>
      <c r="B281" s="2" t="s">
        <v>106</v>
      </c>
      <c r="C281" s="2" t="s">
        <v>129</v>
      </c>
      <c r="D281" s="2" t="s">
        <v>16</v>
      </c>
      <c r="E281" s="2">
        <v>42</v>
      </c>
      <c r="F281" s="3">
        <v>63227.851244548001</v>
      </c>
      <c r="G281" s="2" t="s">
        <v>28</v>
      </c>
      <c r="H281" s="2" t="s">
        <v>23</v>
      </c>
    </row>
    <row r="282" spans="1:8">
      <c r="A282" s="2">
        <v>281</v>
      </c>
      <c r="B282" s="2" t="s">
        <v>113</v>
      </c>
      <c r="C282" s="2" t="s">
        <v>132</v>
      </c>
      <c r="D282" s="2" t="s">
        <v>12</v>
      </c>
      <c r="E282" s="2">
        <v>20</v>
      </c>
      <c r="F282" s="3">
        <v>63229.997720781197</v>
      </c>
      <c r="G282" s="2" t="s">
        <v>9</v>
      </c>
      <c r="H282" s="2" t="s">
        <v>10</v>
      </c>
    </row>
    <row r="283" spans="1:8">
      <c r="A283" s="2">
        <v>282</v>
      </c>
      <c r="B283" s="2" t="s">
        <v>113</v>
      </c>
      <c r="C283" s="2" t="s">
        <v>133</v>
      </c>
      <c r="D283" s="2" t="s">
        <v>22</v>
      </c>
      <c r="E283" s="2">
        <v>11</v>
      </c>
      <c r="F283" s="3">
        <v>63232.144197014401</v>
      </c>
      <c r="G283" s="2" t="s">
        <v>17</v>
      </c>
      <c r="H283" s="2" t="s">
        <v>10</v>
      </c>
    </row>
    <row r="284" spans="1:8">
      <c r="A284" s="2">
        <v>283</v>
      </c>
      <c r="B284" s="2" t="s">
        <v>114</v>
      </c>
      <c r="C284" s="2" t="s">
        <v>131</v>
      </c>
      <c r="D284" s="2" t="s">
        <v>8</v>
      </c>
      <c r="E284" s="2">
        <v>18</v>
      </c>
      <c r="F284" s="3">
        <v>63234.290673247597</v>
      </c>
      <c r="G284" s="2" t="s">
        <v>9</v>
      </c>
      <c r="H284" s="2" t="s">
        <v>23</v>
      </c>
    </row>
    <row r="285" spans="1:8">
      <c r="A285" s="2">
        <v>284</v>
      </c>
      <c r="B285" s="2" t="s">
        <v>110</v>
      </c>
      <c r="C285" s="2" t="s">
        <v>130</v>
      </c>
      <c r="D285" s="2" t="s">
        <v>12</v>
      </c>
      <c r="E285" s="2">
        <v>6</v>
      </c>
      <c r="F285" s="3">
        <v>63236.437149480902</v>
      </c>
      <c r="G285" s="2" t="s">
        <v>13</v>
      </c>
      <c r="H285" s="2" t="s">
        <v>18</v>
      </c>
    </row>
    <row r="286" spans="1:8">
      <c r="A286" s="2">
        <v>285</v>
      </c>
      <c r="B286" s="2" t="s">
        <v>111</v>
      </c>
      <c r="C286" s="2" t="s">
        <v>129</v>
      </c>
      <c r="D286" s="2" t="s">
        <v>16</v>
      </c>
      <c r="E286" s="2">
        <v>42</v>
      </c>
      <c r="F286" s="3">
        <v>63238.583625714098</v>
      </c>
      <c r="G286" s="2" t="s">
        <v>25</v>
      </c>
      <c r="H286" s="2" t="s">
        <v>23</v>
      </c>
    </row>
    <row r="287" spans="1:8">
      <c r="A287" s="2">
        <v>286</v>
      </c>
      <c r="B287" s="2" t="s">
        <v>111</v>
      </c>
      <c r="C287" s="2" t="s">
        <v>135</v>
      </c>
      <c r="D287" s="2" t="s">
        <v>16</v>
      </c>
      <c r="E287" s="2">
        <v>24</v>
      </c>
      <c r="F287" s="3">
        <v>63240.730101947302</v>
      </c>
      <c r="G287" s="2" t="s">
        <v>25</v>
      </c>
      <c r="H287" s="2" t="s">
        <v>26</v>
      </c>
    </row>
    <row r="288" spans="1:8">
      <c r="A288" s="2">
        <v>287</v>
      </c>
      <c r="B288" s="2" t="s">
        <v>109</v>
      </c>
      <c r="C288" s="2" t="s">
        <v>130</v>
      </c>
      <c r="D288" s="2" t="s">
        <v>22</v>
      </c>
      <c r="E288" s="2">
        <v>17</v>
      </c>
      <c r="F288" s="3">
        <v>63242.876578180498</v>
      </c>
      <c r="G288" s="2" t="s">
        <v>38</v>
      </c>
      <c r="H288" s="2" t="s">
        <v>29</v>
      </c>
    </row>
    <row r="289" spans="1:8">
      <c r="A289" s="2">
        <v>288</v>
      </c>
      <c r="B289" s="2" t="s">
        <v>113</v>
      </c>
      <c r="C289" s="2" t="s">
        <v>134</v>
      </c>
      <c r="D289" s="2" t="s">
        <v>22</v>
      </c>
      <c r="E289" s="2">
        <v>6</v>
      </c>
      <c r="F289" s="3">
        <v>63245.023054413701</v>
      </c>
      <c r="G289" s="2" t="s">
        <v>25</v>
      </c>
      <c r="H289" s="2" t="s">
        <v>29</v>
      </c>
    </row>
    <row r="290" spans="1:8">
      <c r="A290" s="2">
        <v>289</v>
      </c>
      <c r="B290" s="2" t="s">
        <v>111</v>
      </c>
      <c r="C290" s="2" t="s">
        <v>133</v>
      </c>
      <c r="D290" s="2" t="s">
        <v>8</v>
      </c>
      <c r="E290" s="2">
        <v>24</v>
      </c>
      <c r="F290" s="3">
        <v>63247.169530646897</v>
      </c>
      <c r="G290" s="2" t="s">
        <v>32</v>
      </c>
      <c r="H290" s="2" t="s">
        <v>26</v>
      </c>
    </row>
    <row r="291" spans="1:8">
      <c r="A291" s="2">
        <v>290</v>
      </c>
      <c r="B291" s="2" t="s">
        <v>108</v>
      </c>
      <c r="C291" s="2" t="s">
        <v>135</v>
      </c>
      <c r="D291" s="2" t="s">
        <v>12</v>
      </c>
      <c r="E291" s="2">
        <v>43</v>
      </c>
      <c r="F291" s="3">
        <v>63249.316006880101</v>
      </c>
      <c r="G291" s="2" t="s">
        <v>28</v>
      </c>
      <c r="H291" s="2" t="s">
        <v>26</v>
      </c>
    </row>
    <row r="292" spans="1:8">
      <c r="A292" s="2">
        <v>291</v>
      </c>
      <c r="B292" s="2" t="s">
        <v>109</v>
      </c>
      <c r="C292" s="2" t="s">
        <v>132</v>
      </c>
      <c r="D292" s="2" t="s">
        <v>12</v>
      </c>
      <c r="E292" s="2">
        <v>42</v>
      </c>
      <c r="F292" s="3">
        <v>63251.462483113297</v>
      </c>
      <c r="G292" s="2" t="s">
        <v>20</v>
      </c>
      <c r="H292" s="2" t="s">
        <v>14</v>
      </c>
    </row>
    <row r="293" spans="1:8">
      <c r="A293" s="2">
        <v>292</v>
      </c>
      <c r="B293" s="2" t="s">
        <v>108</v>
      </c>
      <c r="C293" s="2" t="s">
        <v>132</v>
      </c>
      <c r="D293" s="2" t="s">
        <v>16</v>
      </c>
      <c r="E293" s="2">
        <v>11</v>
      </c>
      <c r="F293" s="3">
        <v>63253.6089593465</v>
      </c>
      <c r="G293" s="2" t="s">
        <v>32</v>
      </c>
      <c r="H293" s="2" t="s">
        <v>26</v>
      </c>
    </row>
    <row r="294" spans="1:8">
      <c r="A294" s="2">
        <v>293</v>
      </c>
      <c r="B294" s="2" t="s">
        <v>114</v>
      </c>
      <c r="C294" s="2" t="s">
        <v>129</v>
      </c>
      <c r="D294" s="2" t="s">
        <v>16</v>
      </c>
      <c r="E294" s="2">
        <v>4</v>
      </c>
      <c r="F294" s="3">
        <v>63255.755435579696</v>
      </c>
      <c r="G294" s="2" t="s">
        <v>25</v>
      </c>
      <c r="H294" s="2" t="s">
        <v>26</v>
      </c>
    </row>
    <row r="295" spans="1:8">
      <c r="A295" s="2">
        <v>294</v>
      </c>
      <c r="B295" s="2" t="s">
        <v>108</v>
      </c>
      <c r="C295" s="2" t="s">
        <v>132</v>
      </c>
      <c r="D295" s="2" t="s">
        <v>8</v>
      </c>
      <c r="E295" s="2">
        <v>26</v>
      </c>
      <c r="F295" s="3">
        <v>63257.901911813002</v>
      </c>
      <c r="G295" s="2" t="s">
        <v>13</v>
      </c>
      <c r="H295" s="2" t="s">
        <v>23</v>
      </c>
    </row>
    <row r="296" spans="1:8">
      <c r="A296" s="2">
        <v>295</v>
      </c>
      <c r="B296" s="2" t="s">
        <v>112</v>
      </c>
      <c r="C296" s="2" t="s">
        <v>134</v>
      </c>
      <c r="D296" s="2" t="s">
        <v>8</v>
      </c>
      <c r="E296" s="2">
        <v>41</v>
      </c>
      <c r="F296" s="3">
        <v>63260.048388046198</v>
      </c>
      <c r="G296" s="2" t="s">
        <v>20</v>
      </c>
      <c r="H296" s="2" t="s">
        <v>10</v>
      </c>
    </row>
    <row r="297" spans="1:8">
      <c r="A297" s="2">
        <v>296</v>
      </c>
      <c r="B297" s="2" t="s">
        <v>105</v>
      </c>
      <c r="C297" s="2" t="s">
        <v>130</v>
      </c>
      <c r="D297" s="2" t="s">
        <v>16</v>
      </c>
      <c r="E297" s="2">
        <v>20</v>
      </c>
      <c r="F297" s="3">
        <v>63262.194864279401</v>
      </c>
      <c r="G297" s="2" t="s">
        <v>20</v>
      </c>
      <c r="H297" s="2" t="s">
        <v>14</v>
      </c>
    </row>
    <row r="298" spans="1:8">
      <c r="A298" s="2">
        <v>297</v>
      </c>
      <c r="B298" s="2" t="s">
        <v>108</v>
      </c>
      <c r="C298" s="2" t="s">
        <v>135</v>
      </c>
      <c r="D298" s="2" t="s">
        <v>16</v>
      </c>
      <c r="E298" s="2">
        <v>47</v>
      </c>
      <c r="F298" s="3">
        <v>63264.341340512598</v>
      </c>
      <c r="G298" s="2" t="s">
        <v>20</v>
      </c>
      <c r="H298" s="2" t="s">
        <v>23</v>
      </c>
    </row>
    <row r="299" spans="1:8">
      <c r="A299" s="2">
        <v>298</v>
      </c>
      <c r="B299" s="2" t="s">
        <v>114</v>
      </c>
      <c r="C299" s="2" t="s">
        <v>130</v>
      </c>
      <c r="D299" s="2" t="s">
        <v>12</v>
      </c>
      <c r="E299" s="2">
        <v>45</v>
      </c>
      <c r="F299" s="3">
        <v>63266.487816745801</v>
      </c>
      <c r="G299" s="2" t="s">
        <v>9</v>
      </c>
      <c r="H299" s="2" t="s">
        <v>23</v>
      </c>
    </row>
    <row r="300" spans="1:8">
      <c r="A300" s="2">
        <v>299</v>
      </c>
      <c r="B300" s="2" t="s">
        <v>112</v>
      </c>
      <c r="C300" s="2" t="s">
        <v>131</v>
      </c>
      <c r="D300" s="2" t="s">
        <v>12</v>
      </c>
      <c r="E300" s="2">
        <v>49</v>
      </c>
      <c r="F300" s="3">
        <v>63268.634292978997</v>
      </c>
      <c r="G300" s="2" t="s">
        <v>38</v>
      </c>
      <c r="H300" s="2" t="s">
        <v>10</v>
      </c>
    </row>
    <row r="301" spans="1:8">
      <c r="A301" s="2">
        <v>300</v>
      </c>
      <c r="B301" s="2" t="s">
        <v>114</v>
      </c>
      <c r="C301" s="2" t="s">
        <v>133</v>
      </c>
      <c r="D301" s="2" t="s">
        <v>12</v>
      </c>
      <c r="E301" s="2">
        <v>15</v>
      </c>
      <c r="F301" s="3">
        <v>63270.780769212201</v>
      </c>
      <c r="G301" s="2" t="s">
        <v>38</v>
      </c>
      <c r="H301" s="2" t="s">
        <v>18</v>
      </c>
    </row>
    <row r="302" spans="1:8">
      <c r="A302" s="2">
        <v>301</v>
      </c>
      <c r="B302" s="2" t="s">
        <v>114</v>
      </c>
      <c r="C302" s="2" t="s">
        <v>130</v>
      </c>
      <c r="D302" s="2" t="s">
        <v>8</v>
      </c>
      <c r="E302" s="2">
        <v>28</v>
      </c>
      <c r="F302" s="3">
        <v>63272.927245445397</v>
      </c>
      <c r="G302" s="2" t="s">
        <v>13</v>
      </c>
      <c r="H302" s="2" t="s">
        <v>23</v>
      </c>
    </row>
    <row r="303" spans="1:8">
      <c r="A303" s="2">
        <v>302</v>
      </c>
      <c r="B303" s="2" t="s">
        <v>113</v>
      </c>
      <c r="C303" s="2" t="s">
        <v>129</v>
      </c>
      <c r="D303" s="2" t="s">
        <v>12</v>
      </c>
      <c r="E303" s="2">
        <v>42</v>
      </c>
      <c r="F303" s="3">
        <v>63275.0737216786</v>
      </c>
      <c r="G303" s="2" t="s">
        <v>20</v>
      </c>
      <c r="H303" s="2" t="s">
        <v>14</v>
      </c>
    </row>
    <row r="304" spans="1:8">
      <c r="A304" s="2">
        <v>303</v>
      </c>
      <c r="B304" s="2" t="s">
        <v>114</v>
      </c>
      <c r="C304" s="2" t="s">
        <v>130</v>
      </c>
      <c r="D304" s="2" t="s">
        <v>22</v>
      </c>
      <c r="E304" s="2">
        <v>6</v>
      </c>
      <c r="F304" s="3">
        <v>63277.220197911804</v>
      </c>
      <c r="G304" s="2" t="s">
        <v>20</v>
      </c>
      <c r="H304" s="2" t="s">
        <v>10</v>
      </c>
    </row>
    <row r="305" spans="1:8">
      <c r="A305" s="2">
        <v>304</v>
      </c>
      <c r="B305" s="2" t="s">
        <v>108</v>
      </c>
      <c r="C305" s="2" t="s">
        <v>133</v>
      </c>
      <c r="D305" s="2" t="s">
        <v>22</v>
      </c>
      <c r="E305" s="2">
        <v>46</v>
      </c>
      <c r="F305" s="3">
        <v>63279.366674145102</v>
      </c>
      <c r="G305" s="2" t="s">
        <v>28</v>
      </c>
      <c r="H305" s="2" t="s">
        <v>29</v>
      </c>
    </row>
    <row r="306" spans="1:8">
      <c r="A306" s="2">
        <v>305</v>
      </c>
      <c r="B306" s="2" t="s">
        <v>105</v>
      </c>
      <c r="C306" s="2" t="s">
        <v>135</v>
      </c>
      <c r="D306" s="2" t="s">
        <v>12</v>
      </c>
      <c r="E306" s="2">
        <v>7</v>
      </c>
      <c r="F306" s="3">
        <v>63281.513150378298</v>
      </c>
      <c r="G306" s="2" t="s">
        <v>25</v>
      </c>
      <c r="H306" s="2" t="s">
        <v>18</v>
      </c>
    </row>
    <row r="307" spans="1:8">
      <c r="A307" s="2">
        <v>306</v>
      </c>
      <c r="B307" s="2" t="s">
        <v>114</v>
      </c>
      <c r="C307" s="2" t="s">
        <v>134</v>
      </c>
      <c r="D307" s="2" t="s">
        <v>12</v>
      </c>
      <c r="E307" s="2">
        <v>1</v>
      </c>
      <c r="F307" s="3">
        <v>63283.659626611501</v>
      </c>
      <c r="G307" s="2" t="s">
        <v>20</v>
      </c>
      <c r="H307" s="2" t="s">
        <v>10</v>
      </c>
    </row>
    <row r="308" spans="1:8">
      <c r="A308" s="2">
        <v>307</v>
      </c>
      <c r="B308" s="2" t="s">
        <v>114</v>
      </c>
      <c r="C308" s="2" t="s">
        <v>135</v>
      </c>
      <c r="D308" s="2" t="s">
        <v>16</v>
      </c>
      <c r="E308" s="2">
        <v>14</v>
      </c>
      <c r="F308" s="3">
        <v>63285.806102844697</v>
      </c>
      <c r="G308" s="2" t="s">
        <v>13</v>
      </c>
      <c r="H308" s="2" t="s">
        <v>14</v>
      </c>
    </row>
    <row r="309" spans="1:8">
      <c r="A309" s="2">
        <v>308</v>
      </c>
      <c r="B309" s="2" t="s">
        <v>111</v>
      </c>
      <c r="C309" s="2" t="s">
        <v>135</v>
      </c>
      <c r="D309" s="2" t="s">
        <v>16</v>
      </c>
      <c r="E309" s="2">
        <v>31</v>
      </c>
      <c r="F309" s="3">
        <v>63287.952579077901</v>
      </c>
      <c r="G309" s="2" t="s">
        <v>28</v>
      </c>
      <c r="H309" s="2" t="s">
        <v>23</v>
      </c>
    </row>
    <row r="310" spans="1:8">
      <c r="A310" s="2">
        <v>309</v>
      </c>
      <c r="B310" s="2" t="s">
        <v>106</v>
      </c>
      <c r="C310" s="2" t="s">
        <v>129</v>
      </c>
      <c r="D310" s="2" t="s">
        <v>8</v>
      </c>
      <c r="E310" s="2">
        <v>5</v>
      </c>
      <c r="F310" s="3">
        <v>63290.099055311097</v>
      </c>
      <c r="G310" s="2" t="s">
        <v>32</v>
      </c>
      <c r="H310" s="2" t="s">
        <v>14</v>
      </c>
    </row>
    <row r="311" spans="1:8">
      <c r="A311" s="2">
        <v>310</v>
      </c>
      <c r="B311" s="2" t="s">
        <v>107</v>
      </c>
      <c r="C311" s="2" t="s">
        <v>133</v>
      </c>
      <c r="D311" s="2" t="s">
        <v>22</v>
      </c>
      <c r="E311" s="2">
        <v>9</v>
      </c>
      <c r="F311" s="3">
        <v>63292.2455315443</v>
      </c>
      <c r="G311" s="2" t="s">
        <v>32</v>
      </c>
      <c r="H311" s="2" t="s">
        <v>26</v>
      </c>
    </row>
    <row r="312" spans="1:8">
      <c r="A312" s="2">
        <v>311</v>
      </c>
      <c r="B312" s="2" t="s">
        <v>112</v>
      </c>
      <c r="C312" s="2" t="s">
        <v>135</v>
      </c>
      <c r="D312" s="2" t="s">
        <v>22</v>
      </c>
      <c r="E312" s="2">
        <v>38</v>
      </c>
      <c r="F312" s="3">
        <v>63294.392007777496</v>
      </c>
      <c r="G312" s="2" t="s">
        <v>28</v>
      </c>
      <c r="H312" s="2" t="s">
        <v>23</v>
      </c>
    </row>
    <row r="313" spans="1:8">
      <c r="A313" s="2">
        <v>312</v>
      </c>
      <c r="B313" s="2" t="s">
        <v>106</v>
      </c>
      <c r="C313" s="2" t="s">
        <v>135</v>
      </c>
      <c r="D313" s="2" t="s">
        <v>8</v>
      </c>
      <c r="E313" s="2">
        <v>15</v>
      </c>
      <c r="F313" s="3">
        <v>63296.5384840107</v>
      </c>
      <c r="G313" s="2" t="s">
        <v>9</v>
      </c>
      <c r="H313" s="2" t="s">
        <v>10</v>
      </c>
    </row>
    <row r="314" spans="1:8">
      <c r="A314" s="2">
        <v>313</v>
      </c>
      <c r="B314" s="2" t="s">
        <v>112</v>
      </c>
      <c r="C314" s="2" t="s">
        <v>134</v>
      </c>
      <c r="D314" s="2" t="s">
        <v>12</v>
      </c>
      <c r="E314" s="2">
        <v>34</v>
      </c>
      <c r="F314" s="3">
        <v>63298.684960243903</v>
      </c>
      <c r="G314" s="2" t="s">
        <v>25</v>
      </c>
      <c r="H314" s="2" t="s">
        <v>18</v>
      </c>
    </row>
    <row r="315" spans="1:8">
      <c r="A315" s="2">
        <v>314</v>
      </c>
      <c r="B315" s="2" t="s">
        <v>107</v>
      </c>
      <c r="C315" s="2" t="s">
        <v>132</v>
      </c>
      <c r="D315" s="2" t="s">
        <v>12</v>
      </c>
      <c r="E315" s="2">
        <v>44</v>
      </c>
      <c r="F315" s="3">
        <v>63300.831436477201</v>
      </c>
      <c r="G315" s="2" t="s">
        <v>25</v>
      </c>
      <c r="H315" s="2" t="s">
        <v>10</v>
      </c>
    </row>
    <row r="316" spans="1:8">
      <c r="A316" s="2">
        <v>315</v>
      </c>
      <c r="B316" s="2" t="s">
        <v>105</v>
      </c>
      <c r="C316" s="2" t="s">
        <v>134</v>
      </c>
      <c r="D316" s="2" t="s">
        <v>8</v>
      </c>
      <c r="E316" s="2">
        <v>29</v>
      </c>
      <c r="F316" s="3">
        <v>63302.977912710398</v>
      </c>
      <c r="G316" s="2" t="s">
        <v>25</v>
      </c>
      <c r="H316" s="2" t="s">
        <v>26</v>
      </c>
    </row>
    <row r="317" spans="1:8">
      <c r="A317" s="2">
        <v>316</v>
      </c>
      <c r="B317" s="2" t="s">
        <v>109</v>
      </c>
      <c r="C317" s="2" t="s">
        <v>133</v>
      </c>
      <c r="D317" s="2" t="s">
        <v>22</v>
      </c>
      <c r="E317" s="2">
        <v>1</v>
      </c>
      <c r="F317" s="3">
        <v>63305.124388943601</v>
      </c>
      <c r="G317" s="2" t="s">
        <v>38</v>
      </c>
      <c r="H317" s="2" t="s">
        <v>26</v>
      </c>
    </row>
    <row r="318" spans="1:8">
      <c r="A318" s="2">
        <v>317</v>
      </c>
      <c r="B318" s="2" t="s">
        <v>107</v>
      </c>
      <c r="C318" s="2" t="s">
        <v>133</v>
      </c>
      <c r="D318" s="2" t="s">
        <v>22</v>
      </c>
      <c r="E318" s="2">
        <v>1</v>
      </c>
      <c r="F318" s="3">
        <v>63307.270865176797</v>
      </c>
      <c r="G318" s="2" t="s">
        <v>38</v>
      </c>
      <c r="H318" s="2" t="s">
        <v>14</v>
      </c>
    </row>
    <row r="319" spans="1:8">
      <c r="A319" s="2">
        <v>318</v>
      </c>
      <c r="B319" s="2" t="s">
        <v>110</v>
      </c>
      <c r="C319" s="2" t="s">
        <v>129</v>
      </c>
      <c r="D319" s="2" t="s">
        <v>12</v>
      </c>
      <c r="E319" s="2">
        <v>45</v>
      </c>
      <c r="F319" s="3">
        <v>63309.417341410001</v>
      </c>
      <c r="G319" s="2" t="s">
        <v>17</v>
      </c>
      <c r="H319" s="2" t="s">
        <v>14</v>
      </c>
    </row>
    <row r="320" spans="1:8">
      <c r="A320" s="2">
        <v>319</v>
      </c>
      <c r="B320" s="2" t="s">
        <v>106</v>
      </c>
      <c r="C320" s="2" t="s">
        <v>130</v>
      </c>
      <c r="D320" s="2" t="s">
        <v>16</v>
      </c>
      <c r="E320" s="2">
        <v>22</v>
      </c>
      <c r="F320" s="3">
        <v>63311.563817643197</v>
      </c>
      <c r="G320" s="2" t="s">
        <v>17</v>
      </c>
      <c r="H320" s="2" t="s">
        <v>29</v>
      </c>
    </row>
    <row r="321" spans="1:8">
      <c r="A321" s="2">
        <v>320</v>
      </c>
      <c r="B321" s="2" t="s">
        <v>108</v>
      </c>
      <c r="C321" s="2" t="s">
        <v>130</v>
      </c>
      <c r="D321" s="2" t="s">
        <v>8</v>
      </c>
      <c r="E321" s="2">
        <v>8</v>
      </c>
      <c r="F321" s="3">
        <v>63313.7102938764</v>
      </c>
      <c r="G321" s="2" t="s">
        <v>9</v>
      </c>
      <c r="H321" s="2" t="s">
        <v>29</v>
      </c>
    </row>
    <row r="322" spans="1:8">
      <c r="A322" s="2">
        <v>321</v>
      </c>
      <c r="B322" s="2" t="s">
        <v>113</v>
      </c>
      <c r="C322" s="2" t="s">
        <v>130</v>
      </c>
      <c r="D322" s="2" t="s">
        <v>8</v>
      </c>
      <c r="E322" s="2">
        <v>28</v>
      </c>
      <c r="F322" s="3">
        <v>63315.856770109604</v>
      </c>
      <c r="G322" s="2" t="s">
        <v>9</v>
      </c>
      <c r="H322" s="2" t="s">
        <v>23</v>
      </c>
    </row>
    <row r="323" spans="1:8">
      <c r="A323" s="2">
        <v>322</v>
      </c>
      <c r="B323" s="2" t="s">
        <v>110</v>
      </c>
      <c r="C323" s="2" t="s">
        <v>132</v>
      </c>
      <c r="D323" s="2" t="s">
        <v>12</v>
      </c>
      <c r="E323" s="2">
        <v>45</v>
      </c>
      <c r="F323" s="3">
        <v>63318.0032463428</v>
      </c>
      <c r="G323" s="2" t="s">
        <v>28</v>
      </c>
      <c r="H323" s="2" t="s">
        <v>26</v>
      </c>
    </row>
    <row r="324" spans="1:8">
      <c r="A324" s="2">
        <v>323</v>
      </c>
      <c r="B324" s="2" t="s">
        <v>114</v>
      </c>
      <c r="C324" s="2" t="s">
        <v>133</v>
      </c>
      <c r="D324" s="2" t="s">
        <v>8</v>
      </c>
      <c r="E324" s="2">
        <v>9</v>
      </c>
      <c r="F324" s="3">
        <v>63320.149722576003</v>
      </c>
      <c r="G324" s="2" t="s">
        <v>9</v>
      </c>
      <c r="H324" s="2" t="s">
        <v>14</v>
      </c>
    </row>
    <row r="325" spans="1:8">
      <c r="A325" s="2">
        <v>324</v>
      </c>
      <c r="B325" s="2" t="s">
        <v>114</v>
      </c>
      <c r="C325" s="2" t="s">
        <v>132</v>
      </c>
      <c r="D325" s="2" t="s">
        <v>22</v>
      </c>
      <c r="E325" s="2">
        <v>31</v>
      </c>
      <c r="F325" s="3">
        <v>63322.296198809301</v>
      </c>
      <c r="G325" s="2" t="s">
        <v>25</v>
      </c>
      <c r="H325" s="2" t="s">
        <v>29</v>
      </c>
    </row>
    <row r="326" spans="1:8">
      <c r="A326" s="2">
        <v>325</v>
      </c>
      <c r="B326" s="2" t="s">
        <v>108</v>
      </c>
      <c r="C326" s="2" t="s">
        <v>130</v>
      </c>
      <c r="D326" s="2" t="s">
        <v>12</v>
      </c>
      <c r="E326" s="2">
        <v>5</v>
      </c>
      <c r="F326" s="3">
        <v>63324.442675042497</v>
      </c>
      <c r="G326" s="2" t="s">
        <v>25</v>
      </c>
      <c r="H326" s="2" t="s">
        <v>26</v>
      </c>
    </row>
    <row r="327" spans="1:8">
      <c r="A327" s="2">
        <v>326</v>
      </c>
      <c r="B327" s="2" t="s">
        <v>108</v>
      </c>
      <c r="C327" s="2" t="s">
        <v>130</v>
      </c>
      <c r="D327" s="2" t="s">
        <v>22</v>
      </c>
      <c r="E327" s="2">
        <v>15</v>
      </c>
      <c r="F327" s="3">
        <v>63326.589151275701</v>
      </c>
      <c r="G327" s="2" t="s">
        <v>9</v>
      </c>
      <c r="H327" s="2" t="s">
        <v>29</v>
      </c>
    </row>
    <row r="328" spans="1:8">
      <c r="A328" s="2">
        <v>327</v>
      </c>
      <c r="B328" s="2" t="s">
        <v>111</v>
      </c>
      <c r="C328" s="2" t="s">
        <v>134</v>
      </c>
      <c r="D328" s="2" t="s">
        <v>16</v>
      </c>
      <c r="E328" s="2">
        <v>25</v>
      </c>
      <c r="F328" s="3">
        <v>63328.735627508897</v>
      </c>
      <c r="G328" s="2" t="s">
        <v>13</v>
      </c>
      <c r="H328" s="2" t="s">
        <v>10</v>
      </c>
    </row>
    <row r="329" spans="1:8">
      <c r="A329" s="2">
        <v>328</v>
      </c>
      <c r="B329" s="2" t="s">
        <v>112</v>
      </c>
      <c r="C329" s="2" t="s">
        <v>133</v>
      </c>
      <c r="D329" s="2" t="s">
        <v>8</v>
      </c>
      <c r="E329" s="2">
        <v>6</v>
      </c>
      <c r="F329" s="3">
        <v>63330.8821037421</v>
      </c>
      <c r="G329" s="2" t="s">
        <v>28</v>
      </c>
      <c r="H329" s="2" t="s">
        <v>23</v>
      </c>
    </row>
    <row r="330" spans="1:8">
      <c r="A330" s="2">
        <v>329</v>
      </c>
      <c r="B330" s="2" t="s">
        <v>111</v>
      </c>
      <c r="C330" s="2" t="s">
        <v>130</v>
      </c>
      <c r="D330" s="2" t="s">
        <v>8</v>
      </c>
      <c r="E330" s="2">
        <v>47</v>
      </c>
      <c r="F330" s="3">
        <v>63333.028579975296</v>
      </c>
      <c r="G330" s="2" t="s">
        <v>17</v>
      </c>
      <c r="H330" s="2" t="s">
        <v>18</v>
      </c>
    </row>
    <row r="331" spans="1:8">
      <c r="A331" s="2">
        <v>330</v>
      </c>
      <c r="B331" s="2" t="s">
        <v>107</v>
      </c>
      <c r="C331" s="2" t="s">
        <v>135</v>
      </c>
      <c r="D331" s="2" t="s">
        <v>22</v>
      </c>
      <c r="E331" s="2">
        <v>7</v>
      </c>
      <c r="F331" s="3">
        <v>63335.1750562085</v>
      </c>
      <c r="G331" s="2" t="s">
        <v>9</v>
      </c>
      <c r="H331" s="2" t="s">
        <v>10</v>
      </c>
    </row>
    <row r="332" spans="1:8">
      <c r="A332" s="2">
        <v>331</v>
      </c>
      <c r="B332" s="2" t="s">
        <v>109</v>
      </c>
      <c r="C332" s="2" t="s">
        <v>131</v>
      </c>
      <c r="D332" s="2" t="s">
        <v>12</v>
      </c>
      <c r="E332" s="2">
        <v>7</v>
      </c>
      <c r="F332" s="3">
        <v>63337.321532441703</v>
      </c>
      <c r="G332" s="2" t="s">
        <v>32</v>
      </c>
      <c r="H332" s="2" t="s">
        <v>23</v>
      </c>
    </row>
    <row r="333" spans="1:8">
      <c r="A333" s="2">
        <v>332</v>
      </c>
      <c r="B333" s="2" t="s">
        <v>106</v>
      </c>
      <c r="C333" s="2" t="s">
        <v>133</v>
      </c>
      <c r="D333" s="2" t="s">
        <v>12</v>
      </c>
      <c r="E333" s="2">
        <v>21</v>
      </c>
      <c r="F333" s="3">
        <v>63339.468008674899</v>
      </c>
      <c r="G333" s="2" t="s">
        <v>20</v>
      </c>
      <c r="H333" s="2" t="s">
        <v>23</v>
      </c>
    </row>
    <row r="334" spans="1:8">
      <c r="A334" s="2">
        <v>333</v>
      </c>
      <c r="B334" s="2" t="s">
        <v>108</v>
      </c>
      <c r="C334" s="2" t="s">
        <v>132</v>
      </c>
      <c r="D334" s="2" t="s">
        <v>8</v>
      </c>
      <c r="E334" s="2">
        <v>24</v>
      </c>
      <c r="F334" s="3">
        <v>63341.614484908103</v>
      </c>
      <c r="G334" s="2" t="s">
        <v>9</v>
      </c>
      <c r="H334" s="2" t="s">
        <v>10</v>
      </c>
    </row>
    <row r="335" spans="1:8">
      <c r="A335" s="2">
        <v>334</v>
      </c>
      <c r="B335" s="2" t="s">
        <v>112</v>
      </c>
      <c r="C335" s="2" t="s">
        <v>133</v>
      </c>
      <c r="D335" s="2" t="s">
        <v>22</v>
      </c>
      <c r="E335" s="2">
        <v>20</v>
      </c>
      <c r="F335" s="3">
        <v>63343.760961141299</v>
      </c>
      <c r="G335" s="2" t="s">
        <v>28</v>
      </c>
      <c r="H335" s="2" t="s">
        <v>29</v>
      </c>
    </row>
    <row r="336" spans="1:8">
      <c r="A336" s="2">
        <v>335</v>
      </c>
      <c r="B336" s="2" t="s">
        <v>106</v>
      </c>
      <c r="C336" s="2" t="s">
        <v>129</v>
      </c>
      <c r="D336" s="2" t="s">
        <v>16</v>
      </c>
      <c r="E336" s="2">
        <v>9</v>
      </c>
      <c r="F336" s="3">
        <v>63345.907437374597</v>
      </c>
      <c r="G336" s="2" t="s">
        <v>17</v>
      </c>
      <c r="H336" s="2" t="s">
        <v>29</v>
      </c>
    </row>
    <row r="337" spans="1:8">
      <c r="A337" s="2">
        <v>336</v>
      </c>
      <c r="B337" s="2" t="s">
        <v>107</v>
      </c>
      <c r="C337" s="2" t="s">
        <v>135</v>
      </c>
      <c r="D337" s="2" t="s">
        <v>22</v>
      </c>
      <c r="E337" s="2">
        <v>25</v>
      </c>
      <c r="F337" s="3">
        <v>63348.0539136078</v>
      </c>
      <c r="G337" s="2" t="s">
        <v>13</v>
      </c>
      <c r="H337" s="2" t="s">
        <v>26</v>
      </c>
    </row>
    <row r="338" spans="1:8">
      <c r="A338" s="2">
        <v>337</v>
      </c>
      <c r="B338" s="2" t="s">
        <v>109</v>
      </c>
      <c r="C338" s="2" t="s">
        <v>130</v>
      </c>
      <c r="D338" s="2" t="s">
        <v>12</v>
      </c>
      <c r="E338" s="2">
        <v>50</v>
      </c>
      <c r="F338" s="3">
        <v>63350.200389840997</v>
      </c>
      <c r="G338" s="2" t="s">
        <v>28</v>
      </c>
      <c r="H338" s="2" t="s">
        <v>18</v>
      </c>
    </row>
    <row r="339" spans="1:8">
      <c r="A339" s="2">
        <v>338</v>
      </c>
      <c r="B339" s="2" t="s">
        <v>110</v>
      </c>
      <c r="C339" s="2" t="s">
        <v>129</v>
      </c>
      <c r="D339" s="2" t="s">
        <v>8</v>
      </c>
      <c r="E339" s="2">
        <v>49</v>
      </c>
      <c r="F339" s="3">
        <v>63352.3468660742</v>
      </c>
      <c r="G339" s="2" t="s">
        <v>25</v>
      </c>
      <c r="H339" s="2" t="s">
        <v>18</v>
      </c>
    </row>
    <row r="340" spans="1:8">
      <c r="A340" s="2">
        <v>339</v>
      </c>
      <c r="B340" s="2" t="s">
        <v>111</v>
      </c>
      <c r="C340" s="2" t="s">
        <v>134</v>
      </c>
      <c r="D340" s="2" t="s">
        <v>8</v>
      </c>
      <c r="E340" s="2">
        <v>9</v>
      </c>
      <c r="F340" s="3">
        <v>63354.493342307404</v>
      </c>
      <c r="G340" s="2" t="s">
        <v>28</v>
      </c>
      <c r="H340" s="2" t="s">
        <v>23</v>
      </c>
    </row>
    <row r="341" spans="1:8">
      <c r="A341" s="2">
        <v>340</v>
      </c>
      <c r="B341" s="2" t="s">
        <v>107</v>
      </c>
      <c r="C341" s="2" t="s">
        <v>133</v>
      </c>
      <c r="D341" s="2" t="s">
        <v>8</v>
      </c>
      <c r="E341" s="2">
        <v>42</v>
      </c>
      <c r="F341" s="3">
        <v>63356.6398185406</v>
      </c>
      <c r="G341" s="2" t="s">
        <v>38</v>
      </c>
      <c r="H341" s="2" t="s">
        <v>26</v>
      </c>
    </row>
    <row r="342" spans="1:8">
      <c r="A342" s="2">
        <v>341</v>
      </c>
      <c r="B342" s="2" t="s">
        <v>114</v>
      </c>
      <c r="C342" s="2" t="s">
        <v>133</v>
      </c>
      <c r="D342" s="2" t="s">
        <v>16</v>
      </c>
      <c r="E342" s="2">
        <v>44</v>
      </c>
      <c r="F342" s="3">
        <v>63358.786294773803</v>
      </c>
      <c r="G342" s="2" t="s">
        <v>38</v>
      </c>
      <c r="H342" s="2" t="s">
        <v>18</v>
      </c>
    </row>
    <row r="343" spans="1:8">
      <c r="A343" s="2">
        <v>342</v>
      </c>
      <c r="B343" s="2" t="s">
        <v>111</v>
      </c>
      <c r="C343" s="2" t="s">
        <v>134</v>
      </c>
      <c r="D343" s="2" t="s">
        <v>16</v>
      </c>
      <c r="E343" s="2">
        <v>10</v>
      </c>
      <c r="F343" s="3">
        <v>63360.932771006999</v>
      </c>
      <c r="G343" s="2" t="s">
        <v>25</v>
      </c>
      <c r="H343" s="2" t="s">
        <v>10</v>
      </c>
    </row>
    <row r="344" spans="1:8">
      <c r="A344" s="2">
        <v>343</v>
      </c>
      <c r="B344" s="2" t="s">
        <v>113</v>
      </c>
      <c r="C344" s="2" t="s">
        <v>131</v>
      </c>
      <c r="D344" s="2" t="s">
        <v>12</v>
      </c>
      <c r="E344" s="2">
        <v>5</v>
      </c>
      <c r="F344" s="3">
        <v>63363.079247240203</v>
      </c>
      <c r="G344" s="2" t="s">
        <v>17</v>
      </c>
      <c r="H344" s="2" t="s">
        <v>26</v>
      </c>
    </row>
    <row r="345" spans="1:8">
      <c r="A345" s="2">
        <v>344</v>
      </c>
      <c r="B345" s="2" t="s">
        <v>111</v>
      </c>
      <c r="C345" s="2" t="s">
        <v>129</v>
      </c>
      <c r="D345" s="2" t="s">
        <v>22</v>
      </c>
      <c r="E345" s="2">
        <v>34</v>
      </c>
      <c r="F345" s="3">
        <v>63365.225723473399</v>
      </c>
      <c r="G345" s="2" t="s">
        <v>28</v>
      </c>
      <c r="H345" s="2" t="s">
        <v>18</v>
      </c>
    </row>
    <row r="346" spans="1:8">
      <c r="A346" s="2">
        <v>345</v>
      </c>
      <c r="B346" s="2" t="s">
        <v>107</v>
      </c>
      <c r="C346" s="2" t="s">
        <v>135</v>
      </c>
      <c r="D346" s="2" t="s">
        <v>22</v>
      </c>
      <c r="E346" s="2">
        <v>37</v>
      </c>
      <c r="F346" s="3">
        <v>63367.372199706697</v>
      </c>
      <c r="G346" s="2" t="s">
        <v>9</v>
      </c>
      <c r="H346" s="2" t="s">
        <v>14</v>
      </c>
    </row>
    <row r="347" spans="1:8">
      <c r="A347" s="2">
        <v>346</v>
      </c>
      <c r="B347" s="2" t="s">
        <v>108</v>
      </c>
      <c r="C347" s="2" t="s">
        <v>130</v>
      </c>
      <c r="D347" s="2" t="s">
        <v>22</v>
      </c>
      <c r="E347" s="2">
        <v>1</v>
      </c>
      <c r="F347" s="3">
        <v>63369.5186759399</v>
      </c>
      <c r="G347" s="2" t="s">
        <v>38</v>
      </c>
      <c r="H347" s="2" t="s">
        <v>23</v>
      </c>
    </row>
    <row r="348" spans="1:8">
      <c r="A348" s="2">
        <v>347</v>
      </c>
      <c r="B348" s="2" t="s">
        <v>109</v>
      </c>
      <c r="C348" s="2" t="s">
        <v>129</v>
      </c>
      <c r="D348" s="2" t="s">
        <v>16</v>
      </c>
      <c r="E348" s="2">
        <v>40</v>
      </c>
      <c r="F348" s="3">
        <v>63371.665152173096</v>
      </c>
      <c r="G348" s="2" t="s">
        <v>9</v>
      </c>
      <c r="H348" s="2" t="s">
        <v>14</v>
      </c>
    </row>
    <row r="349" spans="1:8">
      <c r="A349" s="2">
        <v>348</v>
      </c>
      <c r="B349" s="2" t="s">
        <v>107</v>
      </c>
      <c r="C349" s="2" t="s">
        <v>132</v>
      </c>
      <c r="D349" s="2" t="s">
        <v>8</v>
      </c>
      <c r="E349" s="2">
        <v>42</v>
      </c>
      <c r="F349" s="3">
        <v>63373.8116284063</v>
      </c>
      <c r="G349" s="2" t="s">
        <v>9</v>
      </c>
      <c r="H349" s="2" t="s">
        <v>23</v>
      </c>
    </row>
    <row r="350" spans="1:8">
      <c r="A350" s="2">
        <v>349</v>
      </c>
      <c r="B350" s="2" t="s">
        <v>108</v>
      </c>
      <c r="C350" s="2" t="s">
        <v>130</v>
      </c>
      <c r="D350" s="2" t="s">
        <v>12</v>
      </c>
      <c r="E350" s="2">
        <v>11</v>
      </c>
      <c r="F350" s="3">
        <v>63375.958104639503</v>
      </c>
      <c r="G350" s="2" t="s">
        <v>28</v>
      </c>
      <c r="H350" s="2" t="s">
        <v>23</v>
      </c>
    </row>
    <row r="351" spans="1:8">
      <c r="A351" s="2">
        <v>350</v>
      </c>
      <c r="B351" s="2" t="s">
        <v>108</v>
      </c>
      <c r="C351" s="2" t="s">
        <v>129</v>
      </c>
      <c r="D351" s="2" t="s">
        <v>12</v>
      </c>
      <c r="E351" s="2">
        <v>29</v>
      </c>
      <c r="F351" s="3">
        <v>63378.104580872699</v>
      </c>
      <c r="G351" s="2" t="s">
        <v>38</v>
      </c>
      <c r="H351" s="2" t="s">
        <v>10</v>
      </c>
    </row>
    <row r="352" spans="1:8">
      <c r="A352" s="2">
        <v>351</v>
      </c>
      <c r="B352" s="2" t="s">
        <v>111</v>
      </c>
      <c r="C352" s="2" t="s">
        <v>135</v>
      </c>
      <c r="D352" s="2" t="s">
        <v>16</v>
      </c>
      <c r="E352" s="2">
        <v>23</v>
      </c>
      <c r="F352" s="3">
        <v>63380.251057105903</v>
      </c>
      <c r="G352" s="2" t="s">
        <v>13</v>
      </c>
      <c r="H352" s="2" t="s">
        <v>29</v>
      </c>
    </row>
    <row r="353" spans="1:8">
      <c r="A353" s="2">
        <v>352</v>
      </c>
      <c r="B353" s="2" t="s">
        <v>109</v>
      </c>
      <c r="C353" s="2" t="s">
        <v>133</v>
      </c>
      <c r="D353" s="2" t="s">
        <v>16</v>
      </c>
      <c r="E353" s="2">
        <v>47</v>
      </c>
      <c r="F353" s="3">
        <v>63382.397533339099</v>
      </c>
      <c r="G353" s="2" t="s">
        <v>28</v>
      </c>
      <c r="H353" s="2" t="s">
        <v>18</v>
      </c>
    </row>
    <row r="354" spans="1:8">
      <c r="A354" s="2">
        <v>353</v>
      </c>
      <c r="B354" s="2" t="s">
        <v>107</v>
      </c>
      <c r="C354" s="2" t="s">
        <v>129</v>
      </c>
      <c r="D354" s="2" t="s">
        <v>8</v>
      </c>
      <c r="E354" s="2">
        <v>14</v>
      </c>
      <c r="F354" s="3">
        <v>63384.544009572302</v>
      </c>
      <c r="G354" s="2" t="s">
        <v>32</v>
      </c>
      <c r="H354" s="2" t="s">
        <v>14</v>
      </c>
    </row>
    <row r="355" spans="1:8">
      <c r="A355" s="2">
        <v>354</v>
      </c>
      <c r="B355" s="2" t="s">
        <v>107</v>
      </c>
      <c r="C355" s="2" t="s">
        <v>134</v>
      </c>
      <c r="D355" s="2" t="s">
        <v>8</v>
      </c>
      <c r="E355" s="2">
        <v>41</v>
      </c>
      <c r="F355" s="3">
        <v>63386.690485805499</v>
      </c>
      <c r="G355" s="2" t="s">
        <v>38</v>
      </c>
      <c r="H355" s="2" t="s">
        <v>18</v>
      </c>
    </row>
    <row r="356" spans="1:8">
      <c r="A356" s="2">
        <v>355</v>
      </c>
      <c r="B356" s="2" t="s">
        <v>114</v>
      </c>
      <c r="C356" s="2" t="s">
        <v>135</v>
      </c>
      <c r="D356" s="2" t="s">
        <v>16</v>
      </c>
      <c r="E356" s="2">
        <v>48</v>
      </c>
      <c r="F356" s="3">
        <v>63388.836962038797</v>
      </c>
      <c r="G356" s="2" t="s">
        <v>17</v>
      </c>
      <c r="H356" s="2" t="s">
        <v>23</v>
      </c>
    </row>
    <row r="357" spans="1:8">
      <c r="A357" s="2">
        <v>356</v>
      </c>
      <c r="B357" s="2" t="s">
        <v>112</v>
      </c>
      <c r="C357" s="2" t="s">
        <v>131</v>
      </c>
      <c r="D357" s="2" t="s">
        <v>12</v>
      </c>
      <c r="E357" s="2">
        <v>10</v>
      </c>
      <c r="F357" s="3">
        <v>63390.983438272</v>
      </c>
      <c r="G357" s="2" t="s">
        <v>32</v>
      </c>
      <c r="H357" s="2" t="s">
        <v>14</v>
      </c>
    </row>
    <row r="358" spans="1:8">
      <c r="A358" s="2">
        <v>357</v>
      </c>
      <c r="B358" s="2" t="s">
        <v>106</v>
      </c>
      <c r="C358" s="2" t="s">
        <v>131</v>
      </c>
      <c r="D358" s="2" t="s">
        <v>8</v>
      </c>
      <c r="E358" s="2">
        <v>27</v>
      </c>
      <c r="F358" s="3">
        <v>63393.129914505203</v>
      </c>
      <c r="G358" s="2" t="s">
        <v>13</v>
      </c>
      <c r="H358" s="2" t="s">
        <v>14</v>
      </c>
    </row>
    <row r="359" spans="1:8">
      <c r="A359" s="2">
        <v>358</v>
      </c>
      <c r="B359" s="2" t="s">
        <v>112</v>
      </c>
      <c r="C359" s="2" t="s">
        <v>133</v>
      </c>
      <c r="D359" s="2" t="s">
        <v>8</v>
      </c>
      <c r="E359" s="2">
        <v>40</v>
      </c>
      <c r="F359" s="3">
        <v>63395.2763907384</v>
      </c>
      <c r="G359" s="2" t="s">
        <v>13</v>
      </c>
      <c r="H359" s="2" t="s">
        <v>26</v>
      </c>
    </row>
    <row r="360" spans="1:8">
      <c r="A360" s="2">
        <v>359</v>
      </c>
      <c r="B360" s="2" t="s">
        <v>107</v>
      </c>
      <c r="C360" s="2" t="s">
        <v>135</v>
      </c>
      <c r="D360" s="2" t="s">
        <v>12</v>
      </c>
      <c r="E360" s="2">
        <v>44</v>
      </c>
      <c r="F360" s="3">
        <v>63397.422866971603</v>
      </c>
      <c r="G360" s="2" t="s">
        <v>13</v>
      </c>
      <c r="H360" s="2" t="s">
        <v>23</v>
      </c>
    </row>
    <row r="361" spans="1:8">
      <c r="A361" s="2">
        <v>360</v>
      </c>
      <c r="B361" s="2" t="s">
        <v>111</v>
      </c>
      <c r="C361" s="2" t="s">
        <v>130</v>
      </c>
      <c r="D361" s="2" t="s">
        <v>8</v>
      </c>
      <c r="E361" s="2">
        <v>29</v>
      </c>
      <c r="F361" s="3">
        <v>63399.569343204799</v>
      </c>
      <c r="G361" s="2" t="s">
        <v>32</v>
      </c>
      <c r="H361" s="2" t="s">
        <v>18</v>
      </c>
    </row>
    <row r="362" spans="1:8">
      <c r="A362" s="2">
        <v>361</v>
      </c>
      <c r="B362" s="2" t="s">
        <v>110</v>
      </c>
      <c r="C362" s="2" t="s">
        <v>134</v>
      </c>
      <c r="D362" s="2" t="s">
        <v>12</v>
      </c>
      <c r="E362" s="2">
        <v>14</v>
      </c>
      <c r="F362" s="3">
        <v>63401.715819438003</v>
      </c>
      <c r="G362" s="2" t="s">
        <v>25</v>
      </c>
      <c r="H362" s="2" t="s">
        <v>14</v>
      </c>
    </row>
    <row r="363" spans="1:8">
      <c r="A363" s="2">
        <v>362</v>
      </c>
      <c r="B363" s="2" t="s">
        <v>107</v>
      </c>
      <c r="C363" s="2" t="s">
        <v>130</v>
      </c>
      <c r="D363" s="2" t="s">
        <v>22</v>
      </c>
      <c r="E363" s="2">
        <v>6</v>
      </c>
      <c r="F363" s="3">
        <v>63403.862295671199</v>
      </c>
      <c r="G363" s="2" t="s">
        <v>13</v>
      </c>
      <c r="H363" s="2" t="s">
        <v>18</v>
      </c>
    </row>
    <row r="364" spans="1:8">
      <c r="A364" s="2">
        <v>363</v>
      </c>
      <c r="B364" s="2" t="s">
        <v>113</v>
      </c>
      <c r="C364" s="2" t="s">
        <v>130</v>
      </c>
      <c r="D364" s="2" t="s">
        <v>8</v>
      </c>
      <c r="E364" s="2">
        <v>7</v>
      </c>
      <c r="F364" s="3">
        <v>63406.008771904402</v>
      </c>
      <c r="G364" s="2" t="s">
        <v>13</v>
      </c>
      <c r="H364" s="2" t="s">
        <v>14</v>
      </c>
    </row>
    <row r="365" spans="1:8">
      <c r="A365" s="2">
        <v>364</v>
      </c>
      <c r="B365" s="2" t="s">
        <v>108</v>
      </c>
      <c r="C365" s="2" t="s">
        <v>132</v>
      </c>
      <c r="D365" s="2" t="s">
        <v>8</v>
      </c>
      <c r="E365" s="2">
        <v>9</v>
      </c>
      <c r="F365" s="3">
        <v>63408.155248137598</v>
      </c>
      <c r="G365" s="2" t="s">
        <v>32</v>
      </c>
      <c r="H365" s="2" t="s">
        <v>29</v>
      </c>
    </row>
    <row r="366" spans="1:8">
      <c r="A366" s="2">
        <v>365</v>
      </c>
      <c r="B366" s="2" t="s">
        <v>105</v>
      </c>
      <c r="C366" s="2" t="s">
        <v>135</v>
      </c>
      <c r="D366" s="2" t="s">
        <v>22</v>
      </c>
      <c r="E366" s="2">
        <v>49</v>
      </c>
      <c r="F366" s="3">
        <v>63410.301724370896</v>
      </c>
      <c r="G366" s="2" t="s">
        <v>28</v>
      </c>
      <c r="H366" s="2" t="s">
        <v>10</v>
      </c>
    </row>
    <row r="367" spans="1:8">
      <c r="A367" s="2">
        <v>366</v>
      </c>
      <c r="B367" s="2" t="s">
        <v>107</v>
      </c>
      <c r="C367" s="2" t="s">
        <v>135</v>
      </c>
      <c r="D367" s="2" t="s">
        <v>12</v>
      </c>
      <c r="E367" s="2">
        <v>8</v>
      </c>
      <c r="F367" s="3">
        <v>63412.4482006041</v>
      </c>
      <c r="G367" s="2" t="s">
        <v>20</v>
      </c>
      <c r="H367" s="2" t="s">
        <v>26</v>
      </c>
    </row>
    <row r="368" spans="1:8">
      <c r="A368" s="2">
        <v>367</v>
      </c>
      <c r="B368" s="2" t="s">
        <v>113</v>
      </c>
      <c r="C368" s="2" t="s">
        <v>131</v>
      </c>
      <c r="D368" s="2" t="s">
        <v>8</v>
      </c>
      <c r="E368" s="2">
        <v>38</v>
      </c>
      <c r="F368" s="3">
        <v>63414.594676837303</v>
      </c>
      <c r="G368" s="2" t="s">
        <v>13</v>
      </c>
      <c r="H368" s="2" t="s">
        <v>23</v>
      </c>
    </row>
    <row r="369" spans="1:8">
      <c r="A369" s="2">
        <v>368</v>
      </c>
      <c r="B369" s="2" t="s">
        <v>113</v>
      </c>
      <c r="C369" s="2" t="s">
        <v>129</v>
      </c>
      <c r="D369" s="2" t="s">
        <v>22</v>
      </c>
      <c r="E369" s="2">
        <v>47</v>
      </c>
      <c r="F369" s="3">
        <v>63416.741153070499</v>
      </c>
      <c r="G369" s="2" t="s">
        <v>32</v>
      </c>
      <c r="H369" s="2" t="s">
        <v>10</v>
      </c>
    </row>
    <row r="370" spans="1:8">
      <c r="A370" s="2">
        <v>369</v>
      </c>
      <c r="B370" s="2" t="s">
        <v>106</v>
      </c>
      <c r="C370" s="2" t="s">
        <v>134</v>
      </c>
      <c r="D370" s="2" t="s">
        <v>12</v>
      </c>
      <c r="E370" s="2">
        <v>25</v>
      </c>
      <c r="F370" s="3">
        <v>63418.887629303703</v>
      </c>
      <c r="G370" s="2" t="s">
        <v>28</v>
      </c>
      <c r="H370" s="2" t="s">
        <v>26</v>
      </c>
    </row>
    <row r="371" spans="1:8">
      <c r="A371" s="2">
        <v>370</v>
      </c>
      <c r="B371" s="2" t="s">
        <v>109</v>
      </c>
      <c r="C371" s="2" t="s">
        <v>134</v>
      </c>
      <c r="D371" s="2" t="s">
        <v>8</v>
      </c>
      <c r="E371" s="2">
        <v>23</v>
      </c>
      <c r="F371" s="3">
        <v>63421.034105536899</v>
      </c>
      <c r="G371" s="2" t="s">
        <v>28</v>
      </c>
      <c r="H371" s="2" t="s">
        <v>18</v>
      </c>
    </row>
    <row r="372" spans="1:8">
      <c r="A372" s="2">
        <v>371</v>
      </c>
      <c r="B372" s="2" t="s">
        <v>107</v>
      </c>
      <c r="C372" s="2" t="s">
        <v>131</v>
      </c>
      <c r="D372" s="2" t="s">
        <v>16</v>
      </c>
      <c r="E372" s="2">
        <v>28</v>
      </c>
      <c r="F372" s="3">
        <v>63423.180581770102</v>
      </c>
      <c r="G372" s="2" t="s">
        <v>28</v>
      </c>
      <c r="H372" s="2" t="s">
        <v>26</v>
      </c>
    </row>
    <row r="373" spans="1:8">
      <c r="A373" s="2">
        <v>372</v>
      </c>
      <c r="B373" s="2" t="s">
        <v>109</v>
      </c>
      <c r="C373" s="2" t="s">
        <v>132</v>
      </c>
      <c r="D373" s="2" t="s">
        <v>22</v>
      </c>
      <c r="E373" s="2">
        <v>21</v>
      </c>
      <c r="F373" s="3">
        <v>63425.327058003299</v>
      </c>
      <c r="G373" s="2" t="s">
        <v>13</v>
      </c>
      <c r="H373" s="2" t="s">
        <v>10</v>
      </c>
    </row>
    <row r="374" spans="1:8">
      <c r="A374" s="2">
        <v>373</v>
      </c>
      <c r="B374" s="2" t="s">
        <v>110</v>
      </c>
      <c r="C374" s="2" t="s">
        <v>134</v>
      </c>
      <c r="D374" s="2" t="s">
        <v>12</v>
      </c>
      <c r="E374" s="2">
        <v>9</v>
      </c>
      <c r="F374" s="3">
        <v>63427.473534236502</v>
      </c>
      <c r="G374" s="2" t="s">
        <v>32</v>
      </c>
      <c r="H374" s="2" t="s">
        <v>10</v>
      </c>
    </row>
    <row r="375" spans="1:8">
      <c r="A375" s="2">
        <v>374</v>
      </c>
      <c r="B375" s="2" t="s">
        <v>111</v>
      </c>
      <c r="C375" s="2" t="s">
        <v>135</v>
      </c>
      <c r="D375" s="2" t="s">
        <v>16</v>
      </c>
      <c r="E375" s="2">
        <v>16</v>
      </c>
      <c r="F375" s="3">
        <v>63429.620010469698</v>
      </c>
      <c r="G375" s="2" t="s">
        <v>20</v>
      </c>
      <c r="H375" s="2" t="s">
        <v>10</v>
      </c>
    </row>
    <row r="376" spans="1:8">
      <c r="A376" s="2">
        <v>375</v>
      </c>
      <c r="B376" s="2" t="s">
        <v>105</v>
      </c>
      <c r="C376" s="2" t="s">
        <v>131</v>
      </c>
      <c r="D376" s="2" t="s">
        <v>12</v>
      </c>
      <c r="E376" s="2">
        <v>18</v>
      </c>
      <c r="F376" s="3">
        <v>63431.766486703003</v>
      </c>
      <c r="G376" s="2" t="s">
        <v>25</v>
      </c>
      <c r="H376" s="2" t="s">
        <v>10</v>
      </c>
    </row>
    <row r="377" spans="1:8">
      <c r="A377" s="2">
        <v>376</v>
      </c>
      <c r="B377" s="2" t="s">
        <v>111</v>
      </c>
      <c r="C377" s="2" t="s">
        <v>131</v>
      </c>
      <c r="D377" s="2" t="s">
        <v>16</v>
      </c>
      <c r="E377" s="2">
        <v>42</v>
      </c>
      <c r="F377" s="3">
        <v>63433.9129629362</v>
      </c>
      <c r="G377" s="2" t="s">
        <v>25</v>
      </c>
      <c r="H377" s="2" t="s">
        <v>23</v>
      </c>
    </row>
    <row r="378" spans="1:8">
      <c r="A378" s="2">
        <v>377</v>
      </c>
      <c r="B378" s="2" t="s">
        <v>113</v>
      </c>
      <c r="C378" s="2" t="s">
        <v>132</v>
      </c>
      <c r="D378" s="2" t="s">
        <v>16</v>
      </c>
      <c r="E378" s="2">
        <v>6</v>
      </c>
      <c r="F378" s="3">
        <v>63436.059439169403</v>
      </c>
      <c r="G378" s="2" t="s">
        <v>28</v>
      </c>
      <c r="H378" s="2" t="s">
        <v>29</v>
      </c>
    </row>
    <row r="379" spans="1:8">
      <c r="A379" s="2">
        <v>378</v>
      </c>
      <c r="B379" s="2" t="s">
        <v>108</v>
      </c>
      <c r="C379" s="2" t="s">
        <v>134</v>
      </c>
      <c r="D379" s="2" t="s">
        <v>22</v>
      </c>
      <c r="E379" s="2">
        <v>16</v>
      </c>
      <c r="F379" s="1" t="s">
        <v>4</v>
      </c>
      <c r="G379" s="2" t="s">
        <v>20</v>
      </c>
      <c r="H379" s="2" t="s">
        <v>26</v>
      </c>
    </row>
    <row r="380" spans="1:8">
      <c r="A380" s="2">
        <v>379</v>
      </c>
      <c r="B380" s="2" t="s">
        <v>108</v>
      </c>
      <c r="C380" s="2" t="s">
        <v>132</v>
      </c>
      <c r="D380" s="2" t="s">
        <v>22</v>
      </c>
      <c r="E380" s="2">
        <v>36</v>
      </c>
      <c r="F380" s="3">
        <v>63178.482291184198</v>
      </c>
      <c r="G380" s="2" t="s">
        <v>9</v>
      </c>
      <c r="H380" s="2" t="s">
        <v>29</v>
      </c>
    </row>
    <row r="381" spans="1:8">
      <c r="A381" s="2">
        <v>380</v>
      </c>
      <c r="B381" s="2" t="s">
        <v>109</v>
      </c>
      <c r="C381" s="2" t="s">
        <v>134</v>
      </c>
      <c r="D381" s="2" t="s">
        <v>16</v>
      </c>
      <c r="E381" s="2">
        <v>39</v>
      </c>
      <c r="F381" s="3">
        <v>63180.628767417402</v>
      </c>
      <c r="G381" s="2" t="s">
        <v>9</v>
      </c>
      <c r="H381" s="2" t="s">
        <v>10</v>
      </c>
    </row>
    <row r="382" spans="1:8">
      <c r="A382" s="2">
        <v>381</v>
      </c>
      <c r="B382" s="2" t="s">
        <v>111</v>
      </c>
      <c r="C382" s="2" t="s">
        <v>131</v>
      </c>
      <c r="D382" s="2" t="s">
        <v>22</v>
      </c>
      <c r="E382" s="2">
        <v>39</v>
      </c>
      <c r="F382" s="3">
        <v>63182.775243650598</v>
      </c>
      <c r="G382" s="2" t="s">
        <v>28</v>
      </c>
      <c r="H382" s="2" t="s">
        <v>29</v>
      </c>
    </row>
    <row r="383" spans="1:8">
      <c r="A383" s="2">
        <v>382</v>
      </c>
      <c r="B383" s="2" t="s">
        <v>113</v>
      </c>
      <c r="C383" s="2" t="s">
        <v>131</v>
      </c>
      <c r="D383" s="2" t="s">
        <v>12</v>
      </c>
      <c r="E383" s="2">
        <v>47</v>
      </c>
      <c r="F383" s="3">
        <v>63184.921719883801</v>
      </c>
      <c r="G383" s="2" t="s">
        <v>9</v>
      </c>
      <c r="H383" s="2" t="s">
        <v>29</v>
      </c>
    </row>
    <row r="384" spans="1:8">
      <c r="A384" s="2">
        <v>383</v>
      </c>
      <c r="B384" s="2" t="s">
        <v>106</v>
      </c>
      <c r="C384" s="2" t="s">
        <v>134</v>
      </c>
      <c r="D384" s="2" t="s">
        <v>8</v>
      </c>
      <c r="E384" s="2">
        <v>39</v>
      </c>
      <c r="F384" s="3">
        <v>63187.068196116998</v>
      </c>
      <c r="G384" s="2" t="s">
        <v>32</v>
      </c>
      <c r="H384" s="2" t="s">
        <v>23</v>
      </c>
    </row>
    <row r="385" spans="1:8">
      <c r="A385" s="2">
        <v>384</v>
      </c>
      <c r="B385" s="2" t="s">
        <v>114</v>
      </c>
      <c r="C385" s="2" t="s">
        <v>129</v>
      </c>
      <c r="D385" s="2" t="s">
        <v>12</v>
      </c>
      <c r="E385" s="2">
        <v>19</v>
      </c>
      <c r="F385" s="3">
        <v>63189.214672350201</v>
      </c>
      <c r="G385" s="2" t="s">
        <v>17</v>
      </c>
      <c r="H385" s="2" t="s">
        <v>10</v>
      </c>
    </row>
    <row r="386" spans="1:8">
      <c r="A386" s="2">
        <v>385</v>
      </c>
      <c r="B386" s="2" t="s">
        <v>111</v>
      </c>
      <c r="C386" s="2" t="s">
        <v>131</v>
      </c>
      <c r="D386" s="2" t="s">
        <v>16</v>
      </c>
      <c r="E386" s="2">
        <v>50</v>
      </c>
      <c r="F386" s="3">
        <v>63191.361148583397</v>
      </c>
      <c r="G386" s="2" t="s">
        <v>38</v>
      </c>
      <c r="H386" s="2" t="s">
        <v>18</v>
      </c>
    </row>
    <row r="387" spans="1:8">
      <c r="A387" s="2">
        <v>386</v>
      </c>
      <c r="B387" s="2" t="s">
        <v>109</v>
      </c>
      <c r="C387" s="2" t="s">
        <v>134</v>
      </c>
      <c r="D387" s="2" t="s">
        <v>12</v>
      </c>
      <c r="E387" s="2">
        <v>45</v>
      </c>
      <c r="F387" s="3">
        <v>63193.507624816702</v>
      </c>
      <c r="G387" s="2" t="s">
        <v>25</v>
      </c>
      <c r="H387" s="2" t="s">
        <v>10</v>
      </c>
    </row>
    <row r="388" spans="1:8">
      <c r="A388" s="2">
        <v>387</v>
      </c>
      <c r="B388" s="2" t="s">
        <v>105</v>
      </c>
      <c r="C388" s="2" t="s">
        <v>131</v>
      </c>
      <c r="D388" s="2" t="s">
        <v>16</v>
      </c>
      <c r="E388" s="2">
        <v>2</v>
      </c>
      <c r="F388" s="3">
        <v>63195.654101049899</v>
      </c>
      <c r="G388" s="2" t="s">
        <v>38</v>
      </c>
      <c r="H388" s="2" t="s">
        <v>29</v>
      </c>
    </row>
    <row r="389" spans="1:8">
      <c r="A389" s="2">
        <v>388</v>
      </c>
      <c r="B389" s="2" t="s">
        <v>109</v>
      </c>
      <c r="C389" s="2" t="s">
        <v>132</v>
      </c>
      <c r="D389" s="2" t="s">
        <v>12</v>
      </c>
      <c r="E389" s="2">
        <v>43</v>
      </c>
      <c r="F389" s="3">
        <v>63197.800577283102</v>
      </c>
      <c r="G389" s="2" t="s">
        <v>38</v>
      </c>
      <c r="H389" s="2" t="s">
        <v>18</v>
      </c>
    </row>
    <row r="390" spans="1:8">
      <c r="A390" s="2">
        <v>389</v>
      </c>
      <c r="B390" s="2" t="s">
        <v>113</v>
      </c>
      <c r="C390" s="2" t="s">
        <v>135</v>
      </c>
      <c r="D390" s="2" t="s">
        <v>12</v>
      </c>
      <c r="E390" s="2">
        <v>20</v>
      </c>
      <c r="F390" s="3">
        <v>63199.947053516298</v>
      </c>
      <c r="G390" s="2" t="s">
        <v>25</v>
      </c>
      <c r="H390" s="2" t="s">
        <v>26</v>
      </c>
    </row>
    <row r="391" spans="1:8">
      <c r="A391" s="2">
        <v>390</v>
      </c>
      <c r="B391" s="2" t="s">
        <v>107</v>
      </c>
      <c r="C391" s="2" t="s">
        <v>129</v>
      </c>
      <c r="D391" s="2" t="s">
        <v>22</v>
      </c>
      <c r="E391" s="2">
        <v>14</v>
      </c>
      <c r="F391" s="3">
        <v>63202.093529749502</v>
      </c>
      <c r="G391" s="2" t="s">
        <v>20</v>
      </c>
      <c r="H391" s="2" t="s">
        <v>29</v>
      </c>
    </row>
    <row r="392" spans="1:8">
      <c r="A392" s="2">
        <v>391</v>
      </c>
      <c r="B392" s="2" t="s">
        <v>106</v>
      </c>
      <c r="C392" s="2" t="s">
        <v>131</v>
      </c>
      <c r="D392" s="2" t="s">
        <v>16</v>
      </c>
      <c r="E392" s="2">
        <v>34</v>
      </c>
      <c r="F392" s="3">
        <v>63204.240005982698</v>
      </c>
      <c r="G392" s="2" t="s">
        <v>28</v>
      </c>
      <c r="H392" s="2" t="s">
        <v>29</v>
      </c>
    </row>
    <row r="393" spans="1:8">
      <c r="A393" s="2">
        <v>392</v>
      </c>
      <c r="B393" s="2" t="s">
        <v>113</v>
      </c>
      <c r="C393" s="2" t="s">
        <v>134</v>
      </c>
      <c r="D393" s="2" t="s">
        <v>16</v>
      </c>
      <c r="E393" s="2">
        <v>39</v>
      </c>
      <c r="F393" s="3">
        <v>63206.386482215901</v>
      </c>
      <c r="G393" s="2" t="s">
        <v>28</v>
      </c>
      <c r="H393" s="2" t="s">
        <v>14</v>
      </c>
    </row>
    <row r="394" spans="1:8">
      <c r="A394" s="2">
        <v>393</v>
      </c>
      <c r="B394" s="2" t="s">
        <v>106</v>
      </c>
      <c r="C394" s="2" t="s">
        <v>134</v>
      </c>
      <c r="D394" s="2" t="s">
        <v>8</v>
      </c>
      <c r="E394" s="2">
        <v>33</v>
      </c>
      <c r="F394" s="3">
        <v>63208.532958449097</v>
      </c>
      <c r="G394" s="2" t="s">
        <v>25</v>
      </c>
      <c r="H394" s="2" t="s">
        <v>14</v>
      </c>
    </row>
    <row r="395" spans="1:8">
      <c r="A395" s="2">
        <v>394</v>
      </c>
      <c r="B395" s="2" t="s">
        <v>112</v>
      </c>
      <c r="C395" s="2" t="s">
        <v>132</v>
      </c>
      <c r="D395" s="2" t="s">
        <v>12</v>
      </c>
      <c r="E395" s="2">
        <v>13</v>
      </c>
      <c r="F395" s="3">
        <v>63210.679434682301</v>
      </c>
      <c r="G395" s="2" t="s">
        <v>9</v>
      </c>
      <c r="H395" s="2" t="s">
        <v>26</v>
      </c>
    </row>
    <row r="396" spans="1:8">
      <c r="A396" s="2">
        <v>395</v>
      </c>
      <c r="B396" s="2" t="s">
        <v>112</v>
      </c>
      <c r="C396" s="2" t="s">
        <v>129</v>
      </c>
      <c r="D396" s="2" t="s">
        <v>12</v>
      </c>
      <c r="E396" s="2">
        <v>48</v>
      </c>
      <c r="F396" s="3">
        <v>63212.825910915497</v>
      </c>
      <c r="G396" s="2" t="s">
        <v>38</v>
      </c>
      <c r="H396" s="2" t="s">
        <v>14</v>
      </c>
    </row>
    <row r="397" spans="1:8">
      <c r="A397" s="2">
        <v>396</v>
      </c>
      <c r="B397" s="2" t="s">
        <v>108</v>
      </c>
      <c r="C397" s="2" t="s">
        <v>131</v>
      </c>
      <c r="D397" s="2" t="s">
        <v>8</v>
      </c>
      <c r="E397" s="2">
        <v>26</v>
      </c>
      <c r="F397" s="3">
        <v>63214.972387148802</v>
      </c>
      <c r="G397" s="2" t="s">
        <v>32</v>
      </c>
      <c r="H397" s="2" t="s">
        <v>29</v>
      </c>
    </row>
    <row r="398" spans="1:8">
      <c r="A398" s="2">
        <v>397</v>
      </c>
      <c r="B398" s="2" t="s">
        <v>106</v>
      </c>
      <c r="C398" s="2" t="s">
        <v>134</v>
      </c>
      <c r="D398" s="2" t="s">
        <v>16</v>
      </c>
      <c r="E398" s="2">
        <v>19</v>
      </c>
      <c r="F398" s="3">
        <v>63217.118863381998</v>
      </c>
      <c r="G398" s="2" t="s">
        <v>20</v>
      </c>
      <c r="H398" s="2" t="s">
        <v>26</v>
      </c>
    </row>
    <row r="399" spans="1:8">
      <c r="A399" s="2">
        <v>398</v>
      </c>
      <c r="B399" s="2" t="s">
        <v>111</v>
      </c>
      <c r="C399" s="2" t="s">
        <v>135</v>
      </c>
      <c r="D399" s="2" t="s">
        <v>12</v>
      </c>
      <c r="E399" s="2">
        <v>42</v>
      </c>
      <c r="F399" s="3">
        <v>63219.265339615202</v>
      </c>
      <c r="G399" s="2" t="s">
        <v>25</v>
      </c>
      <c r="H399" s="2" t="s">
        <v>10</v>
      </c>
    </row>
    <row r="400" spans="1:8">
      <c r="A400" s="2">
        <v>399</v>
      </c>
      <c r="B400" s="2" t="s">
        <v>105</v>
      </c>
      <c r="C400" s="2" t="s">
        <v>130</v>
      </c>
      <c r="D400" s="2" t="s">
        <v>8</v>
      </c>
      <c r="E400" s="2">
        <v>4</v>
      </c>
      <c r="F400" s="3">
        <v>63221.411815848398</v>
      </c>
      <c r="G400" s="2" t="s">
        <v>38</v>
      </c>
      <c r="H400" s="2" t="s">
        <v>26</v>
      </c>
    </row>
    <row r="401" spans="1:8">
      <c r="A401" s="2">
        <v>400</v>
      </c>
      <c r="B401" s="2" t="s">
        <v>114</v>
      </c>
      <c r="C401" s="2" t="s">
        <v>131</v>
      </c>
      <c r="D401" s="2" t="s">
        <v>8</v>
      </c>
      <c r="E401" s="2">
        <v>16</v>
      </c>
      <c r="F401" s="3">
        <v>63223.558292081601</v>
      </c>
      <c r="G401" s="2" t="s">
        <v>9</v>
      </c>
      <c r="H401" s="2" t="s">
        <v>10</v>
      </c>
    </row>
    <row r="402" spans="1:8">
      <c r="A402" s="2">
        <v>401</v>
      </c>
      <c r="B402" s="2" t="s">
        <v>109</v>
      </c>
      <c r="C402" s="2" t="s">
        <v>135</v>
      </c>
      <c r="D402" s="2" t="s">
        <v>8</v>
      </c>
      <c r="E402" s="2">
        <v>32</v>
      </c>
      <c r="F402" s="3">
        <v>63225.704768314798</v>
      </c>
      <c r="G402" s="2" t="s">
        <v>32</v>
      </c>
      <c r="H402" s="2" t="s">
        <v>29</v>
      </c>
    </row>
    <row r="403" spans="1:8">
      <c r="A403" s="2">
        <v>402</v>
      </c>
      <c r="B403" s="2" t="s">
        <v>112</v>
      </c>
      <c r="C403" s="2" t="s">
        <v>134</v>
      </c>
      <c r="D403" s="2" t="s">
        <v>12</v>
      </c>
      <c r="E403" s="2">
        <v>25</v>
      </c>
      <c r="F403" s="3">
        <v>63227.851244548001</v>
      </c>
      <c r="G403" s="2" t="s">
        <v>17</v>
      </c>
      <c r="H403" s="2" t="s">
        <v>14</v>
      </c>
    </row>
    <row r="404" spans="1:8">
      <c r="A404" s="2">
        <v>403</v>
      </c>
      <c r="B404" s="2" t="s">
        <v>109</v>
      </c>
      <c r="C404" s="2" t="s">
        <v>135</v>
      </c>
      <c r="D404" s="2" t="s">
        <v>16</v>
      </c>
      <c r="E404" s="2">
        <v>8</v>
      </c>
      <c r="F404" s="3">
        <v>63229.997720781197</v>
      </c>
      <c r="G404" s="2" t="s">
        <v>13</v>
      </c>
      <c r="H404" s="2" t="s">
        <v>29</v>
      </c>
    </row>
    <row r="405" spans="1:8">
      <c r="A405" s="2">
        <v>404</v>
      </c>
      <c r="B405" s="2" t="s">
        <v>109</v>
      </c>
      <c r="C405" s="2" t="s">
        <v>129</v>
      </c>
      <c r="D405" s="2" t="s">
        <v>16</v>
      </c>
      <c r="E405" s="2">
        <v>16</v>
      </c>
      <c r="F405" s="3">
        <v>63232.144197014401</v>
      </c>
      <c r="G405" s="2" t="s">
        <v>28</v>
      </c>
      <c r="H405" s="2" t="s">
        <v>26</v>
      </c>
    </row>
    <row r="406" spans="1:8">
      <c r="A406" s="2">
        <v>405</v>
      </c>
      <c r="B406" s="2" t="s">
        <v>105</v>
      </c>
      <c r="C406" s="2" t="s">
        <v>131</v>
      </c>
      <c r="D406" s="2" t="s">
        <v>8</v>
      </c>
      <c r="E406" s="2">
        <v>32</v>
      </c>
      <c r="F406" s="3">
        <v>63234.290673247597</v>
      </c>
      <c r="G406" s="2" t="s">
        <v>9</v>
      </c>
      <c r="H406" s="2" t="s">
        <v>10</v>
      </c>
    </row>
    <row r="407" spans="1:8">
      <c r="A407" s="2">
        <v>406</v>
      </c>
      <c r="B407" s="2" t="s">
        <v>113</v>
      </c>
      <c r="C407" s="2" t="s">
        <v>131</v>
      </c>
      <c r="D407" s="2" t="s">
        <v>8</v>
      </c>
      <c r="E407" s="2">
        <v>41</v>
      </c>
      <c r="F407" s="3">
        <v>63236.437149480902</v>
      </c>
      <c r="G407" s="2" t="s">
        <v>17</v>
      </c>
      <c r="H407" s="2" t="s">
        <v>10</v>
      </c>
    </row>
    <row r="408" spans="1:8">
      <c r="A408" s="2">
        <v>407</v>
      </c>
      <c r="B408" s="2" t="s">
        <v>109</v>
      </c>
      <c r="C408" s="2" t="s">
        <v>134</v>
      </c>
      <c r="D408" s="2" t="s">
        <v>16</v>
      </c>
      <c r="E408" s="2">
        <v>39</v>
      </c>
      <c r="F408" s="3">
        <v>63238.583625714098</v>
      </c>
      <c r="G408" s="2" t="s">
        <v>9</v>
      </c>
      <c r="H408" s="2" t="s">
        <v>26</v>
      </c>
    </row>
    <row r="409" spans="1:8">
      <c r="A409" s="2">
        <v>408</v>
      </c>
      <c r="B409" s="2" t="s">
        <v>106</v>
      </c>
      <c r="C409" s="2" t="s">
        <v>132</v>
      </c>
      <c r="D409" s="2" t="s">
        <v>8</v>
      </c>
      <c r="E409" s="2">
        <v>5</v>
      </c>
      <c r="F409" s="3">
        <v>63240.730101947302</v>
      </c>
      <c r="G409" s="2" t="s">
        <v>38</v>
      </c>
      <c r="H409" s="2" t="s">
        <v>23</v>
      </c>
    </row>
    <row r="410" spans="1:8">
      <c r="A410" s="2">
        <v>409</v>
      </c>
      <c r="B410" s="2" t="s">
        <v>105</v>
      </c>
      <c r="C410" s="2" t="s">
        <v>129</v>
      </c>
      <c r="D410" s="2" t="s">
        <v>8</v>
      </c>
      <c r="E410" s="2">
        <v>34</v>
      </c>
      <c r="F410" s="3">
        <v>63242.876578180498</v>
      </c>
      <c r="G410" s="2" t="s">
        <v>17</v>
      </c>
      <c r="H410" s="2" t="s">
        <v>10</v>
      </c>
    </row>
    <row r="411" spans="1:8">
      <c r="A411" s="2">
        <v>410</v>
      </c>
      <c r="B411" s="2" t="s">
        <v>112</v>
      </c>
      <c r="C411" s="2" t="s">
        <v>135</v>
      </c>
      <c r="D411" s="2" t="s">
        <v>16</v>
      </c>
      <c r="E411" s="2">
        <v>1</v>
      </c>
      <c r="F411" s="3">
        <v>63245.023054413701</v>
      </c>
      <c r="G411" s="2" t="s">
        <v>20</v>
      </c>
      <c r="H411" s="2" t="s">
        <v>23</v>
      </c>
    </row>
    <row r="412" spans="1:8">
      <c r="A412" s="2">
        <v>411</v>
      </c>
      <c r="B412" s="2" t="s">
        <v>107</v>
      </c>
      <c r="C412" s="2" t="s">
        <v>134</v>
      </c>
      <c r="D412" s="2" t="s">
        <v>12</v>
      </c>
      <c r="E412" s="2">
        <v>24</v>
      </c>
      <c r="F412" s="3">
        <v>63247.169530646897</v>
      </c>
      <c r="G412" s="2" t="s">
        <v>25</v>
      </c>
      <c r="H412" s="2" t="s">
        <v>29</v>
      </c>
    </row>
    <row r="413" spans="1:8">
      <c r="A413" s="2">
        <v>412</v>
      </c>
      <c r="B413" s="2" t="s">
        <v>109</v>
      </c>
      <c r="C413" s="2" t="s">
        <v>129</v>
      </c>
      <c r="D413" s="2" t="s">
        <v>8</v>
      </c>
      <c r="E413" s="2">
        <v>21</v>
      </c>
      <c r="F413" s="3">
        <v>63249.316006880101</v>
      </c>
      <c r="G413" s="2" t="s">
        <v>38</v>
      </c>
      <c r="H413" s="2" t="s">
        <v>10</v>
      </c>
    </row>
    <row r="414" spans="1:8">
      <c r="A414" s="2">
        <v>413</v>
      </c>
      <c r="B414" s="2" t="s">
        <v>108</v>
      </c>
      <c r="C414" s="2" t="s">
        <v>135</v>
      </c>
      <c r="D414" s="2" t="s">
        <v>12</v>
      </c>
      <c r="E414" s="2">
        <v>9</v>
      </c>
      <c r="F414" s="3">
        <v>63251.462483113297</v>
      </c>
      <c r="G414" s="2" t="s">
        <v>28</v>
      </c>
      <c r="H414" s="2" t="s">
        <v>23</v>
      </c>
    </row>
    <row r="415" spans="1:8">
      <c r="A415" s="2">
        <v>414</v>
      </c>
      <c r="B415" s="2" t="s">
        <v>105</v>
      </c>
      <c r="C415" s="2" t="s">
        <v>134</v>
      </c>
      <c r="D415" s="2" t="s">
        <v>8</v>
      </c>
      <c r="E415" s="2">
        <v>25</v>
      </c>
      <c r="F415" s="3">
        <v>63253.6089593465</v>
      </c>
      <c r="G415" s="2" t="s">
        <v>13</v>
      </c>
      <c r="H415" s="2" t="s">
        <v>10</v>
      </c>
    </row>
    <row r="416" spans="1:8">
      <c r="A416" s="2">
        <v>415</v>
      </c>
      <c r="B416" s="2" t="s">
        <v>113</v>
      </c>
      <c r="C416" s="2" t="s">
        <v>130</v>
      </c>
      <c r="D416" s="2" t="s">
        <v>8</v>
      </c>
      <c r="E416" s="2">
        <v>37</v>
      </c>
      <c r="F416" s="3">
        <v>63255.755435579696</v>
      </c>
      <c r="G416" s="2" t="s">
        <v>20</v>
      </c>
      <c r="H416" s="2" t="s">
        <v>23</v>
      </c>
    </row>
    <row r="417" spans="1:8">
      <c r="A417" s="2">
        <v>416</v>
      </c>
      <c r="B417" s="2" t="s">
        <v>110</v>
      </c>
      <c r="C417" s="2" t="s">
        <v>133</v>
      </c>
      <c r="D417" s="2" t="s">
        <v>8</v>
      </c>
      <c r="E417" s="2">
        <v>27</v>
      </c>
      <c r="F417" s="3">
        <v>63257.901911813002</v>
      </c>
      <c r="G417" s="2" t="s">
        <v>9</v>
      </c>
      <c r="H417" s="2" t="s">
        <v>10</v>
      </c>
    </row>
    <row r="418" spans="1:8">
      <c r="A418" s="2">
        <v>417</v>
      </c>
      <c r="B418" s="2" t="s">
        <v>112</v>
      </c>
      <c r="C418" s="2" t="s">
        <v>132</v>
      </c>
      <c r="D418" s="2" t="s">
        <v>22</v>
      </c>
      <c r="E418" s="2">
        <v>24</v>
      </c>
      <c r="F418" s="3">
        <v>63260.048388046198</v>
      </c>
      <c r="G418" s="2" t="s">
        <v>25</v>
      </c>
      <c r="H418" s="2" t="s">
        <v>10</v>
      </c>
    </row>
    <row r="419" spans="1:8">
      <c r="A419" s="2">
        <v>418</v>
      </c>
      <c r="B419" s="2" t="s">
        <v>112</v>
      </c>
      <c r="C419" s="2" t="s">
        <v>135</v>
      </c>
      <c r="D419" s="2" t="s">
        <v>12</v>
      </c>
      <c r="E419" s="2">
        <v>35</v>
      </c>
      <c r="F419" s="3">
        <v>63262.194864279401</v>
      </c>
      <c r="G419" s="2" t="s">
        <v>32</v>
      </c>
      <c r="H419" s="2" t="s">
        <v>18</v>
      </c>
    </row>
    <row r="420" spans="1:8">
      <c r="A420" s="2">
        <v>419</v>
      </c>
      <c r="B420" s="2" t="s">
        <v>110</v>
      </c>
      <c r="C420" s="2" t="s">
        <v>130</v>
      </c>
      <c r="D420" s="2" t="s">
        <v>12</v>
      </c>
      <c r="E420" s="2">
        <v>44</v>
      </c>
      <c r="F420" s="3">
        <v>63264.341340512598</v>
      </c>
      <c r="G420" s="2" t="s">
        <v>28</v>
      </c>
      <c r="H420" s="2" t="s">
        <v>29</v>
      </c>
    </row>
    <row r="421" spans="1:8">
      <c r="A421" s="2">
        <v>420</v>
      </c>
      <c r="B421" s="2" t="s">
        <v>106</v>
      </c>
      <c r="C421" s="2" t="s">
        <v>135</v>
      </c>
      <c r="D421" s="2" t="s">
        <v>8</v>
      </c>
      <c r="E421" s="2">
        <v>12</v>
      </c>
      <c r="F421" s="3">
        <v>63266.487816745801</v>
      </c>
      <c r="G421" s="2" t="s">
        <v>13</v>
      </c>
      <c r="H421" s="2" t="s">
        <v>29</v>
      </c>
    </row>
    <row r="422" spans="1:8">
      <c r="A422" s="2">
        <v>421</v>
      </c>
      <c r="B422" s="2" t="s">
        <v>107</v>
      </c>
      <c r="C422" s="2" t="s">
        <v>133</v>
      </c>
      <c r="D422" s="2" t="s">
        <v>16</v>
      </c>
      <c r="E422" s="2">
        <v>49</v>
      </c>
      <c r="F422" s="3">
        <v>63268.634292978997</v>
      </c>
      <c r="G422" s="2" t="s">
        <v>38</v>
      </c>
      <c r="H422" s="2" t="s">
        <v>10</v>
      </c>
    </row>
    <row r="423" spans="1:8">
      <c r="A423" s="2">
        <v>422</v>
      </c>
      <c r="B423" s="2" t="s">
        <v>112</v>
      </c>
      <c r="C423" s="2" t="s">
        <v>133</v>
      </c>
      <c r="D423" s="2" t="s">
        <v>8</v>
      </c>
      <c r="E423" s="2">
        <v>31</v>
      </c>
      <c r="F423" s="3">
        <v>63270.780769212201</v>
      </c>
      <c r="G423" s="2" t="s">
        <v>20</v>
      </c>
      <c r="H423" s="2" t="s">
        <v>23</v>
      </c>
    </row>
    <row r="424" spans="1:8">
      <c r="A424" s="2">
        <v>423</v>
      </c>
      <c r="B424" s="2" t="s">
        <v>112</v>
      </c>
      <c r="C424" s="2" t="s">
        <v>131</v>
      </c>
      <c r="D424" s="2" t="s">
        <v>22</v>
      </c>
      <c r="E424" s="2">
        <v>50</v>
      </c>
      <c r="F424" s="3">
        <v>63272.927245445397</v>
      </c>
      <c r="G424" s="2" t="s">
        <v>32</v>
      </c>
      <c r="H424" s="2" t="s">
        <v>14</v>
      </c>
    </row>
    <row r="425" spans="1:8">
      <c r="A425" s="2">
        <v>424</v>
      </c>
      <c r="B425" s="2" t="s">
        <v>113</v>
      </c>
      <c r="C425" s="2" t="s">
        <v>129</v>
      </c>
      <c r="D425" s="2" t="s">
        <v>8</v>
      </c>
      <c r="E425" s="2">
        <v>5</v>
      </c>
      <c r="F425" s="3">
        <v>63275.0737216786</v>
      </c>
      <c r="G425" s="2" t="s">
        <v>13</v>
      </c>
      <c r="H425" s="2" t="s">
        <v>23</v>
      </c>
    </row>
    <row r="426" spans="1:8">
      <c r="A426" s="2">
        <v>425</v>
      </c>
      <c r="B426" s="2" t="s">
        <v>112</v>
      </c>
      <c r="C426" s="2" t="s">
        <v>132</v>
      </c>
      <c r="D426" s="2" t="s">
        <v>22</v>
      </c>
      <c r="E426" s="2">
        <v>2</v>
      </c>
      <c r="F426" s="3">
        <v>63277.220197911804</v>
      </c>
      <c r="G426" s="2" t="s">
        <v>9</v>
      </c>
      <c r="H426" s="2" t="s">
        <v>10</v>
      </c>
    </row>
    <row r="427" spans="1:8">
      <c r="A427" s="2">
        <v>426</v>
      </c>
      <c r="B427" s="2" t="s">
        <v>105</v>
      </c>
      <c r="C427" s="2" t="s">
        <v>132</v>
      </c>
      <c r="D427" s="2" t="s">
        <v>8</v>
      </c>
      <c r="E427" s="2">
        <v>38</v>
      </c>
      <c r="F427" s="3">
        <v>63279.366674145102</v>
      </c>
      <c r="G427" s="2" t="s">
        <v>32</v>
      </c>
      <c r="H427" s="2" t="s">
        <v>26</v>
      </c>
    </row>
    <row r="428" spans="1:8">
      <c r="A428" s="2">
        <v>427</v>
      </c>
      <c r="B428" s="2" t="s">
        <v>106</v>
      </c>
      <c r="C428" s="2" t="s">
        <v>135</v>
      </c>
      <c r="D428" s="2" t="s">
        <v>12</v>
      </c>
      <c r="E428" s="2">
        <v>5</v>
      </c>
      <c r="F428" s="3">
        <v>63281.513150378298</v>
      </c>
      <c r="G428" s="2" t="s">
        <v>38</v>
      </c>
      <c r="H428" s="2" t="s">
        <v>29</v>
      </c>
    </row>
    <row r="429" spans="1:8">
      <c r="A429" s="2">
        <v>428</v>
      </c>
      <c r="B429" s="2" t="s">
        <v>107</v>
      </c>
      <c r="C429" s="2" t="s">
        <v>133</v>
      </c>
      <c r="D429" s="2" t="s">
        <v>8</v>
      </c>
      <c r="E429" s="2">
        <v>1</v>
      </c>
      <c r="F429" s="3">
        <v>63283.659626611501</v>
      </c>
      <c r="G429" s="2" t="s">
        <v>32</v>
      </c>
      <c r="H429" s="2" t="s">
        <v>26</v>
      </c>
    </row>
    <row r="430" spans="1:8">
      <c r="A430" s="2">
        <v>429</v>
      </c>
      <c r="B430" s="2" t="s">
        <v>108</v>
      </c>
      <c r="C430" s="2" t="s">
        <v>132</v>
      </c>
      <c r="D430" s="2" t="s">
        <v>12</v>
      </c>
      <c r="E430" s="2">
        <v>17</v>
      </c>
      <c r="F430" s="3">
        <v>63285.806102844697</v>
      </c>
      <c r="G430" s="2" t="s">
        <v>9</v>
      </c>
      <c r="H430" s="2" t="s">
        <v>23</v>
      </c>
    </row>
    <row r="431" spans="1:8">
      <c r="A431" s="2">
        <v>430</v>
      </c>
      <c r="B431" s="2" t="s">
        <v>107</v>
      </c>
      <c r="C431" s="2" t="s">
        <v>134</v>
      </c>
      <c r="D431" s="2" t="s">
        <v>16</v>
      </c>
      <c r="E431" s="2">
        <v>14</v>
      </c>
      <c r="F431" s="3">
        <v>63287.952579077901</v>
      </c>
      <c r="G431" s="2" t="s">
        <v>20</v>
      </c>
      <c r="H431" s="2" t="s">
        <v>18</v>
      </c>
    </row>
    <row r="432" spans="1:8">
      <c r="A432" s="2">
        <v>431</v>
      </c>
      <c r="B432" s="2" t="s">
        <v>106</v>
      </c>
      <c r="C432" s="2" t="s">
        <v>132</v>
      </c>
      <c r="D432" s="2" t="s">
        <v>16</v>
      </c>
      <c r="E432" s="2">
        <v>3</v>
      </c>
      <c r="F432" s="3">
        <v>63290.099055311097</v>
      </c>
      <c r="G432" s="2" t="s">
        <v>32</v>
      </c>
      <c r="H432" s="2" t="s">
        <v>10</v>
      </c>
    </row>
    <row r="433" spans="1:8">
      <c r="A433" s="2">
        <v>432</v>
      </c>
      <c r="B433" s="2" t="s">
        <v>111</v>
      </c>
      <c r="C433" s="2" t="s">
        <v>135</v>
      </c>
      <c r="D433" s="2" t="s">
        <v>8</v>
      </c>
      <c r="E433" s="2">
        <v>4</v>
      </c>
      <c r="F433" s="3">
        <v>63292.2455315443</v>
      </c>
      <c r="G433" s="2" t="s">
        <v>9</v>
      </c>
      <c r="H433" s="2" t="s">
        <v>23</v>
      </c>
    </row>
    <row r="434" spans="1:8">
      <c r="A434" s="2">
        <v>433</v>
      </c>
      <c r="B434" s="2" t="s">
        <v>105</v>
      </c>
      <c r="C434" s="2" t="s">
        <v>130</v>
      </c>
      <c r="D434" s="2" t="s">
        <v>8</v>
      </c>
      <c r="E434" s="2">
        <v>26</v>
      </c>
      <c r="F434" s="3">
        <v>63294.392007777496</v>
      </c>
      <c r="G434" s="2" t="s">
        <v>13</v>
      </c>
      <c r="H434" s="2" t="s">
        <v>23</v>
      </c>
    </row>
    <row r="435" spans="1:8">
      <c r="A435" s="2">
        <v>434</v>
      </c>
      <c r="B435" s="2" t="s">
        <v>111</v>
      </c>
      <c r="C435" s="2" t="s">
        <v>131</v>
      </c>
      <c r="D435" s="2" t="s">
        <v>16</v>
      </c>
      <c r="E435" s="2">
        <v>33</v>
      </c>
      <c r="F435" s="3">
        <v>63296.5384840107</v>
      </c>
      <c r="G435" s="2" t="s">
        <v>28</v>
      </c>
      <c r="H435" s="2" t="s">
        <v>18</v>
      </c>
    </row>
    <row r="436" spans="1:8">
      <c r="A436" s="2">
        <v>435</v>
      </c>
      <c r="B436" s="2" t="s">
        <v>106</v>
      </c>
      <c r="C436" s="2" t="s">
        <v>131</v>
      </c>
      <c r="D436" s="2" t="s">
        <v>22</v>
      </c>
      <c r="E436" s="2">
        <v>19</v>
      </c>
      <c r="F436" s="3">
        <v>63298.684960243903</v>
      </c>
      <c r="G436" s="2" t="s">
        <v>17</v>
      </c>
      <c r="H436" s="2" t="s">
        <v>14</v>
      </c>
    </row>
    <row r="437" spans="1:8">
      <c r="A437" s="2">
        <v>436</v>
      </c>
      <c r="B437" s="2" t="s">
        <v>113</v>
      </c>
      <c r="C437" s="2" t="s">
        <v>130</v>
      </c>
      <c r="D437" s="2" t="s">
        <v>16</v>
      </c>
      <c r="E437" s="2">
        <v>41</v>
      </c>
      <c r="F437" s="3">
        <v>63300.831436477201</v>
      </c>
      <c r="G437" s="2" t="s">
        <v>25</v>
      </c>
      <c r="H437" s="2" t="s">
        <v>14</v>
      </c>
    </row>
    <row r="438" spans="1:8">
      <c r="A438" s="2">
        <v>437</v>
      </c>
      <c r="B438" s="2" t="s">
        <v>108</v>
      </c>
      <c r="C438" s="2" t="s">
        <v>132</v>
      </c>
      <c r="D438" s="2" t="s">
        <v>16</v>
      </c>
      <c r="E438" s="2">
        <v>46</v>
      </c>
      <c r="F438" s="3">
        <v>63302.977912710398</v>
      </c>
      <c r="G438" s="2" t="s">
        <v>38</v>
      </c>
      <c r="H438" s="2" t="s">
        <v>23</v>
      </c>
    </row>
    <row r="439" spans="1:8">
      <c r="A439" s="2">
        <v>438</v>
      </c>
      <c r="B439" s="2" t="s">
        <v>107</v>
      </c>
      <c r="C439" s="2" t="s">
        <v>129</v>
      </c>
      <c r="D439" s="2" t="s">
        <v>22</v>
      </c>
      <c r="E439" s="2">
        <v>33</v>
      </c>
      <c r="F439" s="3">
        <v>63305.124388943601</v>
      </c>
      <c r="G439" s="2" t="s">
        <v>20</v>
      </c>
      <c r="H439" s="2" t="s">
        <v>10</v>
      </c>
    </row>
    <row r="440" spans="1:8">
      <c r="A440" s="2">
        <v>439</v>
      </c>
      <c r="B440" s="2" t="s">
        <v>109</v>
      </c>
      <c r="C440" s="2" t="s">
        <v>133</v>
      </c>
      <c r="D440" s="2" t="s">
        <v>16</v>
      </c>
      <c r="E440" s="2">
        <v>50</v>
      </c>
      <c r="F440" s="3">
        <v>63307.270865176797</v>
      </c>
      <c r="G440" s="2" t="s">
        <v>28</v>
      </c>
      <c r="H440" s="2" t="s">
        <v>26</v>
      </c>
    </row>
    <row r="441" spans="1:8">
      <c r="A441" s="2">
        <v>440</v>
      </c>
      <c r="B441" s="2" t="s">
        <v>114</v>
      </c>
      <c r="C441" s="2" t="s">
        <v>130</v>
      </c>
      <c r="D441" s="2" t="s">
        <v>16</v>
      </c>
      <c r="E441" s="2">
        <v>27</v>
      </c>
      <c r="F441" s="3">
        <v>63309.417341410001</v>
      </c>
      <c r="G441" s="2" t="s">
        <v>9</v>
      </c>
      <c r="H441" s="2" t="s">
        <v>18</v>
      </c>
    </row>
    <row r="442" spans="1:8">
      <c r="A442" s="2">
        <v>441</v>
      </c>
      <c r="B442" s="2" t="s">
        <v>107</v>
      </c>
      <c r="C442" s="2" t="s">
        <v>135</v>
      </c>
      <c r="D442" s="2" t="s">
        <v>22</v>
      </c>
      <c r="E442" s="2">
        <v>28</v>
      </c>
      <c r="F442" s="3">
        <v>63311.563817643197</v>
      </c>
      <c r="G442" s="2" t="s">
        <v>28</v>
      </c>
      <c r="H442" s="2" t="s">
        <v>14</v>
      </c>
    </row>
    <row r="443" spans="1:8">
      <c r="A443" s="2">
        <v>442</v>
      </c>
      <c r="B443" s="2" t="s">
        <v>113</v>
      </c>
      <c r="C443" s="2" t="s">
        <v>135</v>
      </c>
      <c r="D443" s="2" t="s">
        <v>22</v>
      </c>
      <c r="E443" s="2">
        <v>45</v>
      </c>
      <c r="F443" s="3">
        <v>63313.7102938764</v>
      </c>
      <c r="G443" s="2" t="s">
        <v>32</v>
      </c>
      <c r="H443" s="2" t="s">
        <v>23</v>
      </c>
    </row>
    <row r="444" spans="1:8">
      <c r="A444" s="2">
        <v>443</v>
      </c>
      <c r="B444" s="2" t="s">
        <v>108</v>
      </c>
      <c r="C444" s="2" t="s">
        <v>133</v>
      </c>
      <c r="D444" s="2" t="s">
        <v>12</v>
      </c>
      <c r="E444" s="2">
        <v>26</v>
      </c>
      <c r="F444" s="3">
        <v>63315.856770109604</v>
      </c>
      <c r="G444" s="2" t="s">
        <v>17</v>
      </c>
      <c r="H444" s="2" t="s">
        <v>10</v>
      </c>
    </row>
    <row r="445" spans="1:8">
      <c r="A445" s="2">
        <v>444</v>
      </c>
      <c r="B445" s="2" t="s">
        <v>114</v>
      </c>
      <c r="C445" s="2" t="s">
        <v>131</v>
      </c>
      <c r="D445" s="2" t="s">
        <v>8</v>
      </c>
      <c r="E445" s="2">
        <v>6</v>
      </c>
      <c r="F445" s="3">
        <v>63318.0032463428</v>
      </c>
      <c r="G445" s="2" t="s">
        <v>38</v>
      </c>
      <c r="H445" s="2" t="s">
        <v>26</v>
      </c>
    </row>
    <row r="446" spans="1:8">
      <c r="A446" s="2">
        <v>445</v>
      </c>
      <c r="B446" s="2" t="s">
        <v>105</v>
      </c>
      <c r="C446" s="2" t="s">
        <v>133</v>
      </c>
      <c r="D446" s="2" t="s">
        <v>12</v>
      </c>
      <c r="E446" s="2">
        <v>41</v>
      </c>
      <c r="F446" s="3">
        <v>63320.149722576003</v>
      </c>
      <c r="G446" s="2" t="s">
        <v>32</v>
      </c>
      <c r="H446" s="2" t="s">
        <v>14</v>
      </c>
    </row>
    <row r="447" spans="1:8">
      <c r="A447" s="2">
        <v>446</v>
      </c>
      <c r="B447" s="2" t="s">
        <v>106</v>
      </c>
      <c r="C447" s="2" t="s">
        <v>133</v>
      </c>
      <c r="D447" s="2" t="s">
        <v>22</v>
      </c>
      <c r="E447" s="2">
        <v>35</v>
      </c>
      <c r="F447" s="3">
        <v>63322.296198809301</v>
      </c>
      <c r="G447" s="2" t="s">
        <v>20</v>
      </c>
      <c r="H447" s="2" t="s">
        <v>29</v>
      </c>
    </row>
    <row r="448" spans="1:8">
      <c r="A448" s="2">
        <v>447</v>
      </c>
      <c r="B448" s="2" t="s">
        <v>106</v>
      </c>
      <c r="C448" s="2" t="s">
        <v>130</v>
      </c>
      <c r="D448" s="2" t="s">
        <v>16</v>
      </c>
      <c r="E448" s="2">
        <v>35</v>
      </c>
      <c r="F448" s="3">
        <v>63324.442675042497</v>
      </c>
      <c r="G448" s="2" t="s">
        <v>32</v>
      </c>
      <c r="H448" s="2" t="s">
        <v>26</v>
      </c>
    </row>
    <row r="449" spans="1:8">
      <c r="A449" s="2">
        <v>448</v>
      </c>
      <c r="B449" s="2" t="s">
        <v>105</v>
      </c>
      <c r="C449" s="2" t="s">
        <v>135</v>
      </c>
      <c r="D449" s="2" t="s">
        <v>22</v>
      </c>
      <c r="E449" s="2">
        <v>40</v>
      </c>
      <c r="F449" s="3">
        <v>63326.589151275701</v>
      </c>
      <c r="G449" s="2" t="s">
        <v>13</v>
      </c>
      <c r="H449" s="2" t="s">
        <v>26</v>
      </c>
    </row>
    <row r="450" spans="1:8">
      <c r="A450" s="2">
        <v>449</v>
      </c>
      <c r="B450" s="2" t="s">
        <v>114</v>
      </c>
      <c r="C450" s="2" t="s">
        <v>133</v>
      </c>
      <c r="D450" s="2" t="s">
        <v>16</v>
      </c>
      <c r="E450" s="2">
        <v>10</v>
      </c>
      <c r="F450" s="3">
        <v>63328.735627508897</v>
      </c>
      <c r="G450" s="2" t="s">
        <v>17</v>
      </c>
      <c r="H450" s="2" t="s">
        <v>23</v>
      </c>
    </row>
    <row r="451" spans="1:8">
      <c r="A451" s="2">
        <v>450</v>
      </c>
      <c r="B451" s="2" t="s">
        <v>111</v>
      </c>
      <c r="C451" s="2" t="s">
        <v>130</v>
      </c>
      <c r="D451" s="2" t="s">
        <v>12</v>
      </c>
      <c r="E451" s="2">
        <v>18</v>
      </c>
      <c r="F451" s="3">
        <v>63330.8821037421</v>
      </c>
      <c r="G451" s="2" t="s">
        <v>38</v>
      </c>
      <c r="H451" s="2" t="s">
        <v>18</v>
      </c>
    </row>
    <row r="452" spans="1:8">
      <c r="A452" s="2">
        <v>451</v>
      </c>
      <c r="B452" s="2" t="s">
        <v>108</v>
      </c>
      <c r="C452" s="2" t="s">
        <v>133</v>
      </c>
      <c r="D452" s="2" t="s">
        <v>12</v>
      </c>
      <c r="E452" s="2">
        <v>6</v>
      </c>
      <c r="F452" s="3">
        <v>63333.028579975296</v>
      </c>
      <c r="G452" s="2" t="s">
        <v>25</v>
      </c>
      <c r="H452" s="2" t="s">
        <v>10</v>
      </c>
    </row>
    <row r="453" spans="1:8">
      <c r="A453" s="2">
        <v>452</v>
      </c>
      <c r="B453" s="2" t="s">
        <v>105</v>
      </c>
      <c r="C453" s="2" t="s">
        <v>135</v>
      </c>
      <c r="D453" s="2" t="s">
        <v>12</v>
      </c>
      <c r="E453" s="2">
        <v>20</v>
      </c>
      <c r="F453" s="3">
        <v>63335.1750562085</v>
      </c>
      <c r="G453" s="2" t="s">
        <v>28</v>
      </c>
      <c r="H453" s="2" t="s">
        <v>23</v>
      </c>
    </row>
    <row r="454" spans="1:8">
      <c r="A454" s="2">
        <v>453</v>
      </c>
      <c r="B454" s="2" t="s">
        <v>114</v>
      </c>
      <c r="C454" s="2" t="s">
        <v>135</v>
      </c>
      <c r="D454" s="2" t="s">
        <v>16</v>
      </c>
      <c r="E454" s="2">
        <v>6</v>
      </c>
      <c r="F454" s="3">
        <v>63337.321532441703</v>
      </c>
      <c r="G454" s="2" t="s">
        <v>20</v>
      </c>
      <c r="H454" s="2" t="s">
        <v>14</v>
      </c>
    </row>
    <row r="455" spans="1:8">
      <c r="A455" s="2">
        <v>454</v>
      </c>
      <c r="B455" s="2" t="s">
        <v>112</v>
      </c>
      <c r="C455" s="2" t="s">
        <v>129</v>
      </c>
      <c r="D455" s="2" t="s">
        <v>8</v>
      </c>
      <c r="E455" s="2">
        <v>33</v>
      </c>
      <c r="F455" s="3">
        <v>63339.468008674899</v>
      </c>
      <c r="G455" s="2" t="s">
        <v>13</v>
      </c>
      <c r="H455" s="2" t="s">
        <v>23</v>
      </c>
    </row>
    <row r="456" spans="1:8">
      <c r="A456" s="2">
        <v>455</v>
      </c>
      <c r="B456" s="2" t="s">
        <v>107</v>
      </c>
      <c r="C456" s="2" t="s">
        <v>132</v>
      </c>
      <c r="D456" s="2" t="s">
        <v>8</v>
      </c>
      <c r="E456" s="2">
        <v>14</v>
      </c>
      <c r="F456" s="3">
        <v>63341.614484908103</v>
      </c>
      <c r="G456" s="2" t="s">
        <v>32</v>
      </c>
      <c r="H456" s="2" t="s">
        <v>23</v>
      </c>
    </row>
    <row r="457" spans="1:8">
      <c r="A457" s="2">
        <v>456</v>
      </c>
      <c r="B457" s="2" t="s">
        <v>113</v>
      </c>
      <c r="C457" s="2" t="s">
        <v>134</v>
      </c>
      <c r="D457" s="2" t="s">
        <v>8</v>
      </c>
      <c r="E457" s="2">
        <v>10</v>
      </c>
      <c r="F457" s="3">
        <v>63343.760961141299</v>
      </c>
      <c r="G457" s="2" t="s">
        <v>38</v>
      </c>
      <c r="H457" s="2" t="s">
        <v>14</v>
      </c>
    </row>
    <row r="458" spans="1:8">
      <c r="A458" s="2">
        <v>457</v>
      </c>
      <c r="B458" s="2" t="s">
        <v>105</v>
      </c>
      <c r="C458" s="2" t="s">
        <v>135</v>
      </c>
      <c r="D458" s="2" t="s">
        <v>22</v>
      </c>
      <c r="E458" s="2">
        <v>35</v>
      </c>
      <c r="F458" s="3">
        <v>63345.907437374597</v>
      </c>
      <c r="G458" s="2" t="s">
        <v>38</v>
      </c>
      <c r="H458" s="2" t="s">
        <v>29</v>
      </c>
    </row>
    <row r="459" spans="1:8">
      <c r="A459" s="2">
        <v>458</v>
      </c>
      <c r="B459" s="2" t="s">
        <v>113</v>
      </c>
      <c r="C459" s="2" t="s">
        <v>134</v>
      </c>
      <c r="D459" s="2" t="s">
        <v>22</v>
      </c>
      <c r="E459" s="2">
        <v>21</v>
      </c>
      <c r="F459" s="3">
        <v>63348.0539136078</v>
      </c>
      <c r="G459" s="2" t="s">
        <v>9</v>
      </c>
      <c r="H459" s="2" t="s">
        <v>10</v>
      </c>
    </row>
    <row r="460" spans="1:8">
      <c r="A460" s="2">
        <v>459</v>
      </c>
      <c r="B460" s="2" t="s">
        <v>111</v>
      </c>
      <c r="C460" s="2" t="s">
        <v>129</v>
      </c>
      <c r="D460" s="2" t="s">
        <v>16</v>
      </c>
      <c r="E460" s="2">
        <v>26</v>
      </c>
      <c r="F460" s="3">
        <v>63350.200389840997</v>
      </c>
      <c r="G460" s="2" t="s">
        <v>25</v>
      </c>
      <c r="H460" s="2" t="s">
        <v>26</v>
      </c>
    </row>
    <row r="461" spans="1:8">
      <c r="A461" s="2">
        <v>460</v>
      </c>
      <c r="B461" s="2" t="s">
        <v>111</v>
      </c>
      <c r="C461" s="2" t="s">
        <v>132</v>
      </c>
      <c r="D461" s="2" t="s">
        <v>22</v>
      </c>
      <c r="E461" s="2">
        <v>38</v>
      </c>
      <c r="F461" s="3">
        <v>63352.3468660742</v>
      </c>
      <c r="G461" s="2" t="s">
        <v>17</v>
      </c>
      <c r="H461" s="2" t="s">
        <v>26</v>
      </c>
    </row>
    <row r="462" spans="1:8">
      <c r="A462" s="2">
        <v>461</v>
      </c>
      <c r="B462" s="2" t="s">
        <v>112</v>
      </c>
      <c r="C462" s="2" t="s">
        <v>130</v>
      </c>
      <c r="D462" s="2" t="s">
        <v>16</v>
      </c>
      <c r="E462" s="2">
        <v>41</v>
      </c>
      <c r="F462" s="3">
        <v>63354.493342307404</v>
      </c>
      <c r="G462" s="2" t="s">
        <v>20</v>
      </c>
      <c r="H462" s="2" t="s">
        <v>26</v>
      </c>
    </row>
    <row r="463" spans="1:8">
      <c r="A463" s="2">
        <v>462</v>
      </c>
      <c r="B463" s="2" t="s">
        <v>106</v>
      </c>
      <c r="C463" s="2" t="s">
        <v>132</v>
      </c>
      <c r="D463" s="2" t="s">
        <v>12</v>
      </c>
      <c r="E463" s="2">
        <v>49</v>
      </c>
      <c r="F463" s="3">
        <v>63356.6398185406</v>
      </c>
      <c r="G463" s="2" t="s">
        <v>32</v>
      </c>
      <c r="H463" s="2" t="s">
        <v>26</v>
      </c>
    </row>
    <row r="464" spans="1:8">
      <c r="A464" s="2">
        <v>463</v>
      </c>
      <c r="B464" s="2" t="s">
        <v>105</v>
      </c>
      <c r="C464" s="2" t="s">
        <v>132</v>
      </c>
      <c r="D464" s="2" t="s">
        <v>16</v>
      </c>
      <c r="E464" s="2">
        <v>42</v>
      </c>
      <c r="F464" s="3">
        <v>63358.786294773803</v>
      </c>
      <c r="G464" s="2" t="s">
        <v>25</v>
      </c>
      <c r="H464" s="2" t="s">
        <v>14</v>
      </c>
    </row>
    <row r="465" spans="1:8">
      <c r="A465" s="2">
        <v>464</v>
      </c>
      <c r="B465" s="2" t="s">
        <v>108</v>
      </c>
      <c r="C465" s="2" t="s">
        <v>130</v>
      </c>
      <c r="D465" s="2" t="s">
        <v>22</v>
      </c>
      <c r="E465" s="2">
        <v>44</v>
      </c>
      <c r="F465" s="3">
        <v>63360.932771006999</v>
      </c>
      <c r="G465" s="2" t="s">
        <v>9</v>
      </c>
      <c r="H465" s="2" t="s">
        <v>26</v>
      </c>
    </row>
    <row r="466" spans="1:8">
      <c r="A466" s="2">
        <v>465</v>
      </c>
      <c r="B466" s="2" t="s">
        <v>106</v>
      </c>
      <c r="C466" s="2" t="s">
        <v>129</v>
      </c>
      <c r="D466" s="2" t="s">
        <v>12</v>
      </c>
      <c r="E466" s="2">
        <v>42</v>
      </c>
      <c r="F466" s="3">
        <v>63363.079247240203</v>
      </c>
      <c r="G466" s="2" t="s">
        <v>20</v>
      </c>
      <c r="H466" s="2" t="s">
        <v>26</v>
      </c>
    </row>
    <row r="467" spans="1:8">
      <c r="A467" s="2">
        <v>466</v>
      </c>
      <c r="B467" s="2" t="s">
        <v>114</v>
      </c>
      <c r="C467" s="2" t="s">
        <v>133</v>
      </c>
      <c r="D467" s="2" t="s">
        <v>12</v>
      </c>
      <c r="E467" s="2">
        <v>5</v>
      </c>
      <c r="F467" s="3">
        <v>63365.225723473399</v>
      </c>
      <c r="G467" s="2" t="s">
        <v>17</v>
      </c>
      <c r="H467" s="2" t="s">
        <v>23</v>
      </c>
    </row>
    <row r="468" spans="1:8">
      <c r="A468" s="2">
        <v>467</v>
      </c>
      <c r="B468" s="2" t="s">
        <v>106</v>
      </c>
      <c r="C468" s="2" t="s">
        <v>132</v>
      </c>
      <c r="D468" s="2" t="s">
        <v>16</v>
      </c>
      <c r="E468" s="2">
        <v>20</v>
      </c>
      <c r="F468" s="3">
        <v>63367.372199706697</v>
      </c>
      <c r="G468" s="2" t="s">
        <v>38</v>
      </c>
      <c r="H468" s="2" t="s">
        <v>23</v>
      </c>
    </row>
    <row r="469" spans="1:8">
      <c r="A469" s="2">
        <v>468</v>
      </c>
      <c r="B469" s="2" t="s">
        <v>108</v>
      </c>
      <c r="C469" s="2" t="s">
        <v>132</v>
      </c>
      <c r="D469" s="2" t="s">
        <v>8</v>
      </c>
      <c r="E469" s="2">
        <v>45</v>
      </c>
      <c r="F469" s="3">
        <v>63369.5186759399</v>
      </c>
      <c r="G469" s="2" t="s">
        <v>38</v>
      </c>
      <c r="H469" s="2" t="s">
        <v>18</v>
      </c>
    </row>
    <row r="470" spans="1:8">
      <c r="A470" s="2">
        <v>469</v>
      </c>
      <c r="B470" s="2" t="s">
        <v>107</v>
      </c>
      <c r="C470" s="2" t="s">
        <v>129</v>
      </c>
      <c r="D470" s="2" t="s">
        <v>22</v>
      </c>
      <c r="E470" s="2">
        <v>28</v>
      </c>
      <c r="F470" s="3">
        <v>63371.665152173096</v>
      </c>
      <c r="G470" s="2" t="s">
        <v>17</v>
      </c>
      <c r="H470" s="2" t="s">
        <v>23</v>
      </c>
    </row>
    <row r="471" spans="1:8">
      <c r="A471" s="2">
        <v>470</v>
      </c>
      <c r="B471" s="2" t="s">
        <v>111</v>
      </c>
      <c r="C471" s="2" t="s">
        <v>133</v>
      </c>
      <c r="D471" s="2" t="s">
        <v>22</v>
      </c>
      <c r="E471" s="2">
        <v>47</v>
      </c>
      <c r="F471" s="3">
        <v>63373.8116284063</v>
      </c>
      <c r="G471" s="2" t="s">
        <v>25</v>
      </c>
      <c r="H471" s="2" t="s">
        <v>14</v>
      </c>
    </row>
    <row r="472" spans="1:8">
      <c r="A472" s="2">
        <v>471</v>
      </c>
      <c r="B472" s="2" t="s">
        <v>107</v>
      </c>
      <c r="C472" s="2" t="s">
        <v>132</v>
      </c>
      <c r="D472" s="2" t="s">
        <v>8</v>
      </c>
      <c r="E472" s="2">
        <v>16</v>
      </c>
      <c r="F472" s="3">
        <v>63375.958104639503</v>
      </c>
      <c r="G472" s="2" t="s">
        <v>20</v>
      </c>
      <c r="H472" s="2" t="s">
        <v>18</v>
      </c>
    </row>
    <row r="473" spans="1:8">
      <c r="A473" s="2">
        <v>472</v>
      </c>
      <c r="B473" s="2" t="s">
        <v>105</v>
      </c>
      <c r="C473" s="2" t="s">
        <v>132</v>
      </c>
      <c r="D473" s="2" t="s">
        <v>22</v>
      </c>
      <c r="E473" s="2">
        <v>4</v>
      </c>
      <c r="F473" s="3">
        <v>63378.104580872699</v>
      </c>
      <c r="G473" s="2" t="s">
        <v>25</v>
      </c>
      <c r="H473" s="2" t="s">
        <v>23</v>
      </c>
    </row>
    <row r="474" spans="1:8">
      <c r="A474" s="2">
        <v>473</v>
      </c>
      <c r="B474" s="2" t="s">
        <v>106</v>
      </c>
      <c r="C474" s="2" t="s">
        <v>133</v>
      </c>
      <c r="D474" s="2" t="s">
        <v>8</v>
      </c>
      <c r="E474" s="2">
        <v>16</v>
      </c>
      <c r="F474" s="3">
        <v>63380.251057105903</v>
      </c>
      <c r="G474" s="2" t="s">
        <v>9</v>
      </c>
      <c r="H474" s="2" t="s">
        <v>14</v>
      </c>
    </row>
    <row r="475" spans="1:8">
      <c r="A475" s="2">
        <v>474</v>
      </c>
      <c r="B475" s="2" t="s">
        <v>105</v>
      </c>
      <c r="C475" s="2" t="s">
        <v>135</v>
      </c>
      <c r="D475" s="2" t="s">
        <v>8</v>
      </c>
      <c r="E475" s="2">
        <v>6</v>
      </c>
      <c r="F475" s="3">
        <v>63382.397533339099</v>
      </c>
      <c r="G475" s="2" t="s">
        <v>32</v>
      </c>
      <c r="H475" s="2" t="s">
        <v>10</v>
      </c>
    </row>
    <row r="476" spans="1:8">
      <c r="A476" s="2">
        <v>475</v>
      </c>
      <c r="B476" s="2" t="s">
        <v>107</v>
      </c>
      <c r="C476" s="2" t="s">
        <v>131</v>
      </c>
      <c r="D476" s="2" t="s">
        <v>12</v>
      </c>
      <c r="E476" s="2">
        <v>28</v>
      </c>
      <c r="F476" s="3">
        <v>63384.544009572302</v>
      </c>
      <c r="G476" s="2" t="s">
        <v>17</v>
      </c>
      <c r="H476" s="2" t="s">
        <v>10</v>
      </c>
    </row>
    <row r="477" spans="1:8">
      <c r="A477" s="2">
        <v>476</v>
      </c>
      <c r="B477" s="2" t="s">
        <v>111</v>
      </c>
      <c r="C477" s="2" t="s">
        <v>130</v>
      </c>
      <c r="D477" s="2" t="s">
        <v>12</v>
      </c>
      <c r="E477" s="2">
        <v>8</v>
      </c>
      <c r="F477" s="3">
        <v>63386.690485805499</v>
      </c>
      <c r="G477" s="2" t="s">
        <v>17</v>
      </c>
      <c r="H477" s="2" t="s">
        <v>23</v>
      </c>
    </row>
    <row r="478" spans="1:8">
      <c r="A478" s="2">
        <v>477</v>
      </c>
      <c r="B478" s="2" t="s">
        <v>109</v>
      </c>
      <c r="C478" s="2" t="s">
        <v>135</v>
      </c>
      <c r="D478" s="2" t="s">
        <v>16</v>
      </c>
      <c r="E478" s="2">
        <v>30</v>
      </c>
      <c r="F478" s="3">
        <v>63388.836962038797</v>
      </c>
      <c r="G478" s="2" t="s">
        <v>9</v>
      </c>
      <c r="H478" s="2" t="s">
        <v>10</v>
      </c>
    </row>
    <row r="479" spans="1:8">
      <c r="A479" s="2">
        <v>478</v>
      </c>
      <c r="B479" s="2" t="s">
        <v>112</v>
      </c>
      <c r="C479" s="2" t="s">
        <v>131</v>
      </c>
      <c r="D479" s="2" t="s">
        <v>12</v>
      </c>
      <c r="E479" s="2">
        <v>40</v>
      </c>
      <c r="F479" s="3">
        <v>63390.983438272</v>
      </c>
      <c r="G479" s="2" t="s">
        <v>32</v>
      </c>
      <c r="H479" s="2" t="s">
        <v>23</v>
      </c>
    </row>
    <row r="480" spans="1:8">
      <c r="A480" s="2">
        <v>479</v>
      </c>
      <c r="B480" s="2" t="s">
        <v>105</v>
      </c>
      <c r="C480" s="2" t="s">
        <v>130</v>
      </c>
      <c r="D480" s="2" t="s">
        <v>8</v>
      </c>
      <c r="E480" s="2">
        <v>39</v>
      </c>
      <c r="F480" s="3">
        <v>63393.129914505203</v>
      </c>
      <c r="G480" s="2" t="s">
        <v>38</v>
      </c>
      <c r="H480" s="2" t="s">
        <v>26</v>
      </c>
    </row>
    <row r="481" spans="1:8">
      <c r="A481" s="2">
        <v>480</v>
      </c>
      <c r="B481" s="2" t="s">
        <v>105</v>
      </c>
      <c r="C481" s="2" t="s">
        <v>130</v>
      </c>
      <c r="D481" s="2" t="s">
        <v>16</v>
      </c>
      <c r="E481" s="2">
        <v>4</v>
      </c>
      <c r="F481" s="3">
        <v>63395.2763907384</v>
      </c>
      <c r="G481" s="2" t="s">
        <v>13</v>
      </c>
      <c r="H481" s="2" t="s">
        <v>18</v>
      </c>
    </row>
    <row r="482" spans="1:8">
      <c r="A482" s="2">
        <v>481</v>
      </c>
      <c r="B482" s="2" t="s">
        <v>109</v>
      </c>
      <c r="C482" s="2" t="s">
        <v>131</v>
      </c>
      <c r="D482" s="2" t="s">
        <v>22</v>
      </c>
      <c r="E482" s="2">
        <v>20</v>
      </c>
      <c r="F482" s="3">
        <v>63397.422866971603</v>
      </c>
      <c r="G482" s="2" t="s">
        <v>17</v>
      </c>
      <c r="H482" s="2" t="s">
        <v>10</v>
      </c>
    </row>
    <row r="483" spans="1:8">
      <c r="A483" s="2">
        <v>482</v>
      </c>
      <c r="B483" s="2" t="s">
        <v>114</v>
      </c>
      <c r="C483" s="2" t="s">
        <v>132</v>
      </c>
      <c r="D483" s="2" t="s">
        <v>8</v>
      </c>
      <c r="E483" s="2">
        <v>43</v>
      </c>
      <c r="F483" s="3">
        <v>63399.569343204799</v>
      </c>
      <c r="G483" s="2" t="s">
        <v>25</v>
      </c>
      <c r="H483" s="2" t="s">
        <v>18</v>
      </c>
    </row>
    <row r="484" spans="1:8">
      <c r="A484" s="2">
        <v>483</v>
      </c>
      <c r="B484" s="2" t="s">
        <v>114</v>
      </c>
      <c r="C484" s="2" t="s">
        <v>130</v>
      </c>
      <c r="D484" s="2" t="s">
        <v>16</v>
      </c>
      <c r="E484" s="2">
        <v>48</v>
      </c>
      <c r="F484" s="3">
        <v>63401.715819438003</v>
      </c>
      <c r="G484" s="2" t="s">
        <v>28</v>
      </c>
      <c r="H484" s="2" t="s">
        <v>18</v>
      </c>
    </row>
    <row r="485" spans="1:8">
      <c r="A485" s="2">
        <v>484</v>
      </c>
      <c r="B485" s="2" t="s">
        <v>107</v>
      </c>
      <c r="C485" s="2" t="s">
        <v>131</v>
      </c>
      <c r="D485" s="2" t="s">
        <v>12</v>
      </c>
      <c r="E485" s="2">
        <v>43</v>
      </c>
      <c r="F485" s="3">
        <v>63403.862295671199</v>
      </c>
      <c r="G485" s="2" t="s">
        <v>38</v>
      </c>
      <c r="H485" s="2" t="s">
        <v>18</v>
      </c>
    </row>
    <row r="486" spans="1:8">
      <c r="A486" s="2">
        <v>485</v>
      </c>
      <c r="B486" s="2" t="s">
        <v>105</v>
      </c>
      <c r="C486" s="2" t="s">
        <v>134</v>
      </c>
      <c r="D486" s="2" t="s">
        <v>8</v>
      </c>
      <c r="E486" s="2">
        <v>48</v>
      </c>
      <c r="F486" s="3">
        <v>63406.008771904402</v>
      </c>
      <c r="G486" s="2" t="s">
        <v>9</v>
      </c>
      <c r="H486" s="2" t="s">
        <v>29</v>
      </c>
    </row>
    <row r="487" spans="1:8">
      <c r="A487" s="2">
        <v>486</v>
      </c>
      <c r="B487" s="2" t="s">
        <v>111</v>
      </c>
      <c r="C487" s="2" t="s">
        <v>133</v>
      </c>
      <c r="D487" s="2" t="s">
        <v>16</v>
      </c>
      <c r="E487" s="2">
        <v>12</v>
      </c>
      <c r="F487" s="3">
        <v>63408.155248137598</v>
      </c>
      <c r="G487" s="2" t="s">
        <v>9</v>
      </c>
      <c r="H487" s="2" t="s">
        <v>14</v>
      </c>
    </row>
    <row r="488" spans="1:8">
      <c r="A488" s="2">
        <v>487</v>
      </c>
      <c r="B488" s="2" t="s">
        <v>113</v>
      </c>
      <c r="C488" s="2" t="s">
        <v>133</v>
      </c>
      <c r="D488" s="2" t="s">
        <v>22</v>
      </c>
      <c r="E488" s="2">
        <v>8</v>
      </c>
      <c r="F488" s="3">
        <v>63410.301724370896</v>
      </c>
      <c r="G488" s="2" t="s">
        <v>28</v>
      </c>
      <c r="H488" s="2" t="s">
        <v>26</v>
      </c>
    </row>
    <row r="489" spans="1:8">
      <c r="A489" s="2">
        <v>488</v>
      </c>
      <c r="B489" s="2" t="s">
        <v>107</v>
      </c>
      <c r="C489" s="2" t="s">
        <v>134</v>
      </c>
      <c r="D489" s="2" t="s">
        <v>8</v>
      </c>
      <c r="E489" s="2">
        <v>1</v>
      </c>
      <c r="F489" s="3">
        <v>63412.4482006041</v>
      </c>
      <c r="G489" s="2" t="s">
        <v>9</v>
      </c>
      <c r="H489" s="2" t="s">
        <v>23</v>
      </c>
    </row>
    <row r="490" spans="1:8">
      <c r="A490" s="2">
        <v>489</v>
      </c>
      <c r="B490" s="2" t="s">
        <v>107</v>
      </c>
      <c r="C490" s="2" t="s">
        <v>133</v>
      </c>
      <c r="D490" s="2" t="s">
        <v>8</v>
      </c>
      <c r="E490" s="2">
        <v>46</v>
      </c>
      <c r="F490" s="3">
        <v>63414.594676837303</v>
      </c>
      <c r="G490" s="2" t="s">
        <v>32</v>
      </c>
      <c r="H490" s="2" t="s">
        <v>26</v>
      </c>
    </row>
    <row r="491" spans="1:8">
      <c r="A491" s="2">
        <v>490</v>
      </c>
      <c r="B491" s="2" t="s">
        <v>112</v>
      </c>
      <c r="C491" s="2" t="s">
        <v>129</v>
      </c>
      <c r="D491" s="2" t="s">
        <v>16</v>
      </c>
      <c r="E491" s="2">
        <v>9</v>
      </c>
      <c r="F491" s="3">
        <v>63416.741153070499</v>
      </c>
      <c r="G491" s="2" t="s">
        <v>25</v>
      </c>
      <c r="H491" s="2" t="s">
        <v>18</v>
      </c>
    </row>
    <row r="492" spans="1:8">
      <c r="A492" s="2">
        <v>491</v>
      </c>
      <c r="B492" s="2" t="s">
        <v>105</v>
      </c>
      <c r="C492" s="2" t="s">
        <v>131</v>
      </c>
      <c r="D492" s="2" t="s">
        <v>16</v>
      </c>
      <c r="E492" s="2">
        <v>45</v>
      </c>
      <c r="F492" s="3">
        <v>63418.887629303703</v>
      </c>
      <c r="G492" s="2" t="s">
        <v>17</v>
      </c>
      <c r="H492" s="2" t="s">
        <v>26</v>
      </c>
    </row>
    <row r="493" spans="1:8">
      <c r="A493" s="2">
        <v>492</v>
      </c>
      <c r="B493" s="2" t="s">
        <v>114</v>
      </c>
      <c r="C493" s="2" t="s">
        <v>133</v>
      </c>
      <c r="D493" s="2" t="s">
        <v>12</v>
      </c>
      <c r="E493" s="2">
        <v>1</v>
      </c>
      <c r="F493" s="3">
        <v>63421.034105536899</v>
      </c>
      <c r="G493" s="2" t="s">
        <v>17</v>
      </c>
      <c r="H493" s="2" t="s">
        <v>23</v>
      </c>
    </row>
    <row r="494" spans="1:8">
      <c r="A494" s="2">
        <v>493</v>
      </c>
      <c r="B494" s="2" t="s">
        <v>114</v>
      </c>
      <c r="C494" s="2" t="s">
        <v>133</v>
      </c>
      <c r="D494" s="2" t="s">
        <v>12</v>
      </c>
      <c r="E494" s="2">
        <v>11</v>
      </c>
      <c r="F494" s="3">
        <v>63423.180581770102</v>
      </c>
      <c r="G494" s="2" t="s">
        <v>9</v>
      </c>
      <c r="H494" s="2" t="s">
        <v>18</v>
      </c>
    </row>
    <row r="495" spans="1:8">
      <c r="A495" s="2">
        <v>494</v>
      </c>
      <c r="B495" s="2" t="s">
        <v>106</v>
      </c>
      <c r="C495" s="2" t="s">
        <v>133</v>
      </c>
      <c r="D495" s="2" t="s">
        <v>8</v>
      </c>
      <c r="E495" s="2">
        <v>32</v>
      </c>
      <c r="F495" s="3">
        <v>63425.327058003299</v>
      </c>
      <c r="G495" s="2" t="s">
        <v>28</v>
      </c>
      <c r="H495" s="2" t="s">
        <v>14</v>
      </c>
    </row>
    <row r="496" spans="1:8">
      <c r="A496" s="2">
        <v>495</v>
      </c>
      <c r="B496" s="2" t="s">
        <v>110</v>
      </c>
      <c r="C496" s="2" t="s">
        <v>130</v>
      </c>
      <c r="D496" s="2" t="s">
        <v>22</v>
      </c>
      <c r="E496" s="2">
        <v>23</v>
      </c>
      <c r="F496" s="3">
        <v>63427.473534236502</v>
      </c>
      <c r="G496" s="2" t="s">
        <v>25</v>
      </c>
      <c r="H496" s="2" t="s">
        <v>26</v>
      </c>
    </row>
    <row r="497" spans="1:8">
      <c r="A497" s="2">
        <v>496</v>
      </c>
      <c r="B497" s="2" t="s">
        <v>110</v>
      </c>
      <c r="C497" s="2" t="s">
        <v>135</v>
      </c>
      <c r="D497" s="2" t="s">
        <v>12</v>
      </c>
      <c r="E497" s="2">
        <v>34</v>
      </c>
      <c r="F497" s="3">
        <v>63429.620010469698</v>
      </c>
      <c r="G497" s="2" t="s">
        <v>20</v>
      </c>
      <c r="H497" s="2" t="s">
        <v>10</v>
      </c>
    </row>
    <row r="498" spans="1:8">
      <c r="A498" s="2">
        <v>497</v>
      </c>
      <c r="B498" s="2" t="s">
        <v>110</v>
      </c>
      <c r="C498" s="2" t="s">
        <v>129</v>
      </c>
      <c r="D498" s="2" t="s">
        <v>22</v>
      </c>
      <c r="E498" s="2">
        <v>34</v>
      </c>
      <c r="F498" s="3">
        <v>63431.766486703003</v>
      </c>
      <c r="G498" s="2" t="s">
        <v>25</v>
      </c>
      <c r="H498" s="2" t="s">
        <v>23</v>
      </c>
    </row>
    <row r="499" spans="1:8">
      <c r="A499" s="2">
        <v>498</v>
      </c>
      <c r="B499" s="2" t="s">
        <v>112</v>
      </c>
      <c r="C499" s="2" t="s">
        <v>133</v>
      </c>
      <c r="D499" s="2" t="s">
        <v>16</v>
      </c>
      <c r="E499" s="2">
        <v>47</v>
      </c>
      <c r="F499" s="3">
        <v>63433.9129629362</v>
      </c>
      <c r="G499" s="2" t="s">
        <v>9</v>
      </c>
      <c r="H499" s="2" t="s">
        <v>29</v>
      </c>
    </row>
    <row r="500" spans="1:8">
      <c r="A500" s="2">
        <v>499</v>
      </c>
      <c r="B500" s="2" t="s">
        <v>111</v>
      </c>
      <c r="C500" s="2" t="s">
        <v>129</v>
      </c>
      <c r="D500" s="2" t="s">
        <v>16</v>
      </c>
      <c r="E500" s="2">
        <v>17</v>
      </c>
      <c r="F500" s="3">
        <v>63436.059439169403</v>
      </c>
      <c r="G500" s="2" t="s">
        <v>28</v>
      </c>
      <c r="H500" s="2" t="s">
        <v>23</v>
      </c>
    </row>
    <row r="501" spans="1:8">
      <c r="A501" s="2">
        <v>500</v>
      </c>
      <c r="B501" s="2" t="s">
        <v>110</v>
      </c>
      <c r="C501" s="2" t="s">
        <v>130</v>
      </c>
      <c r="D501" s="2" t="s">
        <v>12</v>
      </c>
      <c r="E501" s="2">
        <v>11</v>
      </c>
      <c r="F501" s="3">
        <v>63438.205915402599</v>
      </c>
      <c r="G501" s="2" t="s">
        <v>28</v>
      </c>
      <c r="H501" s="2" t="s">
        <v>14</v>
      </c>
    </row>
    <row r="502" spans="1:8">
      <c r="A502" s="2">
        <v>501</v>
      </c>
      <c r="B502" s="2" t="s">
        <v>109</v>
      </c>
      <c r="C502" s="2" t="s">
        <v>129</v>
      </c>
      <c r="D502" s="2" t="s">
        <v>8</v>
      </c>
      <c r="E502" s="2">
        <v>24</v>
      </c>
      <c r="F502" s="3">
        <v>63440.352391635803</v>
      </c>
      <c r="G502" s="2" t="s">
        <v>17</v>
      </c>
      <c r="H502" s="2" t="s">
        <v>26</v>
      </c>
    </row>
    <row r="503" spans="1:8">
      <c r="A503" s="2">
        <v>502</v>
      </c>
      <c r="B503" s="2" t="s">
        <v>108</v>
      </c>
      <c r="C503" s="2" t="s">
        <v>129</v>
      </c>
      <c r="D503" s="2" t="s">
        <v>16</v>
      </c>
      <c r="E503" s="2">
        <v>9</v>
      </c>
      <c r="F503" s="3">
        <v>63442.498867868999</v>
      </c>
      <c r="G503" s="2" t="s">
        <v>9</v>
      </c>
      <c r="H503" s="2" t="s">
        <v>18</v>
      </c>
    </row>
    <row r="504" spans="1:8">
      <c r="A504" s="2">
        <v>503</v>
      </c>
      <c r="B504" s="2" t="s">
        <v>107</v>
      </c>
      <c r="C504" s="2" t="s">
        <v>134</v>
      </c>
      <c r="D504" s="2" t="s">
        <v>22</v>
      </c>
      <c r="E504" s="2">
        <v>48</v>
      </c>
      <c r="F504" s="3">
        <v>63444.645344102202</v>
      </c>
      <c r="G504" s="2" t="s">
        <v>38</v>
      </c>
      <c r="H504" s="2" t="s">
        <v>26</v>
      </c>
    </row>
    <row r="505" spans="1:8">
      <c r="A505" s="2">
        <v>504</v>
      </c>
      <c r="B505" s="2" t="s">
        <v>111</v>
      </c>
      <c r="C505" s="2" t="s">
        <v>130</v>
      </c>
      <c r="D505" s="2" t="s">
        <v>8</v>
      </c>
      <c r="E505" s="2">
        <v>50</v>
      </c>
      <c r="F505" s="3">
        <v>63446.791820335398</v>
      </c>
      <c r="G505" s="2" t="s">
        <v>13</v>
      </c>
      <c r="H505" s="2" t="s">
        <v>23</v>
      </c>
    </row>
    <row r="506" spans="1:8">
      <c r="A506" s="2">
        <v>505</v>
      </c>
      <c r="B506" s="2" t="s">
        <v>114</v>
      </c>
      <c r="C506" s="2" t="s">
        <v>133</v>
      </c>
      <c r="D506" s="2" t="s">
        <v>12</v>
      </c>
      <c r="E506" s="2">
        <v>18</v>
      </c>
      <c r="F506" s="3">
        <v>63448.938296568602</v>
      </c>
      <c r="G506" s="2" t="s">
        <v>25</v>
      </c>
      <c r="H506" s="2" t="s">
        <v>14</v>
      </c>
    </row>
    <row r="507" spans="1:8">
      <c r="A507" s="2">
        <v>506</v>
      </c>
      <c r="B507" s="2" t="s">
        <v>106</v>
      </c>
      <c r="C507" s="2" t="s">
        <v>135</v>
      </c>
      <c r="D507" s="2" t="s">
        <v>16</v>
      </c>
      <c r="E507" s="2">
        <v>47</v>
      </c>
      <c r="F507" s="3">
        <v>63451.084772801798</v>
      </c>
      <c r="G507" s="2" t="s">
        <v>38</v>
      </c>
      <c r="H507" s="2" t="s">
        <v>18</v>
      </c>
    </row>
    <row r="508" spans="1:8">
      <c r="A508" s="2">
        <v>507</v>
      </c>
      <c r="B508" s="2" t="s">
        <v>108</v>
      </c>
      <c r="C508" s="2" t="s">
        <v>135</v>
      </c>
      <c r="D508" s="2" t="s">
        <v>12</v>
      </c>
      <c r="E508" s="2">
        <v>8</v>
      </c>
      <c r="F508" s="3">
        <v>63453.231249035103</v>
      </c>
      <c r="G508" s="2" t="s">
        <v>17</v>
      </c>
      <c r="H508" s="2" t="s">
        <v>10</v>
      </c>
    </row>
    <row r="509" spans="1:8">
      <c r="A509" s="2">
        <v>508</v>
      </c>
      <c r="B509" s="2" t="s">
        <v>112</v>
      </c>
      <c r="C509" s="2" t="s">
        <v>131</v>
      </c>
      <c r="D509" s="2" t="s">
        <v>8</v>
      </c>
      <c r="E509" s="2">
        <v>50</v>
      </c>
      <c r="F509" s="3">
        <v>63455.377725268299</v>
      </c>
      <c r="G509" s="2" t="s">
        <v>32</v>
      </c>
      <c r="H509" s="2" t="s">
        <v>14</v>
      </c>
    </row>
    <row r="510" spans="1:8">
      <c r="A510" s="2">
        <v>509</v>
      </c>
      <c r="B510" s="2" t="s">
        <v>107</v>
      </c>
      <c r="C510" s="2" t="s">
        <v>135</v>
      </c>
      <c r="D510" s="2" t="s">
        <v>8</v>
      </c>
      <c r="E510" s="2">
        <v>2</v>
      </c>
      <c r="F510" s="3">
        <v>63457.524201501503</v>
      </c>
      <c r="G510" s="2" t="s">
        <v>17</v>
      </c>
      <c r="H510" s="2" t="s">
        <v>29</v>
      </c>
    </row>
    <row r="511" spans="1:8">
      <c r="A511" s="2">
        <v>510</v>
      </c>
      <c r="B511" s="2" t="s">
        <v>112</v>
      </c>
      <c r="C511" s="2" t="s">
        <v>135</v>
      </c>
      <c r="D511" s="2" t="s">
        <v>8</v>
      </c>
      <c r="E511" s="2">
        <v>22</v>
      </c>
      <c r="F511" s="3">
        <v>63459.670677734699</v>
      </c>
      <c r="G511" s="2" t="s">
        <v>20</v>
      </c>
      <c r="H511" s="2" t="s">
        <v>23</v>
      </c>
    </row>
    <row r="512" spans="1:8">
      <c r="A512" s="2">
        <v>511</v>
      </c>
      <c r="B512" s="2" t="s">
        <v>112</v>
      </c>
      <c r="C512" s="2" t="s">
        <v>133</v>
      </c>
      <c r="D512" s="2" t="s">
        <v>22</v>
      </c>
      <c r="E512" s="2">
        <v>28</v>
      </c>
      <c r="F512" s="3">
        <v>63461.817153967902</v>
      </c>
      <c r="G512" s="2" t="s">
        <v>13</v>
      </c>
      <c r="H512" s="2" t="s">
        <v>14</v>
      </c>
    </row>
    <row r="513" spans="1:8">
      <c r="A513" s="2">
        <v>512</v>
      </c>
      <c r="B513" s="2" t="s">
        <v>109</v>
      </c>
      <c r="C513" s="2" t="s">
        <v>135</v>
      </c>
      <c r="D513" s="2" t="s">
        <v>8</v>
      </c>
      <c r="E513" s="2">
        <v>18</v>
      </c>
      <c r="F513" s="3">
        <v>63463.963630201099</v>
      </c>
      <c r="G513" s="2" t="s">
        <v>32</v>
      </c>
      <c r="H513" s="2" t="s">
        <v>18</v>
      </c>
    </row>
    <row r="514" spans="1:8">
      <c r="A514" s="2">
        <v>513</v>
      </c>
      <c r="B514" s="2" t="s">
        <v>113</v>
      </c>
      <c r="C514" s="2" t="s">
        <v>130</v>
      </c>
      <c r="D514" s="2" t="s">
        <v>8</v>
      </c>
      <c r="E514" s="2">
        <v>34</v>
      </c>
      <c r="F514" s="3">
        <v>63466.110106434302</v>
      </c>
      <c r="G514" s="2" t="s">
        <v>9</v>
      </c>
      <c r="H514" s="2" t="s">
        <v>18</v>
      </c>
    </row>
    <row r="515" spans="1:8">
      <c r="A515" s="2">
        <v>514</v>
      </c>
      <c r="B515" s="2" t="s">
        <v>113</v>
      </c>
      <c r="C515" s="2" t="s">
        <v>130</v>
      </c>
      <c r="D515" s="2" t="s">
        <v>16</v>
      </c>
      <c r="E515" s="2">
        <v>5</v>
      </c>
      <c r="F515" s="3">
        <v>63468.256582667498</v>
      </c>
      <c r="G515" s="2" t="s">
        <v>25</v>
      </c>
      <c r="H515" s="2" t="s">
        <v>29</v>
      </c>
    </row>
    <row r="516" spans="1:8">
      <c r="A516" s="2">
        <v>515</v>
      </c>
      <c r="B516" s="2" t="s">
        <v>112</v>
      </c>
      <c r="C516" s="2" t="s">
        <v>129</v>
      </c>
      <c r="D516" s="2" t="s">
        <v>22</v>
      </c>
      <c r="E516" s="2">
        <v>17</v>
      </c>
      <c r="F516" s="3">
        <v>63470.403058900702</v>
      </c>
      <c r="G516" s="2" t="s">
        <v>28</v>
      </c>
      <c r="H516" s="2" t="s">
        <v>23</v>
      </c>
    </row>
    <row r="517" spans="1:8">
      <c r="A517" s="2">
        <v>516</v>
      </c>
      <c r="B517" s="2" t="s">
        <v>110</v>
      </c>
      <c r="C517" s="2" t="s">
        <v>131</v>
      </c>
      <c r="D517" s="2" t="s">
        <v>22</v>
      </c>
      <c r="E517" s="2">
        <v>46</v>
      </c>
      <c r="F517" s="3">
        <v>63472.549535133898</v>
      </c>
      <c r="G517" s="2" t="s">
        <v>17</v>
      </c>
      <c r="H517" s="2" t="s">
        <v>18</v>
      </c>
    </row>
    <row r="518" spans="1:8">
      <c r="A518" s="2">
        <v>517</v>
      </c>
      <c r="B518" s="2" t="s">
        <v>114</v>
      </c>
      <c r="C518" s="2" t="s">
        <v>134</v>
      </c>
      <c r="D518" s="2" t="s">
        <v>12</v>
      </c>
      <c r="E518" s="2">
        <v>37</v>
      </c>
      <c r="F518" s="3">
        <v>63474.696011367203</v>
      </c>
      <c r="G518" s="2" t="s">
        <v>13</v>
      </c>
      <c r="H518" s="2" t="s">
        <v>18</v>
      </c>
    </row>
    <row r="519" spans="1:8">
      <c r="A519" s="2">
        <v>518</v>
      </c>
      <c r="B519" s="2" t="s">
        <v>108</v>
      </c>
      <c r="C519" s="2" t="s">
        <v>132</v>
      </c>
      <c r="D519" s="2" t="s">
        <v>8</v>
      </c>
      <c r="E519" s="2">
        <v>41</v>
      </c>
      <c r="F519" s="3">
        <v>63476.842487600399</v>
      </c>
      <c r="G519" s="2" t="s">
        <v>17</v>
      </c>
      <c r="H519" s="2" t="s">
        <v>18</v>
      </c>
    </row>
    <row r="520" spans="1:8">
      <c r="A520" s="2">
        <v>519</v>
      </c>
      <c r="B520" s="2" t="s">
        <v>110</v>
      </c>
      <c r="C520" s="2" t="s">
        <v>135</v>
      </c>
      <c r="D520" s="2" t="s">
        <v>16</v>
      </c>
      <c r="E520" s="2">
        <v>5</v>
      </c>
      <c r="F520" s="3">
        <v>63478.988963833603</v>
      </c>
      <c r="G520" s="2" t="s">
        <v>20</v>
      </c>
      <c r="H520" s="2" t="s">
        <v>14</v>
      </c>
    </row>
    <row r="521" spans="1:8">
      <c r="A521" s="2">
        <v>520</v>
      </c>
      <c r="B521" s="2" t="s">
        <v>105</v>
      </c>
      <c r="C521" s="2" t="s">
        <v>132</v>
      </c>
      <c r="D521" s="2" t="s">
        <v>12</v>
      </c>
      <c r="E521" s="2">
        <v>32</v>
      </c>
      <c r="F521" s="3">
        <v>63481.135440066799</v>
      </c>
      <c r="G521" s="2" t="s">
        <v>20</v>
      </c>
      <c r="H521" s="2" t="s">
        <v>26</v>
      </c>
    </row>
    <row r="522" spans="1:8">
      <c r="A522" s="2">
        <v>521</v>
      </c>
      <c r="B522" s="2" t="s">
        <v>114</v>
      </c>
      <c r="C522" s="2" t="s">
        <v>132</v>
      </c>
      <c r="D522" s="2" t="s">
        <v>8</v>
      </c>
      <c r="E522" s="2">
        <v>30</v>
      </c>
      <c r="F522" s="3">
        <v>63483.281916300002</v>
      </c>
      <c r="G522" s="2" t="s">
        <v>20</v>
      </c>
      <c r="H522" s="2" t="s">
        <v>14</v>
      </c>
    </row>
    <row r="523" spans="1:8">
      <c r="A523" s="2">
        <v>522</v>
      </c>
      <c r="B523" s="2" t="s">
        <v>112</v>
      </c>
      <c r="C523" s="2" t="s">
        <v>132</v>
      </c>
      <c r="D523" s="2" t="s">
        <v>22</v>
      </c>
      <c r="E523" s="2">
        <v>33</v>
      </c>
      <c r="F523" s="3">
        <v>63485.428392533198</v>
      </c>
      <c r="G523" s="2" t="s">
        <v>38</v>
      </c>
      <c r="H523" s="2" t="s">
        <v>23</v>
      </c>
    </row>
    <row r="524" spans="1:8">
      <c r="A524" s="2">
        <v>523</v>
      </c>
      <c r="B524" s="2" t="s">
        <v>105</v>
      </c>
      <c r="C524" s="2" t="s">
        <v>129</v>
      </c>
      <c r="D524" s="2" t="s">
        <v>8</v>
      </c>
      <c r="E524" s="2">
        <v>24</v>
      </c>
      <c r="F524" s="3">
        <v>63487.574868766402</v>
      </c>
      <c r="G524" s="2" t="s">
        <v>25</v>
      </c>
      <c r="H524" s="2" t="s">
        <v>29</v>
      </c>
    </row>
    <row r="525" spans="1:8">
      <c r="A525" s="2">
        <v>524</v>
      </c>
      <c r="B525" s="2" t="s">
        <v>110</v>
      </c>
      <c r="C525" s="2" t="s">
        <v>130</v>
      </c>
      <c r="D525" s="2" t="s">
        <v>8</v>
      </c>
      <c r="E525" s="2">
        <v>4</v>
      </c>
      <c r="F525" s="3">
        <v>63489.721344999598</v>
      </c>
      <c r="G525" s="2" t="s">
        <v>25</v>
      </c>
      <c r="H525" s="2" t="s">
        <v>23</v>
      </c>
    </row>
    <row r="526" spans="1:8">
      <c r="A526" s="2">
        <v>525</v>
      </c>
      <c r="B526" s="2" t="s">
        <v>105</v>
      </c>
      <c r="C526" s="2" t="s">
        <v>135</v>
      </c>
      <c r="D526" s="2" t="s">
        <v>16</v>
      </c>
      <c r="E526" s="2">
        <v>32</v>
      </c>
      <c r="F526" s="3">
        <v>63491.867821232801</v>
      </c>
      <c r="G526" s="2" t="s">
        <v>38</v>
      </c>
      <c r="H526" s="2" t="s">
        <v>26</v>
      </c>
    </row>
    <row r="527" spans="1:8">
      <c r="A527" s="2">
        <v>526</v>
      </c>
      <c r="B527" s="2" t="s">
        <v>112</v>
      </c>
      <c r="C527" s="2" t="s">
        <v>133</v>
      </c>
      <c r="D527" s="2" t="s">
        <v>16</v>
      </c>
      <c r="E527" s="2">
        <v>37</v>
      </c>
      <c r="F527" s="3">
        <v>63494.014297465998</v>
      </c>
      <c r="G527" s="2" t="s">
        <v>32</v>
      </c>
      <c r="H527" s="2" t="s">
        <v>29</v>
      </c>
    </row>
    <row r="528" spans="1:8">
      <c r="A528" s="2">
        <v>527</v>
      </c>
      <c r="B528" s="2" t="s">
        <v>109</v>
      </c>
      <c r="C528" s="2" t="s">
        <v>129</v>
      </c>
      <c r="D528" s="2" t="s">
        <v>16</v>
      </c>
      <c r="E528" s="2">
        <v>11</v>
      </c>
      <c r="F528" s="3">
        <v>63496.160773699303</v>
      </c>
      <c r="G528" s="2" t="s">
        <v>20</v>
      </c>
      <c r="H528" s="2" t="s">
        <v>26</v>
      </c>
    </row>
    <row r="529" spans="1:8">
      <c r="A529" s="2">
        <v>528</v>
      </c>
      <c r="B529" s="2" t="s">
        <v>113</v>
      </c>
      <c r="C529" s="2" t="s">
        <v>131</v>
      </c>
      <c r="D529" s="2" t="s">
        <v>12</v>
      </c>
      <c r="E529" s="2">
        <v>24</v>
      </c>
      <c r="F529" s="3">
        <v>63498.307249932499</v>
      </c>
      <c r="G529" s="2" t="s">
        <v>9</v>
      </c>
      <c r="H529" s="2" t="s">
        <v>10</v>
      </c>
    </row>
    <row r="530" spans="1:8">
      <c r="A530" s="2">
        <v>529</v>
      </c>
      <c r="B530" s="2" t="s">
        <v>108</v>
      </c>
      <c r="C530" s="2" t="s">
        <v>130</v>
      </c>
      <c r="D530" s="2" t="s">
        <v>16</v>
      </c>
      <c r="E530" s="2">
        <v>11</v>
      </c>
      <c r="F530" s="3">
        <v>63500.453726165702</v>
      </c>
      <c r="G530" s="2" t="s">
        <v>32</v>
      </c>
      <c r="H530" s="2" t="s">
        <v>18</v>
      </c>
    </row>
    <row r="531" spans="1:8">
      <c r="A531" s="2">
        <v>530</v>
      </c>
      <c r="B531" s="2" t="s">
        <v>105</v>
      </c>
      <c r="C531" s="2" t="s">
        <v>131</v>
      </c>
      <c r="D531" s="2" t="s">
        <v>12</v>
      </c>
      <c r="E531" s="2">
        <v>17</v>
      </c>
      <c r="F531" s="3">
        <v>63502.600202398899</v>
      </c>
      <c r="G531" s="2" t="s">
        <v>20</v>
      </c>
      <c r="H531" s="2" t="s">
        <v>29</v>
      </c>
    </row>
    <row r="532" spans="1:8">
      <c r="A532" s="2">
        <v>531</v>
      </c>
      <c r="B532" s="2" t="s">
        <v>112</v>
      </c>
      <c r="C532" s="2" t="s">
        <v>133</v>
      </c>
      <c r="D532" s="2" t="s">
        <v>8</v>
      </c>
      <c r="E532" s="2">
        <v>50</v>
      </c>
      <c r="F532" s="3">
        <v>63504.746678632102</v>
      </c>
      <c r="G532" s="2" t="s">
        <v>38</v>
      </c>
      <c r="H532" s="2" t="s">
        <v>18</v>
      </c>
    </row>
    <row r="533" spans="1:8">
      <c r="A533" s="2">
        <v>532</v>
      </c>
      <c r="B533" s="2" t="s">
        <v>109</v>
      </c>
      <c r="C533" s="2" t="s">
        <v>131</v>
      </c>
      <c r="D533" s="2" t="s">
        <v>12</v>
      </c>
      <c r="E533" s="2">
        <v>7</v>
      </c>
      <c r="F533" s="3">
        <v>63506.893154865298</v>
      </c>
      <c r="G533" s="2" t="s">
        <v>13</v>
      </c>
      <c r="H533" s="2" t="s">
        <v>26</v>
      </c>
    </row>
    <row r="534" spans="1:8">
      <c r="A534" s="2">
        <v>533</v>
      </c>
      <c r="B534" s="2" t="s">
        <v>111</v>
      </c>
      <c r="C534" s="2" t="s">
        <v>130</v>
      </c>
      <c r="D534" s="2" t="s">
        <v>12</v>
      </c>
      <c r="E534" s="2">
        <v>37</v>
      </c>
      <c r="F534" s="3">
        <v>63509.039631098502</v>
      </c>
      <c r="G534" s="2" t="s">
        <v>9</v>
      </c>
      <c r="H534" s="2" t="s">
        <v>29</v>
      </c>
    </row>
    <row r="535" spans="1:8">
      <c r="A535" s="2">
        <v>534</v>
      </c>
      <c r="B535" s="2" t="s">
        <v>110</v>
      </c>
      <c r="C535" s="2" t="s">
        <v>135</v>
      </c>
      <c r="D535" s="2" t="s">
        <v>16</v>
      </c>
      <c r="E535" s="2">
        <v>44</v>
      </c>
      <c r="F535" s="3">
        <v>63511.186107331698</v>
      </c>
      <c r="G535" s="2" t="s">
        <v>28</v>
      </c>
      <c r="H535" s="2" t="s">
        <v>10</v>
      </c>
    </row>
    <row r="536" spans="1:8">
      <c r="A536" s="2">
        <v>535</v>
      </c>
      <c r="B536" s="2" t="s">
        <v>113</v>
      </c>
      <c r="C536" s="2" t="s">
        <v>129</v>
      </c>
      <c r="D536" s="2" t="s">
        <v>16</v>
      </c>
      <c r="E536" s="2">
        <v>47</v>
      </c>
      <c r="F536" s="3">
        <v>63513.332583564901</v>
      </c>
      <c r="G536" s="2" t="s">
        <v>38</v>
      </c>
      <c r="H536" s="2" t="s">
        <v>29</v>
      </c>
    </row>
    <row r="537" spans="1:8">
      <c r="A537" s="2">
        <v>536</v>
      </c>
      <c r="B537" s="2" t="s">
        <v>111</v>
      </c>
      <c r="C537" s="2" t="s">
        <v>132</v>
      </c>
      <c r="D537" s="2" t="s">
        <v>22</v>
      </c>
      <c r="E537" s="2">
        <v>8</v>
      </c>
      <c r="F537" s="3">
        <v>63515.479059798097</v>
      </c>
      <c r="G537" s="2" t="s">
        <v>17</v>
      </c>
      <c r="H537" s="2" t="s">
        <v>23</v>
      </c>
    </row>
    <row r="538" spans="1:8">
      <c r="A538" s="2">
        <v>537</v>
      </c>
      <c r="B538" s="2" t="s">
        <v>112</v>
      </c>
      <c r="C538" s="2" t="s">
        <v>129</v>
      </c>
      <c r="D538" s="2" t="s">
        <v>12</v>
      </c>
      <c r="E538" s="2">
        <v>15</v>
      </c>
      <c r="F538" s="3">
        <v>63517.625536031301</v>
      </c>
      <c r="G538" s="2" t="s">
        <v>32</v>
      </c>
      <c r="H538" s="2" t="s">
        <v>14</v>
      </c>
    </row>
    <row r="539" spans="1:8">
      <c r="A539" s="2">
        <v>538</v>
      </c>
      <c r="B539" s="2" t="s">
        <v>108</v>
      </c>
      <c r="C539" s="2" t="s">
        <v>129</v>
      </c>
      <c r="D539" s="2" t="s">
        <v>8</v>
      </c>
      <c r="E539" s="2">
        <v>48</v>
      </c>
      <c r="F539" s="3">
        <v>63519.772012264599</v>
      </c>
      <c r="G539" s="2" t="s">
        <v>20</v>
      </c>
      <c r="H539" s="2" t="s">
        <v>18</v>
      </c>
    </row>
    <row r="540" spans="1:8">
      <c r="A540" s="2">
        <v>539</v>
      </c>
      <c r="B540" s="2" t="s">
        <v>110</v>
      </c>
      <c r="C540" s="2" t="s">
        <v>135</v>
      </c>
      <c r="D540" s="2" t="s">
        <v>22</v>
      </c>
      <c r="E540" s="2">
        <v>33</v>
      </c>
      <c r="F540" s="3">
        <v>63521.918488497802</v>
      </c>
      <c r="G540" s="2" t="s">
        <v>38</v>
      </c>
      <c r="H540" s="2" t="s">
        <v>14</v>
      </c>
    </row>
    <row r="541" spans="1:8">
      <c r="A541" s="2">
        <v>540</v>
      </c>
      <c r="B541" s="2" t="s">
        <v>109</v>
      </c>
      <c r="C541" s="2" t="s">
        <v>132</v>
      </c>
      <c r="D541" s="2" t="s">
        <v>22</v>
      </c>
      <c r="E541" s="2">
        <v>1</v>
      </c>
      <c r="F541" s="3">
        <v>63524.064964730998</v>
      </c>
      <c r="G541" s="2" t="s">
        <v>32</v>
      </c>
      <c r="H541" s="2" t="s">
        <v>29</v>
      </c>
    </row>
    <row r="542" spans="1:8">
      <c r="A542" s="2">
        <v>541</v>
      </c>
      <c r="B542" s="2" t="s">
        <v>110</v>
      </c>
      <c r="C542" s="2" t="s">
        <v>132</v>
      </c>
      <c r="D542" s="2" t="s">
        <v>22</v>
      </c>
      <c r="E542" s="2">
        <v>3</v>
      </c>
      <c r="F542" s="3">
        <v>63526.211440964202</v>
      </c>
      <c r="G542" s="2" t="s">
        <v>9</v>
      </c>
      <c r="H542" s="2" t="s">
        <v>23</v>
      </c>
    </row>
    <row r="543" spans="1:8">
      <c r="A543" s="2">
        <v>542</v>
      </c>
      <c r="B543" s="2" t="s">
        <v>111</v>
      </c>
      <c r="C543" s="2" t="s">
        <v>134</v>
      </c>
      <c r="D543" s="2" t="s">
        <v>16</v>
      </c>
      <c r="E543" s="2">
        <v>1</v>
      </c>
      <c r="F543" s="3">
        <v>63528.357917197398</v>
      </c>
      <c r="G543" s="2" t="s">
        <v>20</v>
      </c>
      <c r="H543" s="2" t="s">
        <v>29</v>
      </c>
    </row>
    <row r="544" spans="1:8">
      <c r="A544" s="2">
        <v>543</v>
      </c>
      <c r="B544" s="2" t="s">
        <v>111</v>
      </c>
      <c r="C544" s="2" t="s">
        <v>134</v>
      </c>
      <c r="D544" s="2" t="s">
        <v>16</v>
      </c>
      <c r="E544" s="2">
        <v>16</v>
      </c>
      <c r="F544" s="3">
        <v>63530.504393430601</v>
      </c>
      <c r="G544" s="2" t="s">
        <v>9</v>
      </c>
      <c r="H544" s="2" t="s">
        <v>10</v>
      </c>
    </row>
    <row r="545" spans="1:8">
      <c r="A545" s="2">
        <v>544</v>
      </c>
      <c r="B545" s="2" t="s">
        <v>114</v>
      </c>
      <c r="C545" s="2" t="s">
        <v>130</v>
      </c>
      <c r="D545" s="2" t="s">
        <v>16</v>
      </c>
      <c r="E545" s="2">
        <v>3</v>
      </c>
      <c r="F545" s="3">
        <v>63532.650869663797</v>
      </c>
      <c r="G545" s="2" t="s">
        <v>38</v>
      </c>
      <c r="H545" s="2" t="s">
        <v>10</v>
      </c>
    </row>
    <row r="546" spans="1:8">
      <c r="A546" s="2">
        <v>545</v>
      </c>
      <c r="B546" s="2" t="s">
        <v>106</v>
      </c>
      <c r="C546" s="2" t="s">
        <v>133</v>
      </c>
      <c r="D546" s="2" t="s">
        <v>8</v>
      </c>
      <c r="E546" s="2">
        <v>31</v>
      </c>
      <c r="F546" s="3">
        <v>63534.797345897001</v>
      </c>
      <c r="G546" s="2" t="s">
        <v>17</v>
      </c>
      <c r="H546" s="2" t="s">
        <v>10</v>
      </c>
    </row>
    <row r="547" spans="1:8">
      <c r="A547" s="2">
        <v>546</v>
      </c>
      <c r="B547" s="2" t="s">
        <v>110</v>
      </c>
      <c r="C547" s="2" t="s">
        <v>134</v>
      </c>
      <c r="D547" s="2" t="s">
        <v>12</v>
      </c>
      <c r="E547" s="2">
        <v>24</v>
      </c>
      <c r="F547" s="3">
        <v>63536.943822130197</v>
      </c>
      <c r="G547" s="2" t="s">
        <v>13</v>
      </c>
      <c r="H547" s="2" t="s">
        <v>29</v>
      </c>
    </row>
    <row r="548" spans="1:8">
      <c r="A548" s="2">
        <v>547</v>
      </c>
      <c r="B548" s="2" t="s">
        <v>114</v>
      </c>
      <c r="C548" s="2" t="s">
        <v>131</v>
      </c>
      <c r="D548" s="2" t="s">
        <v>22</v>
      </c>
      <c r="E548" s="2">
        <v>25</v>
      </c>
      <c r="F548" s="3">
        <v>63539.090298363401</v>
      </c>
      <c r="G548" s="2" t="s">
        <v>17</v>
      </c>
      <c r="H548" s="2" t="s">
        <v>26</v>
      </c>
    </row>
    <row r="549" spans="1:8">
      <c r="A549" s="2">
        <v>548</v>
      </c>
      <c r="B549" s="2" t="s">
        <v>111</v>
      </c>
      <c r="C549" s="2" t="s">
        <v>135</v>
      </c>
      <c r="D549" s="2" t="s">
        <v>16</v>
      </c>
      <c r="E549" s="2">
        <v>10</v>
      </c>
      <c r="F549" s="3">
        <v>63541.236774596699</v>
      </c>
      <c r="G549" s="2" t="s">
        <v>38</v>
      </c>
      <c r="H549" s="2" t="s">
        <v>10</v>
      </c>
    </row>
    <row r="550" spans="1:8">
      <c r="A550" s="2">
        <v>549</v>
      </c>
      <c r="B550" s="2" t="s">
        <v>105</v>
      </c>
      <c r="C550" s="2" t="s">
        <v>129</v>
      </c>
      <c r="D550" s="2" t="s">
        <v>12</v>
      </c>
      <c r="E550" s="2">
        <v>12</v>
      </c>
      <c r="F550" s="3">
        <v>63543.383250829902</v>
      </c>
      <c r="G550" s="2" t="s">
        <v>28</v>
      </c>
      <c r="H550" s="2" t="s">
        <v>26</v>
      </c>
    </row>
    <row r="551" spans="1:8">
      <c r="A551" s="2">
        <v>550</v>
      </c>
      <c r="B551" s="2" t="s">
        <v>111</v>
      </c>
      <c r="C551" s="2" t="s">
        <v>131</v>
      </c>
      <c r="D551" s="2" t="s">
        <v>22</v>
      </c>
      <c r="E551" s="2">
        <v>3</v>
      </c>
      <c r="F551" s="3">
        <v>63545.529727063098</v>
      </c>
      <c r="G551" s="2" t="s">
        <v>38</v>
      </c>
      <c r="H551" s="2" t="s">
        <v>26</v>
      </c>
    </row>
    <row r="552" spans="1:8">
      <c r="A552" s="2">
        <v>551</v>
      </c>
      <c r="B552" s="2" t="s">
        <v>110</v>
      </c>
      <c r="C552" s="2" t="s">
        <v>132</v>
      </c>
      <c r="D552" s="2" t="s">
        <v>12</v>
      </c>
      <c r="E552" s="2">
        <v>36</v>
      </c>
      <c r="F552" s="3">
        <v>63547.676203296302</v>
      </c>
      <c r="G552" s="2" t="s">
        <v>20</v>
      </c>
      <c r="H552" s="2" t="s">
        <v>29</v>
      </c>
    </row>
    <row r="553" spans="1:8">
      <c r="A553" s="2">
        <v>552</v>
      </c>
      <c r="B553" s="2" t="s">
        <v>109</v>
      </c>
      <c r="C553" s="2" t="s">
        <v>129</v>
      </c>
      <c r="D553" s="2" t="s">
        <v>22</v>
      </c>
      <c r="E553" s="2">
        <v>46</v>
      </c>
      <c r="F553" s="3">
        <v>63549.822679529498</v>
      </c>
      <c r="G553" s="2" t="s">
        <v>28</v>
      </c>
      <c r="H553" s="2" t="s">
        <v>29</v>
      </c>
    </row>
    <row r="554" spans="1:8">
      <c r="A554" s="2">
        <v>553</v>
      </c>
      <c r="B554" s="2" t="s">
        <v>110</v>
      </c>
      <c r="C554" s="2" t="s">
        <v>135</v>
      </c>
      <c r="D554" s="2" t="s">
        <v>12</v>
      </c>
      <c r="E554" s="2">
        <v>48</v>
      </c>
      <c r="F554" s="3">
        <v>63551.969155762701</v>
      </c>
      <c r="G554" s="2" t="s">
        <v>20</v>
      </c>
      <c r="H554" s="2" t="s">
        <v>23</v>
      </c>
    </row>
    <row r="555" spans="1:8">
      <c r="A555" s="2">
        <v>554</v>
      </c>
      <c r="B555" s="2" t="s">
        <v>110</v>
      </c>
      <c r="C555" s="2" t="s">
        <v>131</v>
      </c>
      <c r="D555" s="2" t="s">
        <v>16</v>
      </c>
      <c r="E555" s="2">
        <v>42</v>
      </c>
      <c r="F555" s="3">
        <v>63554.115631995897</v>
      </c>
      <c r="G555" s="2" t="s">
        <v>32</v>
      </c>
      <c r="H555" s="2" t="s">
        <v>26</v>
      </c>
    </row>
    <row r="556" spans="1:8">
      <c r="A556" s="2">
        <v>555</v>
      </c>
      <c r="B556" s="2" t="s">
        <v>107</v>
      </c>
      <c r="C556" s="2" t="s">
        <v>129</v>
      </c>
      <c r="D556" s="2" t="s">
        <v>12</v>
      </c>
      <c r="E556" s="2">
        <v>27</v>
      </c>
      <c r="F556" s="3">
        <v>63556.262108229101</v>
      </c>
      <c r="G556" s="2" t="s">
        <v>20</v>
      </c>
      <c r="H556" s="2" t="s">
        <v>18</v>
      </c>
    </row>
    <row r="557" spans="1:8">
      <c r="A557" s="2">
        <v>556</v>
      </c>
      <c r="B557" s="2" t="s">
        <v>112</v>
      </c>
      <c r="C557" s="2" t="s">
        <v>132</v>
      </c>
      <c r="D557" s="2" t="s">
        <v>12</v>
      </c>
      <c r="E557" s="2">
        <v>15</v>
      </c>
      <c r="F557" s="3">
        <v>63558.408584462297</v>
      </c>
      <c r="G557" s="2" t="s">
        <v>20</v>
      </c>
      <c r="H557" s="2" t="s">
        <v>14</v>
      </c>
    </row>
    <row r="558" spans="1:8">
      <c r="A558" s="2">
        <v>557</v>
      </c>
      <c r="B558" s="2" t="s">
        <v>107</v>
      </c>
      <c r="C558" s="2" t="s">
        <v>134</v>
      </c>
      <c r="D558" s="2" t="s">
        <v>22</v>
      </c>
      <c r="E558" s="2">
        <v>21</v>
      </c>
      <c r="F558" s="3">
        <v>63560.5550606955</v>
      </c>
      <c r="G558" s="2" t="s">
        <v>32</v>
      </c>
      <c r="H558" s="2" t="s">
        <v>26</v>
      </c>
    </row>
    <row r="559" spans="1:8">
      <c r="A559" s="2">
        <v>558</v>
      </c>
      <c r="B559" s="2" t="s">
        <v>111</v>
      </c>
      <c r="C559" s="2" t="s">
        <v>131</v>
      </c>
      <c r="D559" s="2" t="s">
        <v>12</v>
      </c>
      <c r="E559" s="2">
        <v>16</v>
      </c>
      <c r="F559" s="3">
        <v>63562.701536928798</v>
      </c>
      <c r="G559" s="2" t="s">
        <v>13</v>
      </c>
      <c r="H559" s="2" t="s">
        <v>18</v>
      </c>
    </row>
    <row r="560" spans="1:8">
      <c r="A560" s="2">
        <v>559</v>
      </c>
      <c r="B560" s="2" t="s">
        <v>110</v>
      </c>
      <c r="C560" s="2" t="s">
        <v>133</v>
      </c>
      <c r="D560" s="2" t="s">
        <v>8</v>
      </c>
      <c r="E560" s="2">
        <v>27</v>
      </c>
      <c r="F560" s="3">
        <v>63564.848013162002</v>
      </c>
      <c r="G560" s="2" t="s">
        <v>32</v>
      </c>
      <c r="H560" s="2" t="s">
        <v>14</v>
      </c>
    </row>
    <row r="561" spans="1:8">
      <c r="A561" s="2">
        <v>560</v>
      </c>
      <c r="B561" s="2" t="s">
        <v>112</v>
      </c>
      <c r="C561" s="2" t="s">
        <v>131</v>
      </c>
      <c r="D561" s="2" t="s">
        <v>22</v>
      </c>
      <c r="E561" s="2">
        <v>47</v>
      </c>
      <c r="F561" s="3">
        <v>63566.994489395198</v>
      </c>
      <c r="G561" s="2" t="s">
        <v>32</v>
      </c>
      <c r="H561" s="2" t="s">
        <v>14</v>
      </c>
    </row>
    <row r="562" spans="1:8">
      <c r="A562" s="2">
        <v>561</v>
      </c>
      <c r="B562" s="2" t="s">
        <v>107</v>
      </c>
      <c r="C562" s="2" t="s">
        <v>132</v>
      </c>
      <c r="D562" s="2" t="s">
        <v>12</v>
      </c>
      <c r="E562" s="2">
        <v>21</v>
      </c>
      <c r="F562" s="3">
        <v>63569.140965628401</v>
      </c>
      <c r="G562" s="2" t="s">
        <v>32</v>
      </c>
      <c r="H562" s="2" t="s">
        <v>29</v>
      </c>
    </row>
    <row r="563" spans="1:8">
      <c r="A563" s="2">
        <v>562</v>
      </c>
      <c r="B563" s="2" t="s">
        <v>110</v>
      </c>
      <c r="C563" s="2" t="s">
        <v>131</v>
      </c>
      <c r="D563" s="2" t="s">
        <v>8</v>
      </c>
      <c r="E563" s="2">
        <v>18</v>
      </c>
      <c r="F563" s="3">
        <v>63571.287441861597</v>
      </c>
      <c r="G563" s="2" t="s">
        <v>25</v>
      </c>
      <c r="H563" s="2" t="s">
        <v>10</v>
      </c>
    </row>
    <row r="564" spans="1:8">
      <c r="A564" s="2">
        <v>563</v>
      </c>
      <c r="B564" s="2" t="s">
        <v>108</v>
      </c>
      <c r="C564" s="2" t="s">
        <v>131</v>
      </c>
      <c r="D564" s="2" t="s">
        <v>22</v>
      </c>
      <c r="E564" s="2">
        <v>5</v>
      </c>
      <c r="F564" s="3">
        <v>63573.433918094801</v>
      </c>
      <c r="G564" s="2" t="s">
        <v>13</v>
      </c>
      <c r="H564" s="2" t="s">
        <v>10</v>
      </c>
    </row>
    <row r="565" spans="1:8">
      <c r="A565" s="2">
        <v>564</v>
      </c>
      <c r="B565" s="2" t="s">
        <v>107</v>
      </c>
      <c r="C565" s="2" t="s">
        <v>132</v>
      </c>
      <c r="D565" s="2" t="s">
        <v>16</v>
      </c>
      <c r="E565" s="2">
        <v>37</v>
      </c>
      <c r="F565" s="3">
        <v>63575.580394327997</v>
      </c>
      <c r="G565" s="2" t="s">
        <v>20</v>
      </c>
      <c r="H565" s="2" t="s">
        <v>10</v>
      </c>
    </row>
    <row r="566" spans="1:8">
      <c r="A566" s="2">
        <v>565</v>
      </c>
      <c r="B566" s="2" t="s">
        <v>112</v>
      </c>
      <c r="C566" s="2" t="s">
        <v>132</v>
      </c>
      <c r="D566" s="2" t="s">
        <v>22</v>
      </c>
      <c r="E566" s="2">
        <v>24</v>
      </c>
      <c r="F566" s="3">
        <v>63577.7268705612</v>
      </c>
      <c r="G566" s="2" t="s">
        <v>17</v>
      </c>
      <c r="H566" s="2" t="s">
        <v>18</v>
      </c>
    </row>
    <row r="567" spans="1:8">
      <c r="A567" s="2">
        <v>566</v>
      </c>
      <c r="B567" s="2" t="s">
        <v>107</v>
      </c>
      <c r="C567" s="2" t="s">
        <v>130</v>
      </c>
      <c r="D567" s="2" t="s">
        <v>22</v>
      </c>
      <c r="E567" s="2">
        <v>8</v>
      </c>
      <c r="F567" s="3">
        <v>63579.873346794397</v>
      </c>
      <c r="G567" s="2" t="s">
        <v>9</v>
      </c>
      <c r="H567" s="2" t="s">
        <v>10</v>
      </c>
    </row>
    <row r="568" spans="1:8">
      <c r="A568" s="2">
        <v>567</v>
      </c>
      <c r="B568" s="2" t="s">
        <v>106</v>
      </c>
      <c r="C568" s="2" t="s">
        <v>130</v>
      </c>
      <c r="D568" s="2" t="s">
        <v>12</v>
      </c>
      <c r="E568" s="2">
        <v>33</v>
      </c>
      <c r="F568" s="3">
        <v>63582.0198230276</v>
      </c>
      <c r="G568" s="2" t="s">
        <v>13</v>
      </c>
      <c r="H568" s="2" t="s">
        <v>26</v>
      </c>
    </row>
    <row r="569" spans="1:8">
      <c r="A569" s="2">
        <v>568</v>
      </c>
      <c r="B569" s="2" t="s">
        <v>106</v>
      </c>
      <c r="C569" s="2" t="s">
        <v>132</v>
      </c>
      <c r="D569" s="2" t="s">
        <v>8</v>
      </c>
      <c r="E569" s="2">
        <v>44</v>
      </c>
      <c r="F569" s="3">
        <v>63584.166299260898</v>
      </c>
      <c r="G569" s="2" t="s">
        <v>20</v>
      </c>
      <c r="H569" s="2" t="s">
        <v>23</v>
      </c>
    </row>
    <row r="570" spans="1:8">
      <c r="A570" s="2">
        <v>569</v>
      </c>
      <c r="B570" s="2" t="s">
        <v>111</v>
      </c>
      <c r="C570" s="2" t="s">
        <v>135</v>
      </c>
      <c r="D570" s="2" t="s">
        <v>22</v>
      </c>
      <c r="E570" s="2">
        <v>4</v>
      </c>
      <c r="F570" s="3">
        <v>63586.312775494102</v>
      </c>
      <c r="G570" s="2" t="s">
        <v>25</v>
      </c>
      <c r="H570" s="2" t="s">
        <v>29</v>
      </c>
    </row>
    <row r="571" spans="1:8">
      <c r="A571" s="2">
        <v>570</v>
      </c>
      <c r="B571" s="2" t="s">
        <v>108</v>
      </c>
      <c r="C571" s="2" t="s">
        <v>132</v>
      </c>
      <c r="D571" s="2" t="s">
        <v>22</v>
      </c>
      <c r="E571" s="2">
        <v>12</v>
      </c>
      <c r="F571" s="3">
        <v>63588.459251727298</v>
      </c>
      <c r="G571" s="2" t="s">
        <v>25</v>
      </c>
      <c r="H571" s="2" t="s">
        <v>10</v>
      </c>
    </row>
    <row r="572" spans="1:8">
      <c r="A572" s="2">
        <v>571</v>
      </c>
      <c r="B572" s="2" t="s">
        <v>109</v>
      </c>
      <c r="C572" s="2" t="s">
        <v>130</v>
      </c>
      <c r="D572" s="2" t="s">
        <v>22</v>
      </c>
      <c r="E572" s="2">
        <v>15</v>
      </c>
      <c r="F572" s="3">
        <v>63590.605727960501</v>
      </c>
      <c r="G572" s="2" t="s">
        <v>13</v>
      </c>
      <c r="H572" s="2" t="s">
        <v>26</v>
      </c>
    </row>
    <row r="573" spans="1:8">
      <c r="A573" s="2">
        <v>572</v>
      </c>
      <c r="B573" s="2" t="s">
        <v>109</v>
      </c>
      <c r="C573" s="2" t="s">
        <v>131</v>
      </c>
      <c r="D573" s="2" t="s">
        <v>12</v>
      </c>
      <c r="E573" s="2">
        <v>34</v>
      </c>
      <c r="F573" s="3">
        <v>63592.752204193697</v>
      </c>
      <c r="G573" s="2" t="s">
        <v>17</v>
      </c>
      <c r="H573" s="2" t="s">
        <v>26</v>
      </c>
    </row>
    <row r="574" spans="1:8">
      <c r="A574" s="2">
        <v>573</v>
      </c>
      <c r="B574" s="2" t="s">
        <v>112</v>
      </c>
      <c r="C574" s="2" t="s">
        <v>130</v>
      </c>
      <c r="D574" s="2" t="s">
        <v>22</v>
      </c>
      <c r="E574" s="2">
        <v>3</v>
      </c>
      <c r="F574" s="3">
        <v>63594.898680426901</v>
      </c>
      <c r="G574" s="2" t="s">
        <v>25</v>
      </c>
      <c r="H574" s="2" t="s">
        <v>10</v>
      </c>
    </row>
    <row r="575" spans="1:8">
      <c r="A575" s="2">
        <v>574</v>
      </c>
      <c r="B575" s="2" t="s">
        <v>105</v>
      </c>
      <c r="C575" s="2" t="s">
        <v>129</v>
      </c>
      <c r="D575" s="2" t="s">
        <v>8</v>
      </c>
      <c r="E575" s="2">
        <v>26</v>
      </c>
      <c r="F575" s="3">
        <v>63597.045156660097</v>
      </c>
      <c r="G575" s="2" t="s">
        <v>9</v>
      </c>
      <c r="H575" s="2" t="s">
        <v>10</v>
      </c>
    </row>
    <row r="576" spans="1:8">
      <c r="A576" s="2">
        <v>575</v>
      </c>
      <c r="B576" s="2" t="s">
        <v>109</v>
      </c>
      <c r="C576" s="2" t="s">
        <v>135</v>
      </c>
      <c r="D576" s="2" t="s">
        <v>12</v>
      </c>
      <c r="E576" s="2">
        <v>5</v>
      </c>
      <c r="F576" s="3">
        <v>63599.1916328933</v>
      </c>
      <c r="G576" s="2" t="s">
        <v>17</v>
      </c>
      <c r="H576" s="2" t="s">
        <v>18</v>
      </c>
    </row>
    <row r="577" spans="1:8">
      <c r="A577" s="2">
        <v>576</v>
      </c>
      <c r="B577" s="2" t="s">
        <v>112</v>
      </c>
      <c r="C577" s="2" t="s">
        <v>134</v>
      </c>
      <c r="D577" s="2" t="s">
        <v>16</v>
      </c>
      <c r="E577" s="2">
        <v>30</v>
      </c>
      <c r="F577" s="3">
        <v>63601.338109126496</v>
      </c>
      <c r="G577" s="2" t="s">
        <v>17</v>
      </c>
      <c r="H577" s="2" t="s">
        <v>29</v>
      </c>
    </row>
    <row r="578" spans="1:8">
      <c r="A578" s="2">
        <v>577</v>
      </c>
      <c r="B578" s="2" t="s">
        <v>108</v>
      </c>
      <c r="C578" s="2" t="s">
        <v>129</v>
      </c>
      <c r="D578" s="2" t="s">
        <v>16</v>
      </c>
      <c r="E578" s="2">
        <v>19</v>
      </c>
      <c r="F578" s="3">
        <v>63603.4845853597</v>
      </c>
      <c r="G578" s="2" t="s">
        <v>17</v>
      </c>
      <c r="H578" s="2" t="s">
        <v>23</v>
      </c>
    </row>
    <row r="579" spans="1:8">
      <c r="A579" s="2">
        <v>578</v>
      </c>
      <c r="B579" s="2" t="s">
        <v>105</v>
      </c>
      <c r="C579" s="2" t="s">
        <v>130</v>
      </c>
      <c r="D579" s="2" t="s">
        <v>12</v>
      </c>
      <c r="E579" s="2">
        <v>50</v>
      </c>
      <c r="F579" s="3">
        <v>63605.631061592998</v>
      </c>
      <c r="G579" s="2" t="s">
        <v>17</v>
      </c>
      <c r="H579" s="2" t="s">
        <v>10</v>
      </c>
    </row>
    <row r="580" spans="1:8">
      <c r="A580" s="2">
        <v>579</v>
      </c>
      <c r="B580" s="2" t="s">
        <v>105</v>
      </c>
      <c r="C580" s="2" t="s">
        <v>131</v>
      </c>
      <c r="D580" s="2" t="s">
        <v>8</v>
      </c>
      <c r="E580" s="2">
        <v>20</v>
      </c>
      <c r="F580" s="3">
        <v>63607.777537826201</v>
      </c>
      <c r="G580" s="2" t="s">
        <v>13</v>
      </c>
      <c r="H580" s="2" t="s">
        <v>14</v>
      </c>
    </row>
    <row r="581" spans="1:8">
      <c r="A581" s="2">
        <v>580</v>
      </c>
      <c r="B581" s="2" t="s">
        <v>106</v>
      </c>
      <c r="C581" s="2" t="s">
        <v>129</v>
      </c>
      <c r="D581" s="2" t="s">
        <v>12</v>
      </c>
      <c r="E581" s="2">
        <v>21</v>
      </c>
      <c r="F581" s="3">
        <v>63609.924014059397</v>
      </c>
      <c r="G581" s="2" t="s">
        <v>13</v>
      </c>
      <c r="H581" s="2" t="s">
        <v>18</v>
      </c>
    </row>
    <row r="582" spans="1:8">
      <c r="A582" s="2">
        <v>581</v>
      </c>
      <c r="B582" s="2" t="s">
        <v>111</v>
      </c>
      <c r="C582" s="2" t="s">
        <v>129</v>
      </c>
      <c r="D582" s="2" t="s">
        <v>12</v>
      </c>
      <c r="E582" s="2">
        <v>6</v>
      </c>
      <c r="F582" s="3">
        <v>63612.070490292601</v>
      </c>
      <c r="G582" s="2" t="s">
        <v>17</v>
      </c>
      <c r="H582" s="2" t="s">
        <v>10</v>
      </c>
    </row>
    <row r="583" spans="1:8">
      <c r="A583" s="2">
        <v>582</v>
      </c>
      <c r="B583" s="2" t="s">
        <v>110</v>
      </c>
      <c r="C583" s="2" t="s">
        <v>129</v>
      </c>
      <c r="D583" s="2" t="s">
        <v>12</v>
      </c>
      <c r="E583" s="2">
        <v>36</v>
      </c>
      <c r="F583" s="3">
        <v>63614.216966525797</v>
      </c>
      <c r="G583" s="2" t="s">
        <v>32</v>
      </c>
      <c r="H583" s="2" t="s">
        <v>10</v>
      </c>
    </row>
    <row r="584" spans="1:8">
      <c r="A584" s="2">
        <v>583</v>
      </c>
      <c r="B584" s="2" t="s">
        <v>105</v>
      </c>
      <c r="C584" s="2" t="s">
        <v>135</v>
      </c>
      <c r="D584" s="2" t="s">
        <v>12</v>
      </c>
      <c r="E584" s="2">
        <v>30</v>
      </c>
      <c r="F584" s="3">
        <v>63616.363442759</v>
      </c>
      <c r="G584" s="2" t="s">
        <v>32</v>
      </c>
      <c r="H584" s="2" t="s">
        <v>26</v>
      </c>
    </row>
    <row r="585" spans="1:8">
      <c r="A585" s="2">
        <v>584</v>
      </c>
      <c r="B585" s="2" t="s">
        <v>113</v>
      </c>
      <c r="C585" s="2" t="s">
        <v>134</v>
      </c>
      <c r="D585" s="2" t="s">
        <v>22</v>
      </c>
      <c r="E585" s="2">
        <v>1</v>
      </c>
      <c r="F585" s="3">
        <v>63618.509918992197</v>
      </c>
      <c r="G585" s="2" t="s">
        <v>13</v>
      </c>
      <c r="H585" s="2" t="s">
        <v>18</v>
      </c>
    </row>
    <row r="586" spans="1:8">
      <c r="A586" s="2">
        <v>585</v>
      </c>
      <c r="B586" s="2" t="s">
        <v>112</v>
      </c>
      <c r="C586" s="2" t="s">
        <v>131</v>
      </c>
      <c r="D586" s="2" t="s">
        <v>16</v>
      </c>
      <c r="E586" s="2">
        <v>24</v>
      </c>
      <c r="F586" s="3">
        <v>63620.6563952254</v>
      </c>
      <c r="G586" s="2" t="s">
        <v>28</v>
      </c>
      <c r="H586" s="2" t="s">
        <v>23</v>
      </c>
    </row>
    <row r="587" spans="1:8">
      <c r="A587" s="2">
        <v>586</v>
      </c>
      <c r="B587" s="2" t="s">
        <v>105</v>
      </c>
      <c r="C587" s="2" t="s">
        <v>134</v>
      </c>
      <c r="D587" s="2" t="s">
        <v>8</v>
      </c>
      <c r="E587" s="2">
        <v>13</v>
      </c>
      <c r="F587" s="3">
        <v>63622.802871458603</v>
      </c>
      <c r="G587" s="2" t="s">
        <v>17</v>
      </c>
      <c r="H587" s="2" t="s">
        <v>26</v>
      </c>
    </row>
    <row r="588" spans="1:8">
      <c r="A588" s="2">
        <v>587</v>
      </c>
      <c r="B588" s="2" t="s">
        <v>105</v>
      </c>
      <c r="C588" s="2" t="s">
        <v>132</v>
      </c>
      <c r="D588" s="2" t="s">
        <v>22</v>
      </c>
      <c r="E588" s="2">
        <v>19</v>
      </c>
      <c r="F588" s="3">
        <v>63624.9493476918</v>
      </c>
      <c r="G588" s="2" t="s">
        <v>9</v>
      </c>
      <c r="H588" s="2" t="s">
        <v>14</v>
      </c>
    </row>
    <row r="589" spans="1:8">
      <c r="A589" s="2">
        <v>588</v>
      </c>
      <c r="B589" s="2" t="s">
        <v>114</v>
      </c>
      <c r="C589" s="2" t="s">
        <v>130</v>
      </c>
      <c r="D589" s="2" t="s">
        <v>16</v>
      </c>
      <c r="E589" s="2">
        <v>37</v>
      </c>
      <c r="F589" s="3">
        <v>63627.095823925003</v>
      </c>
      <c r="G589" s="2" t="s">
        <v>9</v>
      </c>
      <c r="H589" s="2" t="s">
        <v>14</v>
      </c>
    </row>
    <row r="590" spans="1:8">
      <c r="A590" s="2">
        <v>589</v>
      </c>
      <c r="B590" s="2" t="s">
        <v>113</v>
      </c>
      <c r="C590" s="2" t="s">
        <v>133</v>
      </c>
      <c r="D590" s="2" t="s">
        <v>12</v>
      </c>
      <c r="E590" s="2">
        <v>20</v>
      </c>
      <c r="F590" s="3">
        <v>63629.242300158301</v>
      </c>
      <c r="G590" s="2" t="s">
        <v>13</v>
      </c>
      <c r="H590" s="2" t="s">
        <v>23</v>
      </c>
    </row>
    <row r="591" spans="1:8">
      <c r="A591" s="2">
        <v>590</v>
      </c>
      <c r="B591" s="2" t="s">
        <v>114</v>
      </c>
      <c r="C591" s="2" t="s">
        <v>135</v>
      </c>
      <c r="D591" s="2" t="s">
        <v>16</v>
      </c>
      <c r="E591" s="2">
        <v>48</v>
      </c>
      <c r="F591" s="3">
        <v>63631.388776391497</v>
      </c>
      <c r="G591" s="2" t="s">
        <v>38</v>
      </c>
      <c r="H591" s="2" t="s">
        <v>26</v>
      </c>
    </row>
    <row r="592" spans="1:8">
      <c r="A592" s="2">
        <v>591</v>
      </c>
      <c r="B592" s="2" t="s">
        <v>105</v>
      </c>
      <c r="C592" s="2" t="s">
        <v>134</v>
      </c>
      <c r="D592" s="2" t="s">
        <v>16</v>
      </c>
      <c r="E592" s="2">
        <v>40</v>
      </c>
      <c r="F592" s="3">
        <v>63633.535252624701</v>
      </c>
      <c r="G592" s="2" t="s">
        <v>38</v>
      </c>
      <c r="H592" s="2" t="s">
        <v>18</v>
      </c>
    </row>
    <row r="593" spans="1:8">
      <c r="A593" s="2">
        <v>592</v>
      </c>
      <c r="B593" s="2" t="s">
        <v>110</v>
      </c>
      <c r="C593" s="2" t="s">
        <v>130</v>
      </c>
      <c r="D593" s="2" t="s">
        <v>22</v>
      </c>
      <c r="E593" s="2">
        <v>16</v>
      </c>
      <c r="F593" s="3">
        <v>63635.681728857897</v>
      </c>
      <c r="G593" s="2" t="s">
        <v>28</v>
      </c>
      <c r="H593" s="2" t="s">
        <v>10</v>
      </c>
    </row>
    <row r="594" spans="1:8">
      <c r="A594" s="2">
        <v>593</v>
      </c>
      <c r="B594" s="2" t="s">
        <v>113</v>
      </c>
      <c r="C594" s="2" t="s">
        <v>130</v>
      </c>
      <c r="D594" s="2" t="s">
        <v>22</v>
      </c>
      <c r="E594" s="2">
        <v>30</v>
      </c>
      <c r="F594" s="3">
        <v>63637.8282050911</v>
      </c>
      <c r="G594" s="2" t="s">
        <v>38</v>
      </c>
      <c r="H594" s="2" t="s">
        <v>23</v>
      </c>
    </row>
    <row r="595" spans="1:8">
      <c r="A595" s="2">
        <v>594</v>
      </c>
      <c r="B595" s="2" t="s">
        <v>106</v>
      </c>
      <c r="C595" s="2" t="s">
        <v>135</v>
      </c>
      <c r="D595" s="2" t="s">
        <v>8</v>
      </c>
      <c r="E595" s="2">
        <v>24</v>
      </c>
      <c r="F595" s="3">
        <v>63639.974681324296</v>
      </c>
      <c r="G595" s="2" t="s">
        <v>25</v>
      </c>
      <c r="H595" s="2" t="s">
        <v>26</v>
      </c>
    </row>
    <row r="596" spans="1:8">
      <c r="A596" s="2">
        <v>595</v>
      </c>
      <c r="B596" s="2" t="s">
        <v>107</v>
      </c>
      <c r="C596" s="2" t="s">
        <v>135</v>
      </c>
      <c r="D596" s="2" t="s">
        <v>12</v>
      </c>
      <c r="E596" s="2">
        <v>38</v>
      </c>
      <c r="F596" s="3">
        <v>63642.1211575575</v>
      </c>
      <c r="G596" s="2" t="s">
        <v>28</v>
      </c>
      <c r="H596" s="2" t="s">
        <v>18</v>
      </c>
    </row>
    <row r="597" spans="1:8">
      <c r="A597" s="2">
        <v>596</v>
      </c>
      <c r="B597" s="2" t="s">
        <v>105</v>
      </c>
      <c r="C597" s="2" t="s">
        <v>130</v>
      </c>
      <c r="D597" s="2" t="s">
        <v>12</v>
      </c>
      <c r="E597" s="2">
        <v>32</v>
      </c>
      <c r="F597" s="3">
        <v>63644.267633790703</v>
      </c>
      <c r="G597" s="2" t="s">
        <v>38</v>
      </c>
      <c r="H597" s="2" t="s">
        <v>18</v>
      </c>
    </row>
    <row r="598" spans="1:8">
      <c r="A598" s="2">
        <v>597</v>
      </c>
      <c r="B598" s="2" t="s">
        <v>105</v>
      </c>
      <c r="C598" s="2" t="s">
        <v>132</v>
      </c>
      <c r="D598" s="2" t="s">
        <v>12</v>
      </c>
      <c r="E598" s="2">
        <v>50</v>
      </c>
      <c r="F598" s="3">
        <v>63646.414110023899</v>
      </c>
      <c r="G598" s="2" t="s">
        <v>28</v>
      </c>
      <c r="H598" s="2" t="s">
        <v>18</v>
      </c>
    </row>
    <row r="599" spans="1:8">
      <c r="A599" s="2">
        <v>598</v>
      </c>
      <c r="B599" s="2" t="s">
        <v>111</v>
      </c>
      <c r="C599" s="2" t="s">
        <v>134</v>
      </c>
      <c r="D599" s="2" t="s">
        <v>16</v>
      </c>
      <c r="E599" s="2">
        <v>50</v>
      </c>
      <c r="F599" s="3">
        <v>63648.560586257103</v>
      </c>
      <c r="G599" s="2" t="s">
        <v>32</v>
      </c>
      <c r="H599" s="2" t="s">
        <v>18</v>
      </c>
    </row>
    <row r="600" spans="1:8">
      <c r="A600" s="2">
        <v>599</v>
      </c>
      <c r="B600" s="2" t="s">
        <v>111</v>
      </c>
      <c r="C600" s="2" t="s">
        <v>133</v>
      </c>
      <c r="D600" s="2" t="s">
        <v>16</v>
      </c>
      <c r="E600" s="2">
        <v>13</v>
      </c>
      <c r="F600" s="3">
        <v>63650.707062490401</v>
      </c>
      <c r="G600" s="2" t="s">
        <v>32</v>
      </c>
      <c r="H600" s="2" t="s">
        <v>14</v>
      </c>
    </row>
    <row r="601" spans="1:8">
      <c r="A601" s="2">
        <v>600</v>
      </c>
      <c r="B601" s="2" t="s">
        <v>114</v>
      </c>
      <c r="C601" s="2" t="s">
        <v>133</v>
      </c>
      <c r="D601" s="2" t="s">
        <v>12</v>
      </c>
      <c r="E601" s="2">
        <v>47</v>
      </c>
      <c r="F601" s="3">
        <v>63652.853538723597</v>
      </c>
      <c r="G601" s="2" t="s">
        <v>17</v>
      </c>
      <c r="H601" s="2" t="s">
        <v>18</v>
      </c>
    </row>
    <row r="602" spans="1:8">
      <c r="A602" s="2">
        <v>601</v>
      </c>
      <c r="B602" s="2" t="s">
        <v>112</v>
      </c>
      <c r="C602" s="2" t="s">
        <v>133</v>
      </c>
      <c r="D602" s="2" t="s">
        <v>8</v>
      </c>
      <c r="E602" s="2">
        <v>35</v>
      </c>
      <c r="F602" s="3">
        <v>63655.0000149568</v>
      </c>
      <c r="G602" s="2" t="s">
        <v>38</v>
      </c>
      <c r="H602" s="2" t="s">
        <v>26</v>
      </c>
    </row>
    <row r="603" spans="1:8">
      <c r="A603" s="2">
        <v>602</v>
      </c>
      <c r="B603" s="2" t="s">
        <v>110</v>
      </c>
      <c r="C603" s="2" t="s">
        <v>129</v>
      </c>
      <c r="D603" s="2" t="s">
        <v>16</v>
      </c>
      <c r="E603" s="2">
        <v>49</v>
      </c>
      <c r="F603" s="3">
        <v>63657.146491189997</v>
      </c>
      <c r="G603" s="2" t="s">
        <v>28</v>
      </c>
      <c r="H603" s="2" t="s">
        <v>23</v>
      </c>
    </row>
    <row r="604" spans="1:8">
      <c r="A604" s="2">
        <v>603</v>
      </c>
      <c r="B604" s="2" t="s">
        <v>112</v>
      </c>
      <c r="C604" s="2" t="s">
        <v>134</v>
      </c>
      <c r="D604" s="2" t="s">
        <v>8</v>
      </c>
      <c r="E604" s="2">
        <v>16</v>
      </c>
      <c r="F604" s="3">
        <v>63659.2929674232</v>
      </c>
      <c r="G604" s="2" t="s">
        <v>25</v>
      </c>
      <c r="H604" s="2" t="s">
        <v>10</v>
      </c>
    </row>
    <row r="605" spans="1:8">
      <c r="A605" s="2">
        <v>604</v>
      </c>
      <c r="B605" s="2" t="s">
        <v>107</v>
      </c>
      <c r="C605" s="2" t="s">
        <v>129</v>
      </c>
      <c r="D605" s="2" t="s">
        <v>16</v>
      </c>
      <c r="E605" s="2">
        <v>10</v>
      </c>
      <c r="F605" s="3">
        <v>63661.439443656403</v>
      </c>
      <c r="G605" s="2" t="s">
        <v>20</v>
      </c>
      <c r="H605" s="2" t="s">
        <v>10</v>
      </c>
    </row>
    <row r="606" spans="1:8">
      <c r="A606" s="2">
        <v>605</v>
      </c>
      <c r="B606" s="2" t="s">
        <v>105</v>
      </c>
      <c r="C606" s="2" t="s">
        <v>129</v>
      </c>
      <c r="D606" s="2" t="s">
        <v>22</v>
      </c>
      <c r="E606" s="2">
        <v>1</v>
      </c>
      <c r="F606" s="3">
        <v>63663.5859198896</v>
      </c>
      <c r="G606" s="2" t="s">
        <v>38</v>
      </c>
      <c r="H606" s="2" t="s">
        <v>26</v>
      </c>
    </row>
    <row r="607" spans="1:8">
      <c r="A607" s="2">
        <v>606</v>
      </c>
      <c r="B607" s="2" t="s">
        <v>110</v>
      </c>
      <c r="C607" s="2" t="s">
        <v>130</v>
      </c>
      <c r="D607" s="2" t="s">
        <v>22</v>
      </c>
      <c r="E607" s="2">
        <v>27</v>
      </c>
      <c r="F607" s="3">
        <v>63665.732396122803</v>
      </c>
      <c r="G607" s="2" t="s">
        <v>9</v>
      </c>
      <c r="H607" s="2" t="s">
        <v>26</v>
      </c>
    </row>
    <row r="608" spans="1:8">
      <c r="A608" s="2">
        <v>607</v>
      </c>
      <c r="B608" s="2" t="s">
        <v>113</v>
      </c>
      <c r="C608" s="2" t="s">
        <v>129</v>
      </c>
      <c r="D608" s="2" t="s">
        <v>12</v>
      </c>
      <c r="E608" s="2">
        <v>2</v>
      </c>
      <c r="F608" s="3">
        <v>63667.878872355999</v>
      </c>
      <c r="G608" s="2" t="s">
        <v>17</v>
      </c>
      <c r="H608" s="2" t="s">
        <v>29</v>
      </c>
    </row>
    <row r="609" spans="1:8">
      <c r="A609" s="2">
        <v>608</v>
      </c>
      <c r="B609" s="2" t="s">
        <v>105</v>
      </c>
      <c r="C609" s="2" t="s">
        <v>131</v>
      </c>
      <c r="D609" s="2" t="s">
        <v>22</v>
      </c>
      <c r="E609" s="2">
        <v>15</v>
      </c>
      <c r="F609" s="3">
        <v>63670.025348589203</v>
      </c>
      <c r="G609" s="2" t="s">
        <v>25</v>
      </c>
      <c r="H609" s="2" t="s">
        <v>26</v>
      </c>
    </row>
    <row r="610" spans="1:8">
      <c r="A610" s="2">
        <v>609</v>
      </c>
      <c r="B610" s="2" t="s">
        <v>106</v>
      </c>
      <c r="C610" s="2" t="s">
        <v>132</v>
      </c>
      <c r="D610" s="2" t="s">
        <v>16</v>
      </c>
      <c r="E610" s="2">
        <v>35</v>
      </c>
      <c r="F610" s="3">
        <v>63672.171824822501</v>
      </c>
      <c r="G610" s="2" t="s">
        <v>25</v>
      </c>
      <c r="H610" s="2" t="s">
        <v>26</v>
      </c>
    </row>
    <row r="611" spans="1:8">
      <c r="A611" s="2">
        <v>610</v>
      </c>
      <c r="B611" s="2" t="s">
        <v>105</v>
      </c>
      <c r="C611" s="2" t="s">
        <v>132</v>
      </c>
      <c r="D611" s="2" t="s">
        <v>16</v>
      </c>
      <c r="E611" s="2">
        <v>23</v>
      </c>
      <c r="F611" s="3">
        <v>63674.318301055697</v>
      </c>
      <c r="G611" s="2" t="s">
        <v>28</v>
      </c>
      <c r="H611" s="2" t="s">
        <v>23</v>
      </c>
    </row>
    <row r="612" spans="1:8">
      <c r="A612" s="2">
        <v>611</v>
      </c>
      <c r="B612" s="2" t="s">
        <v>109</v>
      </c>
      <c r="C612" s="2" t="s">
        <v>135</v>
      </c>
      <c r="D612" s="2" t="s">
        <v>22</v>
      </c>
      <c r="E612" s="2">
        <v>41</v>
      </c>
      <c r="F612" s="3">
        <v>63676.4647772889</v>
      </c>
      <c r="G612" s="2" t="s">
        <v>17</v>
      </c>
      <c r="H612" s="2" t="s">
        <v>29</v>
      </c>
    </row>
    <row r="613" spans="1:8">
      <c r="A613" s="2">
        <v>612</v>
      </c>
      <c r="B613" s="2" t="s">
        <v>110</v>
      </c>
      <c r="C613" s="2" t="s">
        <v>135</v>
      </c>
      <c r="D613" s="2" t="s">
        <v>22</v>
      </c>
      <c r="E613" s="2">
        <v>45</v>
      </c>
      <c r="F613" s="3">
        <v>63678.611253522096</v>
      </c>
      <c r="G613" s="2" t="s">
        <v>32</v>
      </c>
      <c r="H613" s="2" t="s">
        <v>23</v>
      </c>
    </row>
    <row r="614" spans="1:8">
      <c r="A614" s="2">
        <v>613</v>
      </c>
      <c r="B614" s="2" t="s">
        <v>109</v>
      </c>
      <c r="C614" s="2" t="s">
        <v>134</v>
      </c>
      <c r="D614" s="2" t="s">
        <v>22</v>
      </c>
      <c r="E614" s="2">
        <v>1</v>
      </c>
      <c r="F614" s="3">
        <v>63680.7577297553</v>
      </c>
      <c r="G614" s="2" t="s">
        <v>32</v>
      </c>
      <c r="H614" s="2" t="s">
        <v>18</v>
      </c>
    </row>
    <row r="615" spans="1:8">
      <c r="A615" s="2">
        <v>614</v>
      </c>
      <c r="B615" s="2" t="s">
        <v>114</v>
      </c>
      <c r="C615" s="2" t="s">
        <v>134</v>
      </c>
      <c r="D615" s="2" t="s">
        <v>12</v>
      </c>
      <c r="E615" s="2">
        <v>22</v>
      </c>
      <c r="F615" s="3">
        <v>63682.904205988503</v>
      </c>
      <c r="G615" s="2" t="s">
        <v>28</v>
      </c>
      <c r="H615" s="2" t="s">
        <v>26</v>
      </c>
    </row>
    <row r="616" spans="1:8">
      <c r="A616" s="2">
        <v>615</v>
      </c>
      <c r="B616" s="2" t="s">
        <v>111</v>
      </c>
      <c r="C616" s="2" t="s">
        <v>131</v>
      </c>
      <c r="D616" s="2" t="s">
        <v>22</v>
      </c>
      <c r="E616" s="2">
        <v>1</v>
      </c>
      <c r="F616" s="3">
        <v>63685.050682221699</v>
      </c>
      <c r="G616" s="2" t="s">
        <v>28</v>
      </c>
      <c r="H616" s="2" t="s">
        <v>26</v>
      </c>
    </row>
    <row r="617" spans="1:8">
      <c r="A617" s="2">
        <v>616</v>
      </c>
      <c r="B617" s="2" t="s">
        <v>113</v>
      </c>
      <c r="C617" s="2" t="s">
        <v>132</v>
      </c>
      <c r="D617" s="2" t="s">
        <v>16</v>
      </c>
      <c r="E617" s="2">
        <v>49</v>
      </c>
      <c r="F617" s="3">
        <v>63687.197158454903</v>
      </c>
      <c r="G617" s="2" t="s">
        <v>20</v>
      </c>
      <c r="H617" s="2" t="s">
        <v>29</v>
      </c>
    </row>
    <row r="618" spans="1:8">
      <c r="A618" s="2">
        <v>617</v>
      </c>
      <c r="B618" s="2" t="s">
        <v>105</v>
      </c>
      <c r="C618" s="2" t="s">
        <v>135</v>
      </c>
      <c r="D618" s="2" t="s">
        <v>22</v>
      </c>
      <c r="E618" s="2">
        <v>43</v>
      </c>
      <c r="F618" s="3">
        <v>63689.343634688099</v>
      </c>
      <c r="G618" s="2" t="s">
        <v>13</v>
      </c>
      <c r="H618" s="2" t="s">
        <v>18</v>
      </c>
    </row>
    <row r="619" spans="1:8">
      <c r="A619" s="2">
        <v>618</v>
      </c>
      <c r="B619" s="2" t="s">
        <v>114</v>
      </c>
      <c r="C619" s="2" t="s">
        <v>130</v>
      </c>
      <c r="D619" s="2" t="s">
        <v>12</v>
      </c>
      <c r="E619" s="2">
        <v>25</v>
      </c>
      <c r="F619" s="3">
        <v>63691.490110921302</v>
      </c>
      <c r="G619" s="2" t="s">
        <v>32</v>
      </c>
      <c r="H619" s="2" t="s">
        <v>23</v>
      </c>
    </row>
    <row r="620" spans="1:8">
      <c r="A620" s="2">
        <v>619</v>
      </c>
      <c r="B620" s="2" t="s">
        <v>114</v>
      </c>
      <c r="C620" s="2" t="s">
        <v>135</v>
      </c>
      <c r="D620" s="2" t="s">
        <v>12</v>
      </c>
      <c r="E620" s="2">
        <v>48</v>
      </c>
      <c r="F620" s="3">
        <v>63693.6365871546</v>
      </c>
      <c r="G620" s="2" t="s">
        <v>20</v>
      </c>
      <c r="H620" s="2" t="s">
        <v>14</v>
      </c>
    </row>
    <row r="621" spans="1:8">
      <c r="A621" s="2">
        <v>620</v>
      </c>
      <c r="B621" s="2" t="s">
        <v>113</v>
      </c>
      <c r="C621" s="2" t="s">
        <v>129</v>
      </c>
      <c r="D621" s="2" t="s">
        <v>16</v>
      </c>
      <c r="E621" s="2">
        <v>47</v>
      </c>
      <c r="F621" s="3">
        <v>63695.783063387797</v>
      </c>
      <c r="G621" s="2" t="s">
        <v>17</v>
      </c>
      <c r="H621" s="2" t="s">
        <v>26</v>
      </c>
    </row>
    <row r="622" spans="1:8">
      <c r="A622" s="2">
        <v>621</v>
      </c>
      <c r="B622" s="2" t="s">
        <v>108</v>
      </c>
      <c r="C622" s="2" t="s">
        <v>133</v>
      </c>
      <c r="D622" s="2" t="s">
        <v>16</v>
      </c>
      <c r="E622" s="2">
        <v>20</v>
      </c>
      <c r="F622" s="3">
        <v>63697.929539621</v>
      </c>
      <c r="G622" s="2" t="s">
        <v>9</v>
      </c>
      <c r="H622" s="2" t="s">
        <v>14</v>
      </c>
    </row>
    <row r="623" spans="1:8">
      <c r="A623" s="2">
        <v>622</v>
      </c>
      <c r="B623" s="2" t="s">
        <v>105</v>
      </c>
      <c r="C623" s="2" t="s">
        <v>130</v>
      </c>
      <c r="D623" s="2" t="s">
        <v>22</v>
      </c>
      <c r="E623" s="2">
        <v>7</v>
      </c>
      <c r="F623" s="3">
        <v>63700.076015854203</v>
      </c>
      <c r="G623" s="2" t="s">
        <v>25</v>
      </c>
      <c r="H623" s="2" t="s">
        <v>14</v>
      </c>
    </row>
    <row r="624" spans="1:8">
      <c r="A624" s="2">
        <v>623</v>
      </c>
      <c r="B624" s="2" t="s">
        <v>109</v>
      </c>
      <c r="C624" s="2" t="s">
        <v>133</v>
      </c>
      <c r="D624" s="2" t="s">
        <v>16</v>
      </c>
      <c r="E624" s="2">
        <v>14</v>
      </c>
      <c r="F624" s="3">
        <v>63702.2224920874</v>
      </c>
      <c r="G624" s="2" t="s">
        <v>9</v>
      </c>
      <c r="H624" s="2" t="s">
        <v>14</v>
      </c>
    </row>
    <row r="625" spans="1:8">
      <c r="A625" s="2">
        <v>624</v>
      </c>
      <c r="B625" s="2" t="s">
        <v>110</v>
      </c>
      <c r="C625" s="2" t="s">
        <v>133</v>
      </c>
      <c r="D625" s="2" t="s">
        <v>8</v>
      </c>
      <c r="E625" s="2">
        <v>34</v>
      </c>
      <c r="F625" s="3">
        <v>63704.368968320603</v>
      </c>
      <c r="G625" s="2" t="s">
        <v>20</v>
      </c>
      <c r="H625" s="2" t="s">
        <v>10</v>
      </c>
    </row>
    <row r="626" spans="1:8">
      <c r="A626" s="2">
        <v>625</v>
      </c>
      <c r="B626" s="2" t="s">
        <v>109</v>
      </c>
      <c r="C626" s="2" t="s">
        <v>132</v>
      </c>
      <c r="D626" s="2" t="s">
        <v>16</v>
      </c>
      <c r="E626" s="2">
        <v>16</v>
      </c>
      <c r="F626" s="3">
        <v>63706.515444553799</v>
      </c>
      <c r="G626" s="2" t="s">
        <v>28</v>
      </c>
      <c r="H626" s="2" t="s">
        <v>14</v>
      </c>
    </row>
    <row r="627" spans="1:8">
      <c r="A627" s="2">
        <v>626</v>
      </c>
      <c r="B627" s="2" t="s">
        <v>113</v>
      </c>
      <c r="C627" s="2" t="s">
        <v>133</v>
      </c>
      <c r="D627" s="2" t="s">
        <v>8</v>
      </c>
      <c r="E627" s="2">
        <v>27</v>
      </c>
      <c r="F627" s="3">
        <v>63708.661920787003</v>
      </c>
      <c r="G627" s="2" t="s">
        <v>38</v>
      </c>
      <c r="H627" s="2" t="s">
        <v>23</v>
      </c>
    </row>
    <row r="628" spans="1:8">
      <c r="A628" s="2">
        <v>627</v>
      </c>
      <c r="B628" s="2" t="s">
        <v>107</v>
      </c>
      <c r="C628" s="2" t="s">
        <v>133</v>
      </c>
      <c r="D628" s="2" t="s">
        <v>8</v>
      </c>
      <c r="E628" s="2">
        <v>32</v>
      </c>
      <c r="F628" s="3">
        <v>63710.808397020199</v>
      </c>
      <c r="G628" s="2" t="s">
        <v>13</v>
      </c>
      <c r="H628" s="2" t="s">
        <v>14</v>
      </c>
    </row>
    <row r="629" spans="1:8">
      <c r="A629" s="2">
        <v>628</v>
      </c>
      <c r="B629" s="2" t="s">
        <v>105</v>
      </c>
      <c r="C629" s="2" t="s">
        <v>129</v>
      </c>
      <c r="D629" s="2" t="s">
        <v>16</v>
      </c>
      <c r="E629" s="2">
        <v>4</v>
      </c>
      <c r="F629" s="3">
        <v>63712.954873253402</v>
      </c>
      <c r="G629" s="2" t="s">
        <v>20</v>
      </c>
      <c r="H629" s="2" t="s">
        <v>26</v>
      </c>
    </row>
    <row r="630" spans="1:8">
      <c r="A630" s="2">
        <v>629</v>
      </c>
      <c r="B630" s="2" t="s">
        <v>106</v>
      </c>
      <c r="C630" s="2" t="s">
        <v>134</v>
      </c>
      <c r="D630" s="2" t="s">
        <v>8</v>
      </c>
      <c r="E630" s="2">
        <v>10</v>
      </c>
      <c r="F630" s="3">
        <v>63715.101349486598</v>
      </c>
      <c r="G630" s="2" t="s">
        <v>38</v>
      </c>
      <c r="H630" s="2" t="s">
        <v>10</v>
      </c>
    </row>
    <row r="631" spans="1:8">
      <c r="A631" s="2">
        <v>630</v>
      </c>
      <c r="B631" s="2" t="s">
        <v>112</v>
      </c>
      <c r="C631" s="2" t="s">
        <v>131</v>
      </c>
      <c r="D631" s="2" t="s">
        <v>16</v>
      </c>
      <c r="E631" s="2">
        <v>46</v>
      </c>
      <c r="F631" s="3">
        <v>63717.247825719904</v>
      </c>
      <c r="G631" s="2" t="s">
        <v>17</v>
      </c>
      <c r="H631" s="2" t="s">
        <v>18</v>
      </c>
    </row>
    <row r="632" spans="1:8">
      <c r="A632" s="2">
        <v>631</v>
      </c>
      <c r="B632" s="2" t="s">
        <v>110</v>
      </c>
      <c r="C632" s="2" t="s">
        <v>132</v>
      </c>
      <c r="D632" s="2" t="s">
        <v>16</v>
      </c>
      <c r="E632" s="2">
        <v>18</v>
      </c>
      <c r="F632" s="3">
        <v>63719.3943019531</v>
      </c>
      <c r="G632" s="2" t="s">
        <v>17</v>
      </c>
      <c r="H632" s="2" t="s">
        <v>29</v>
      </c>
    </row>
    <row r="633" spans="1:8">
      <c r="A633" s="2">
        <v>632</v>
      </c>
      <c r="B633" s="2" t="s">
        <v>106</v>
      </c>
      <c r="C633" s="2" t="s">
        <v>135</v>
      </c>
      <c r="D633" s="2" t="s">
        <v>12</v>
      </c>
      <c r="E633" s="2">
        <v>6</v>
      </c>
      <c r="F633" s="3">
        <v>63721.540778186303</v>
      </c>
      <c r="G633" s="2" t="s">
        <v>13</v>
      </c>
      <c r="H633" s="2" t="s">
        <v>26</v>
      </c>
    </row>
    <row r="634" spans="1:8">
      <c r="A634" s="2">
        <v>633</v>
      </c>
      <c r="B634" s="2" t="s">
        <v>106</v>
      </c>
      <c r="C634" s="2" t="s">
        <v>129</v>
      </c>
      <c r="D634" s="2" t="s">
        <v>8</v>
      </c>
      <c r="E634" s="2">
        <v>3</v>
      </c>
      <c r="F634" s="3">
        <v>63723.687254419499</v>
      </c>
      <c r="G634" s="2" t="s">
        <v>13</v>
      </c>
      <c r="H634" s="2" t="s">
        <v>18</v>
      </c>
    </row>
    <row r="635" spans="1:8">
      <c r="A635" s="2">
        <v>634</v>
      </c>
      <c r="B635" s="2" t="s">
        <v>105</v>
      </c>
      <c r="C635" s="2" t="s">
        <v>133</v>
      </c>
      <c r="D635" s="2" t="s">
        <v>8</v>
      </c>
      <c r="E635" s="2">
        <v>15</v>
      </c>
      <c r="F635" s="1" t="s">
        <v>4</v>
      </c>
      <c r="G635" s="2" t="s">
        <v>20</v>
      </c>
      <c r="H635" s="2" t="s">
        <v>18</v>
      </c>
    </row>
    <row r="636" spans="1:8">
      <c r="A636" s="2">
        <v>635</v>
      </c>
      <c r="B636" s="2" t="s">
        <v>107</v>
      </c>
      <c r="C636" s="2" t="s">
        <v>135</v>
      </c>
      <c r="D636" s="2" t="s">
        <v>22</v>
      </c>
      <c r="E636" s="2">
        <v>34</v>
      </c>
      <c r="F636" s="3">
        <v>63438.205915401799</v>
      </c>
      <c r="G636" s="2" t="s">
        <v>32</v>
      </c>
      <c r="H636" s="2" t="s">
        <v>29</v>
      </c>
    </row>
    <row r="637" spans="1:8">
      <c r="A637" s="2">
        <v>636</v>
      </c>
      <c r="B637" s="2" t="s">
        <v>105</v>
      </c>
      <c r="C637" s="2" t="s">
        <v>129</v>
      </c>
      <c r="D637" s="2" t="s">
        <v>16</v>
      </c>
      <c r="E637" s="2">
        <v>27</v>
      </c>
      <c r="F637" s="3">
        <v>63440.352391635002</v>
      </c>
      <c r="G637" s="2" t="s">
        <v>38</v>
      </c>
      <c r="H637" s="2" t="s">
        <v>14</v>
      </c>
    </row>
    <row r="638" spans="1:8">
      <c r="A638" s="2">
        <v>637</v>
      </c>
      <c r="B638" s="2" t="s">
        <v>107</v>
      </c>
      <c r="C638" s="2" t="s">
        <v>130</v>
      </c>
      <c r="D638" s="2" t="s">
        <v>12</v>
      </c>
      <c r="E638" s="2">
        <v>45</v>
      </c>
      <c r="F638" s="3">
        <v>63442.498867868198</v>
      </c>
      <c r="G638" s="2" t="s">
        <v>13</v>
      </c>
      <c r="H638" s="2" t="s">
        <v>14</v>
      </c>
    </row>
    <row r="639" spans="1:8">
      <c r="A639" s="2">
        <v>638</v>
      </c>
      <c r="B639" s="2" t="s">
        <v>108</v>
      </c>
      <c r="C639" s="2" t="s">
        <v>130</v>
      </c>
      <c r="D639" s="2" t="s">
        <v>12</v>
      </c>
      <c r="E639" s="2">
        <v>24</v>
      </c>
      <c r="F639" s="3">
        <v>63444.645344101402</v>
      </c>
      <c r="G639" s="2" t="s">
        <v>38</v>
      </c>
      <c r="H639" s="2" t="s">
        <v>23</v>
      </c>
    </row>
    <row r="640" spans="1:8">
      <c r="A640" s="2">
        <v>639</v>
      </c>
      <c r="B640" s="2" t="s">
        <v>110</v>
      </c>
      <c r="C640" s="2" t="s">
        <v>132</v>
      </c>
      <c r="D640" s="2" t="s">
        <v>22</v>
      </c>
      <c r="E640" s="2">
        <v>30</v>
      </c>
      <c r="F640" s="3">
        <v>63446.791820334598</v>
      </c>
      <c r="G640" s="2" t="s">
        <v>28</v>
      </c>
      <c r="H640" s="2" t="s">
        <v>14</v>
      </c>
    </row>
    <row r="641" spans="1:8">
      <c r="A641" s="2">
        <v>640</v>
      </c>
      <c r="B641" s="2" t="s">
        <v>113</v>
      </c>
      <c r="C641" s="2" t="s">
        <v>133</v>
      </c>
      <c r="D641" s="2" t="s">
        <v>8</v>
      </c>
      <c r="E641" s="2">
        <v>48</v>
      </c>
      <c r="F641" s="3">
        <v>63448.938296567801</v>
      </c>
      <c r="G641" s="2" t="s">
        <v>38</v>
      </c>
      <c r="H641" s="2" t="s">
        <v>14</v>
      </c>
    </row>
    <row r="642" spans="1:8">
      <c r="A642" s="2">
        <v>641</v>
      </c>
      <c r="B642" s="2" t="s">
        <v>111</v>
      </c>
      <c r="C642" s="2" t="s">
        <v>132</v>
      </c>
      <c r="D642" s="2" t="s">
        <v>12</v>
      </c>
      <c r="E642" s="2">
        <v>6</v>
      </c>
      <c r="F642" s="3">
        <v>63451.084772800998</v>
      </c>
      <c r="G642" s="2" t="s">
        <v>17</v>
      </c>
      <c r="H642" s="2" t="s">
        <v>23</v>
      </c>
    </row>
    <row r="643" spans="1:8">
      <c r="A643" s="2">
        <v>642</v>
      </c>
      <c r="B643" s="2" t="s">
        <v>113</v>
      </c>
      <c r="C643" s="2" t="s">
        <v>130</v>
      </c>
      <c r="D643" s="2" t="s">
        <v>8</v>
      </c>
      <c r="E643" s="2">
        <v>38</v>
      </c>
      <c r="F643" s="3">
        <v>63453.231249034201</v>
      </c>
      <c r="G643" s="2" t="s">
        <v>25</v>
      </c>
      <c r="H643" s="2" t="s">
        <v>26</v>
      </c>
    </row>
    <row r="644" spans="1:8">
      <c r="A644" s="2">
        <v>643</v>
      </c>
      <c r="B644" s="2" t="s">
        <v>106</v>
      </c>
      <c r="C644" s="2" t="s">
        <v>129</v>
      </c>
      <c r="D644" s="2" t="s">
        <v>12</v>
      </c>
      <c r="E644" s="2">
        <v>7</v>
      </c>
      <c r="F644" s="3">
        <v>63455.377725267397</v>
      </c>
      <c r="G644" s="2" t="s">
        <v>17</v>
      </c>
      <c r="H644" s="2" t="s">
        <v>29</v>
      </c>
    </row>
    <row r="645" spans="1:8">
      <c r="A645" s="2">
        <v>644</v>
      </c>
      <c r="B645" s="2" t="s">
        <v>112</v>
      </c>
      <c r="C645" s="2" t="s">
        <v>135</v>
      </c>
      <c r="D645" s="2" t="s">
        <v>12</v>
      </c>
      <c r="E645" s="2">
        <v>33</v>
      </c>
      <c r="F645" s="3">
        <v>63457.524201500601</v>
      </c>
      <c r="G645" s="2" t="s">
        <v>32</v>
      </c>
      <c r="H645" s="2" t="s">
        <v>23</v>
      </c>
    </row>
    <row r="646" spans="1:8">
      <c r="A646" s="2">
        <v>645</v>
      </c>
      <c r="B646" s="2" t="s">
        <v>108</v>
      </c>
      <c r="C646" s="2" t="s">
        <v>134</v>
      </c>
      <c r="D646" s="2" t="s">
        <v>16</v>
      </c>
      <c r="E646" s="2">
        <v>9</v>
      </c>
      <c r="F646" s="3">
        <v>63459.670677733797</v>
      </c>
      <c r="G646" s="2" t="s">
        <v>25</v>
      </c>
      <c r="H646" s="2" t="s">
        <v>26</v>
      </c>
    </row>
    <row r="647" spans="1:8">
      <c r="A647" s="2">
        <v>646</v>
      </c>
      <c r="B647" s="2" t="s">
        <v>113</v>
      </c>
      <c r="C647" s="2" t="s">
        <v>133</v>
      </c>
      <c r="D647" s="2" t="s">
        <v>8</v>
      </c>
      <c r="E647" s="2">
        <v>41</v>
      </c>
      <c r="F647" s="3">
        <v>63461.817153967102</v>
      </c>
      <c r="G647" s="2" t="s">
        <v>38</v>
      </c>
      <c r="H647" s="2" t="s">
        <v>14</v>
      </c>
    </row>
    <row r="648" spans="1:8">
      <c r="A648" s="2">
        <v>647</v>
      </c>
      <c r="B648" s="2" t="s">
        <v>113</v>
      </c>
      <c r="C648" s="2" t="s">
        <v>132</v>
      </c>
      <c r="D648" s="2" t="s">
        <v>12</v>
      </c>
      <c r="E648" s="2">
        <v>26</v>
      </c>
      <c r="F648" s="3">
        <v>63463.963630200298</v>
      </c>
      <c r="G648" s="2" t="s">
        <v>13</v>
      </c>
      <c r="H648" s="2" t="s">
        <v>26</v>
      </c>
    </row>
    <row r="649" spans="1:8">
      <c r="A649" s="2">
        <v>648</v>
      </c>
      <c r="B649" s="2" t="s">
        <v>112</v>
      </c>
      <c r="C649" s="2" t="s">
        <v>135</v>
      </c>
      <c r="D649" s="2" t="s">
        <v>16</v>
      </c>
      <c r="E649" s="2">
        <v>5</v>
      </c>
      <c r="F649" s="3">
        <v>63466.110106433502</v>
      </c>
      <c r="G649" s="2" t="s">
        <v>9</v>
      </c>
      <c r="H649" s="2" t="s">
        <v>14</v>
      </c>
    </row>
    <row r="650" spans="1:8">
      <c r="A650" s="2">
        <v>649</v>
      </c>
      <c r="B650" s="2" t="s">
        <v>112</v>
      </c>
      <c r="C650" s="2" t="s">
        <v>135</v>
      </c>
      <c r="D650" s="2" t="s">
        <v>12</v>
      </c>
      <c r="E650" s="2">
        <v>38</v>
      </c>
      <c r="F650" s="3">
        <v>63468.256582666698</v>
      </c>
      <c r="G650" s="2" t="s">
        <v>20</v>
      </c>
      <c r="H650" s="2" t="s">
        <v>14</v>
      </c>
    </row>
    <row r="651" spans="1:8">
      <c r="A651" s="2">
        <v>650</v>
      </c>
      <c r="B651" s="2" t="s">
        <v>113</v>
      </c>
      <c r="C651" s="2" t="s">
        <v>134</v>
      </c>
      <c r="D651" s="2" t="s">
        <v>16</v>
      </c>
      <c r="E651" s="2">
        <v>37</v>
      </c>
      <c r="F651" s="3">
        <v>63470.403058899901</v>
      </c>
      <c r="G651" s="2" t="s">
        <v>32</v>
      </c>
      <c r="H651" s="2" t="s">
        <v>23</v>
      </c>
    </row>
    <row r="652" spans="1:8">
      <c r="A652" s="2">
        <v>651</v>
      </c>
      <c r="B652" s="2" t="s">
        <v>114</v>
      </c>
      <c r="C652" s="2" t="s">
        <v>129</v>
      </c>
      <c r="D652" s="2" t="s">
        <v>16</v>
      </c>
      <c r="E652" s="2">
        <v>4</v>
      </c>
      <c r="F652" s="3">
        <v>63472.549535133097</v>
      </c>
      <c r="G652" s="2" t="s">
        <v>13</v>
      </c>
      <c r="H652" s="2" t="s">
        <v>29</v>
      </c>
    </row>
    <row r="653" spans="1:8">
      <c r="A653" s="2">
        <v>652</v>
      </c>
      <c r="B653" s="2" t="s">
        <v>109</v>
      </c>
      <c r="C653" s="2" t="s">
        <v>134</v>
      </c>
      <c r="D653" s="2" t="s">
        <v>8</v>
      </c>
      <c r="E653" s="2">
        <v>28</v>
      </c>
      <c r="F653" s="3">
        <v>63474.696011366301</v>
      </c>
      <c r="G653" s="2" t="s">
        <v>28</v>
      </c>
      <c r="H653" s="2" t="s">
        <v>10</v>
      </c>
    </row>
    <row r="654" spans="1:8">
      <c r="A654" s="2">
        <v>653</v>
      </c>
      <c r="B654" s="2" t="s">
        <v>112</v>
      </c>
      <c r="C654" s="2" t="s">
        <v>131</v>
      </c>
      <c r="D654" s="2" t="s">
        <v>16</v>
      </c>
      <c r="E654" s="2">
        <v>43</v>
      </c>
      <c r="F654" s="3">
        <v>63476.842487599497</v>
      </c>
      <c r="G654" s="2" t="s">
        <v>13</v>
      </c>
      <c r="H654" s="2" t="s">
        <v>26</v>
      </c>
    </row>
    <row r="655" spans="1:8">
      <c r="A655" s="2">
        <v>654</v>
      </c>
      <c r="B655" s="2" t="s">
        <v>109</v>
      </c>
      <c r="C655" s="2" t="s">
        <v>134</v>
      </c>
      <c r="D655" s="2" t="s">
        <v>12</v>
      </c>
      <c r="E655" s="2">
        <v>9</v>
      </c>
      <c r="F655" s="3">
        <v>63478.9889638327</v>
      </c>
      <c r="G655" s="2" t="s">
        <v>25</v>
      </c>
      <c r="H655" s="2" t="s">
        <v>26</v>
      </c>
    </row>
    <row r="656" spans="1:8">
      <c r="A656" s="2">
        <v>655</v>
      </c>
      <c r="B656" s="2" t="s">
        <v>110</v>
      </c>
      <c r="C656" s="2" t="s">
        <v>131</v>
      </c>
      <c r="D656" s="2" t="s">
        <v>22</v>
      </c>
      <c r="E656" s="2">
        <v>16</v>
      </c>
      <c r="F656" s="3">
        <v>63481.135440065897</v>
      </c>
      <c r="G656" s="2" t="s">
        <v>25</v>
      </c>
      <c r="H656" s="2" t="s">
        <v>23</v>
      </c>
    </row>
    <row r="657" spans="1:8">
      <c r="A657" s="2">
        <v>656</v>
      </c>
      <c r="B657" s="2" t="s">
        <v>108</v>
      </c>
      <c r="C657" s="2" t="s">
        <v>129</v>
      </c>
      <c r="D657" s="2" t="s">
        <v>12</v>
      </c>
      <c r="E657" s="2">
        <v>19</v>
      </c>
      <c r="F657" s="3">
        <v>63483.2819162991</v>
      </c>
      <c r="G657" s="2" t="s">
        <v>17</v>
      </c>
      <c r="H657" s="2" t="s">
        <v>29</v>
      </c>
    </row>
    <row r="658" spans="1:8">
      <c r="A658" s="2">
        <v>657</v>
      </c>
      <c r="B658" s="2" t="s">
        <v>114</v>
      </c>
      <c r="C658" s="2" t="s">
        <v>129</v>
      </c>
      <c r="D658" s="2" t="s">
        <v>12</v>
      </c>
      <c r="E658" s="2">
        <v>17</v>
      </c>
      <c r="F658" s="3">
        <v>63485.428392532303</v>
      </c>
      <c r="G658" s="2" t="s">
        <v>20</v>
      </c>
      <c r="H658" s="2" t="s">
        <v>14</v>
      </c>
    </row>
    <row r="659" spans="1:8">
      <c r="A659" s="2">
        <v>658</v>
      </c>
      <c r="B659" s="2" t="s">
        <v>112</v>
      </c>
      <c r="C659" s="2" t="s">
        <v>129</v>
      </c>
      <c r="D659" s="2" t="s">
        <v>16</v>
      </c>
      <c r="E659" s="2">
        <v>21</v>
      </c>
      <c r="F659" s="3">
        <v>63487.5748687655</v>
      </c>
      <c r="G659" s="2" t="s">
        <v>9</v>
      </c>
      <c r="H659" s="2" t="s">
        <v>26</v>
      </c>
    </row>
    <row r="660" spans="1:8">
      <c r="A660" s="2">
        <v>659</v>
      </c>
      <c r="B660" s="2" t="s">
        <v>110</v>
      </c>
      <c r="C660" s="2" t="s">
        <v>135</v>
      </c>
      <c r="D660" s="2" t="s">
        <v>12</v>
      </c>
      <c r="E660" s="2">
        <v>26</v>
      </c>
      <c r="F660" s="3">
        <v>63489.721344998703</v>
      </c>
      <c r="G660" s="2" t="s">
        <v>38</v>
      </c>
      <c r="H660" s="2" t="s">
        <v>29</v>
      </c>
    </row>
    <row r="661" spans="1:8">
      <c r="A661" s="2">
        <v>660</v>
      </c>
      <c r="B661" s="2" t="s">
        <v>107</v>
      </c>
      <c r="C661" s="2" t="s">
        <v>135</v>
      </c>
      <c r="D661" s="2" t="s">
        <v>16</v>
      </c>
      <c r="E661" s="2">
        <v>45</v>
      </c>
      <c r="F661" s="3">
        <v>63491.867821231899</v>
      </c>
      <c r="G661" s="2" t="s">
        <v>13</v>
      </c>
      <c r="H661" s="2" t="s">
        <v>18</v>
      </c>
    </row>
    <row r="662" spans="1:8">
      <c r="A662" s="2">
        <v>661</v>
      </c>
      <c r="B662" s="2" t="s">
        <v>106</v>
      </c>
      <c r="C662" s="2" t="s">
        <v>133</v>
      </c>
      <c r="D662" s="2" t="s">
        <v>8</v>
      </c>
      <c r="E662" s="2">
        <v>48</v>
      </c>
      <c r="F662" s="3">
        <v>63494.014297465103</v>
      </c>
      <c r="G662" s="2" t="s">
        <v>28</v>
      </c>
      <c r="H662" s="2" t="s">
        <v>18</v>
      </c>
    </row>
    <row r="663" spans="1:8">
      <c r="A663" s="2">
        <v>662</v>
      </c>
      <c r="B663" s="2" t="s">
        <v>109</v>
      </c>
      <c r="C663" s="2" t="s">
        <v>130</v>
      </c>
      <c r="D663" s="2" t="s">
        <v>16</v>
      </c>
      <c r="E663" s="2">
        <v>21</v>
      </c>
      <c r="F663" s="3">
        <v>63496.160773698299</v>
      </c>
      <c r="G663" s="2" t="s">
        <v>20</v>
      </c>
      <c r="H663" s="2" t="s">
        <v>10</v>
      </c>
    </row>
    <row r="664" spans="1:8">
      <c r="A664" s="2">
        <v>663</v>
      </c>
      <c r="B664" s="2" t="s">
        <v>114</v>
      </c>
      <c r="C664" s="2" t="s">
        <v>133</v>
      </c>
      <c r="D664" s="2" t="s">
        <v>8</v>
      </c>
      <c r="E664" s="2">
        <v>21</v>
      </c>
      <c r="F664" s="3">
        <v>63498.307249931502</v>
      </c>
      <c r="G664" s="2" t="s">
        <v>13</v>
      </c>
      <c r="H664" s="2" t="s">
        <v>26</v>
      </c>
    </row>
    <row r="665" spans="1:8">
      <c r="A665" s="2">
        <v>664</v>
      </c>
      <c r="B665" s="2" t="s">
        <v>114</v>
      </c>
      <c r="C665" s="2" t="s">
        <v>134</v>
      </c>
      <c r="D665" s="2" t="s">
        <v>22</v>
      </c>
      <c r="E665" s="2">
        <v>29</v>
      </c>
      <c r="F665" s="3">
        <v>63500.453726164698</v>
      </c>
      <c r="G665" s="2" t="s">
        <v>13</v>
      </c>
      <c r="H665" s="2" t="s">
        <v>14</v>
      </c>
    </row>
    <row r="666" spans="1:8">
      <c r="A666" s="2">
        <v>665</v>
      </c>
      <c r="B666" s="2" t="s">
        <v>108</v>
      </c>
      <c r="C666" s="2" t="s">
        <v>134</v>
      </c>
      <c r="D666" s="2" t="s">
        <v>12</v>
      </c>
      <c r="E666" s="2">
        <v>18</v>
      </c>
      <c r="F666" s="3">
        <v>63502.600202397902</v>
      </c>
      <c r="G666" s="2" t="s">
        <v>25</v>
      </c>
      <c r="H666" s="2" t="s">
        <v>26</v>
      </c>
    </row>
    <row r="667" spans="1:8">
      <c r="A667" s="2">
        <v>666</v>
      </c>
      <c r="B667" s="2" t="s">
        <v>109</v>
      </c>
      <c r="C667" s="2" t="s">
        <v>133</v>
      </c>
      <c r="D667" s="2" t="s">
        <v>8</v>
      </c>
      <c r="E667" s="2">
        <v>15</v>
      </c>
      <c r="F667" s="3">
        <v>63504.746678631098</v>
      </c>
      <c r="G667" s="2" t="s">
        <v>25</v>
      </c>
      <c r="H667" s="2" t="s">
        <v>10</v>
      </c>
    </row>
    <row r="668" spans="1:8">
      <c r="A668" s="2">
        <v>667</v>
      </c>
      <c r="B668" s="2" t="s">
        <v>107</v>
      </c>
      <c r="C668" s="2" t="s">
        <v>132</v>
      </c>
      <c r="D668" s="2" t="s">
        <v>22</v>
      </c>
      <c r="E668" s="2">
        <v>5</v>
      </c>
      <c r="F668" s="3">
        <v>63506.893154864301</v>
      </c>
      <c r="G668" s="2" t="s">
        <v>9</v>
      </c>
      <c r="H668" s="2" t="s">
        <v>18</v>
      </c>
    </row>
    <row r="669" spans="1:8">
      <c r="A669" s="2">
        <v>668</v>
      </c>
      <c r="B669" s="2" t="s">
        <v>108</v>
      </c>
      <c r="C669" s="2" t="s">
        <v>130</v>
      </c>
      <c r="D669" s="2" t="s">
        <v>16</v>
      </c>
      <c r="E669" s="2">
        <v>13</v>
      </c>
      <c r="F669" s="3">
        <v>63509.039631097497</v>
      </c>
      <c r="G669" s="2" t="s">
        <v>32</v>
      </c>
      <c r="H669" s="2" t="s">
        <v>10</v>
      </c>
    </row>
    <row r="670" spans="1:8">
      <c r="A670" s="2">
        <v>669</v>
      </c>
      <c r="B670" s="2" t="s">
        <v>114</v>
      </c>
      <c r="C670" s="2" t="s">
        <v>134</v>
      </c>
      <c r="D670" s="2" t="s">
        <v>22</v>
      </c>
      <c r="E670" s="2">
        <v>9</v>
      </c>
      <c r="F670" s="3">
        <v>63511.186107330701</v>
      </c>
      <c r="G670" s="2" t="s">
        <v>9</v>
      </c>
      <c r="H670" s="2" t="s">
        <v>26</v>
      </c>
    </row>
    <row r="671" spans="1:8">
      <c r="A671" s="2">
        <v>670</v>
      </c>
      <c r="B671" s="2" t="s">
        <v>113</v>
      </c>
      <c r="C671" s="2" t="s">
        <v>132</v>
      </c>
      <c r="D671" s="2" t="s">
        <v>8</v>
      </c>
      <c r="E671" s="2">
        <v>50</v>
      </c>
      <c r="F671" s="3">
        <v>63513.332583563897</v>
      </c>
      <c r="G671" s="2" t="s">
        <v>13</v>
      </c>
      <c r="H671" s="2" t="s">
        <v>26</v>
      </c>
    </row>
    <row r="672" spans="1:8">
      <c r="A672" s="2">
        <v>671</v>
      </c>
      <c r="B672" s="2" t="s">
        <v>107</v>
      </c>
      <c r="C672" s="2" t="s">
        <v>132</v>
      </c>
      <c r="D672" s="2" t="s">
        <v>12</v>
      </c>
      <c r="E672" s="2">
        <v>50</v>
      </c>
      <c r="F672" s="3">
        <v>63515.4790597971</v>
      </c>
      <c r="G672" s="2" t="s">
        <v>32</v>
      </c>
      <c r="H672" s="2" t="s">
        <v>18</v>
      </c>
    </row>
    <row r="673" spans="1:8">
      <c r="A673" s="2">
        <v>672</v>
      </c>
      <c r="B673" s="2" t="s">
        <v>114</v>
      </c>
      <c r="C673" s="2" t="s">
        <v>131</v>
      </c>
      <c r="D673" s="2" t="s">
        <v>22</v>
      </c>
      <c r="E673" s="2">
        <v>38</v>
      </c>
      <c r="F673" s="3">
        <v>63517.625536030297</v>
      </c>
      <c r="G673" s="2" t="s">
        <v>32</v>
      </c>
      <c r="H673" s="2" t="s">
        <v>18</v>
      </c>
    </row>
    <row r="674" spans="1:8">
      <c r="A674" s="2">
        <v>673</v>
      </c>
      <c r="B674" s="2" t="s">
        <v>105</v>
      </c>
      <c r="C674" s="2" t="s">
        <v>130</v>
      </c>
      <c r="D674" s="2" t="s">
        <v>22</v>
      </c>
      <c r="E674" s="2">
        <v>7</v>
      </c>
      <c r="F674" s="3">
        <v>63519.7720122635</v>
      </c>
      <c r="G674" s="2" t="s">
        <v>32</v>
      </c>
      <c r="H674" s="2" t="s">
        <v>29</v>
      </c>
    </row>
    <row r="675" spans="1:8">
      <c r="A675" s="2">
        <v>674</v>
      </c>
      <c r="B675" s="2" t="s">
        <v>105</v>
      </c>
      <c r="C675" s="2" t="s">
        <v>131</v>
      </c>
      <c r="D675" s="2" t="s">
        <v>16</v>
      </c>
      <c r="E675" s="2">
        <v>10</v>
      </c>
      <c r="F675" s="3">
        <v>63521.918488496704</v>
      </c>
      <c r="G675" s="2" t="s">
        <v>20</v>
      </c>
      <c r="H675" s="2" t="s">
        <v>14</v>
      </c>
    </row>
    <row r="676" spans="1:8">
      <c r="A676" s="2">
        <v>675</v>
      </c>
      <c r="B676" s="2" t="s">
        <v>112</v>
      </c>
      <c r="C676" s="2" t="s">
        <v>129</v>
      </c>
      <c r="D676" s="2" t="s">
        <v>16</v>
      </c>
      <c r="E676" s="2">
        <v>7</v>
      </c>
      <c r="F676" s="3">
        <v>63524.064964730002</v>
      </c>
      <c r="G676" s="2" t="s">
        <v>28</v>
      </c>
      <c r="H676" s="2" t="s">
        <v>18</v>
      </c>
    </row>
    <row r="677" spans="1:8">
      <c r="A677" s="2">
        <v>676</v>
      </c>
      <c r="B677" s="2" t="s">
        <v>108</v>
      </c>
      <c r="C677" s="2" t="s">
        <v>135</v>
      </c>
      <c r="D677" s="2" t="s">
        <v>12</v>
      </c>
      <c r="E677" s="2">
        <v>11</v>
      </c>
      <c r="F677" s="3">
        <v>63526.211440963198</v>
      </c>
      <c r="G677" s="2" t="s">
        <v>13</v>
      </c>
      <c r="H677" s="2" t="s">
        <v>14</v>
      </c>
    </row>
    <row r="678" spans="1:8">
      <c r="A678" s="2">
        <v>677</v>
      </c>
      <c r="B678" s="2" t="s">
        <v>114</v>
      </c>
      <c r="C678" s="2" t="s">
        <v>133</v>
      </c>
      <c r="D678" s="2" t="s">
        <v>16</v>
      </c>
      <c r="E678" s="2">
        <v>29</v>
      </c>
      <c r="F678" s="3">
        <v>63528.357917196401</v>
      </c>
      <c r="G678" s="2" t="s">
        <v>17</v>
      </c>
      <c r="H678" s="2" t="s">
        <v>10</v>
      </c>
    </row>
    <row r="679" spans="1:8">
      <c r="A679" s="2">
        <v>678</v>
      </c>
      <c r="B679" s="2" t="s">
        <v>112</v>
      </c>
      <c r="C679" s="2" t="s">
        <v>131</v>
      </c>
      <c r="D679" s="2" t="s">
        <v>8</v>
      </c>
      <c r="E679" s="2">
        <v>30</v>
      </c>
      <c r="F679" s="3">
        <v>63530.504393429597</v>
      </c>
      <c r="G679" s="2" t="s">
        <v>20</v>
      </c>
      <c r="H679" s="2" t="s">
        <v>10</v>
      </c>
    </row>
    <row r="680" spans="1:8">
      <c r="A680" s="2">
        <v>679</v>
      </c>
      <c r="B680" s="2" t="s">
        <v>108</v>
      </c>
      <c r="C680" s="2" t="s">
        <v>130</v>
      </c>
      <c r="D680" s="2" t="s">
        <v>8</v>
      </c>
      <c r="E680" s="2">
        <v>21</v>
      </c>
      <c r="F680" s="3">
        <v>63532.650869662801</v>
      </c>
      <c r="G680" s="2" t="s">
        <v>20</v>
      </c>
      <c r="H680" s="2" t="s">
        <v>18</v>
      </c>
    </row>
    <row r="681" spans="1:8">
      <c r="A681" s="2">
        <v>680</v>
      </c>
      <c r="B681" s="2" t="s">
        <v>107</v>
      </c>
      <c r="C681" s="2" t="s">
        <v>135</v>
      </c>
      <c r="D681" s="2" t="s">
        <v>22</v>
      </c>
      <c r="E681" s="2">
        <v>27</v>
      </c>
      <c r="F681" s="3">
        <v>63534.797345895997</v>
      </c>
      <c r="G681" s="2" t="s">
        <v>13</v>
      </c>
      <c r="H681" s="2" t="s">
        <v>14</v>
      </c>
    </row>
    <row r="682" spans="1:8">
      <c r="A682" s="2">
        <v>681</v>
      </c>
      <c r="B682" s="2" t="s">
        <v>114</v>
      </c>
      <c r="C682" s="2" t="s">
        <v>133</v>
      </c>
      <c r="D682" s="2" t="s">
        <v>16</v>
      </c>
      <c r="E682" s="2">
        <v>8</v>
      </c>
      <c r="F682" s="3">
        <v>63536.9438221292</v>
      </c>
      <c r="G682" s="2" t="s">
        <v>13</v>
      </c>
      <c r="H682" s="2" t="s">
        <v>18</v>
      </c>
    </row>
    <row r="683" spans="1:8">
      <c r="A683" s="2">
        <v>682</v>
      </c>
      <c r="B683" s="2" t="s">
        <v>108</v>
      </c>
      <c r="C683" s="2" t="s">
        <v>135</v>
      </c>
      <c r="D683" s="2" t="s">
        <v>16</v>
      </c>
      <c r="E683" s="2">
        <v>35</v>
      </c>
      <c r="F683" s="3">
        <v>63539.090298362396</v>
      </c>
      <c r="G683" s="2" t="s">
        <v>17</v>
      </c>
      <c r="H683" s="2" t="s">
        <v>18</v>
      </c>
    </row>
    <row r="684" spans="1:8">
      <c r="A684" s="2">
        <v>683</v>
      </c>
      <c r="B684" s="2" t="s">
        <v>114</v>
      </c>
      <c r="C684" s="2" t="s">
        <v>133</v>
      </c>
      <c r="D684" s="2" t="s">
        <v>22</v>
      </c>
      <c r="E684" s="2">
        <v>23</v>
      </c>
      <c r="F684" s="3">
        <v>63541.2367745956</v>
      </c>
      <c r="G684" s="2" t="s">
        <v>17</v>
      </c>
      <c r="H684" s="2" t="s">
        <v>29</v>
      </c>
    </row>
    <row r="685" spans="1:8">
      <c r="A685" s="2">
        <v>684</v>
      </c>
      <c r="B685" s="2" t="s">
        <v>113</v>
      </c>
      <c r="C685" s="2" t="s">
        <v>135</v>
      </c>
      <c r="D685" s="2" t="s">
        <v>12</v>
      </c>
      <c r="E685" s="2">
        <v>50</v>
      </c>
      <c r="F685" s="3">
        <v>63543.383250828803</v>
      </c>
      <c r="G685" s="2" t="s">
        <v>32</v>
      </c>
      <c r="H685" s="2" t="s">
        <v>10</v>
      </c>
    </row>
    <row r="686" spans="1:8">
      <c r="A686" s="2">
        <v>685</v>
      </c>
      <c r="B686" s="2" t="s">
        <v>106</v>
      </c>
      <c r="C686" s="2" t="s">
        <v>131</v>
      </c>
      <c r="D686" s="2" t="s">
        <v>16</v>
      </c>
      <c r="E686" s="2">
        <v>14</v>
      </c>
      <c r="F686" s="3">
        <v>63545.529727061999</v>
      </c>
      <c r="G686" s="2" t="s">
        <v>17</v>
      </c>
      <c r="H686" s="2" t="s">
        <v>14</v>
      </c>
    </row>
    <row r="687" spans="1:8">
      <c r="A687" s="2">
        <v>686</v>
      </c>
      <c r="B687" s="2" t="s">
        <v>111</v>
      </c>
      <c r="C687" s="2" t="s">
        <v>129</v>
      </c>
      <c r="D687" s="2" t="s">
        <v>16</v>
      </c>
      <c r="E687" s="2">
        <v>29</v>
      </c>
      <c r="F687" s="3">
        <v>63547.676203295203</v>
      </c>
      <c r="G687" s="2" t="s">
        <v>17</v>
      </c>
      <c r="H687" s="2" t="s">
        <v>10</v>
      </c>
    </row>
    <row r="688" spans="1:8">
      <c r="A688" s="2">
        <v>687</v>
      </c>
      <c r="B688" s="2" t="s">
        <v>105</v>
      </c>
      <c r="C688" s="2" t="s">
        <v>132</v>
      </c>
      <c r="D688" s="2" t="s">
        <v>12</v>
      </c>
      <c r="E688" s="2">
        <v>20</v>
      </c>
      <c r="F688" s="3">
        <v>63549.822679528399</v>
      </c>
      <c r="G688" s="2" t="s">
        <v>38</v>
      </c>
      <c r="H688" s="2" t="s">
        <v>29</v>
      </c>
    </row>
    <row r="689" spans="1:8">
      <c r="A689" s="2">
        <v>688</v>
      </c>
      <c r="B689" s="2" t="s">
        <v>106</v>
      </c>
      <c r="C689" s="2" t="s">
        <v>133</v>
      </c>
      <c r="D689" s="2" t="s">
        <v>16</v>
      </c>
      <c r="E689" s="2">
        <v>30</v>
      </c>
      <c r="F689" s="3">
        <v>63551.969155761602</v>
      </c>
      <c r="G689" s="2" t="s">
        <v>28</v>
      </c>
      <c r="H689" s="2" t="s">
        <v>23</v>
      </c>
    </row>
    <row r="690" spans="1:8">
      <c r="A690" s="2">
        <v>689</v>
      </c>
      <c r="B690" s="2" t="s">
        <v>108</v>
      </c>
      <c r="C690" s="2" t="s">
        <v>132</v>
      </c>
      <c r="D690" s="2" t="s">
        <v>8</v>
      </c>
      <c r="E690" s="2">
        <v>17</v>
      </c>
      <c r="F690" s="3">
        <v>63554.115631994799</v>
      </c>
      <c r="G690" s="2" t="s">
        <v>25</v>
      </c>
      <c r="H690" s="2" t="s">
        <v>10</v>
      </c>
    </row>
    <row r="691" spans="1:8">
      <c r="A691" s="2">
        <v>690</v>
      </c>
      <c r="B691" s="2" t="s">
        <v>111</v>
      </c>
      <c r="C691" s="2" t="s">
        <v>133</v>
      </c>
      <c r="D691" s="2" t="s">
        <v>8</v>
      </c>
      <c r="E691" s="2">
        <v>8</v>
      </c>
      <c r="F691" s="3">
        <v>63556.262108228002</v>
      </c>
      <c r="G691" s="2" t="s">
        <v>17</v>
      </c>
      <c r="H691" s="2" t="s">
        <v>29</v>
      </c>
    </row>
    <row r="692" spans="1:8">
      <c r="A692" s="2">
        <v>691</v>
      </c>
      <c r="B692" s="2" t="s">
        <v>106</v>
      </c>
      <c r="C692" s="2" t="s">
        <v>130</v>
      </c>
      <c r="D692" s="2" t="s">
        <v>12</v>
      </c>
      <c r="E692" s="2">
        <v>6</v>
      </c>
      <c r="F692" s="3">
        <v>63558.408584461198</v>
      </c>
      <c r="G692" s="2" t="s">
        <v>9</v>
      </c>
      <c r="H692" s="2" t="s">
        <v>26</v>
      </c>
    </row>
    <row r="693" spans="1:8">
      <c r="A693" s="2">
        <v>692</v>
      </c>
      <c r="B693" s="2" t="s">
        <v>113</v>
      </c>
      <c r="C693" s="2" t="s">
        <v>130</v>
      </c>
      <c r="D693" s="2" t="s">
        <v>12</v>
      </c>
      <c r="E693" s="2">
        <v>11</v>
      </c>
      <c r="F693" s="3">
        <v>63560.555060694402</v>
      </c>
      <c r="G693" s="2" t="s">
        <v>25</v>
      </c>
      <c r="H693" s="2" t="s">
        <v>10</v>
      </c>
    </row>
    <row r="694" spans="1:8">
      <c r="A694" s="2">
        <v>693</v>
      </c>
      <c r="B694" s="2" t="s">
        <v>105</v>
      </c>
      <c r="C694" s="2" t="s">
        <v>133</v>
      </c>
      <c r="D694" s="2" t="s">
        <v>8</v>
      </c>
      <c r="E694" s="2">
        <v>44</v>
      </c>
      <c r="F694" s="3">
        <v>63562.701536927598</v>
      </c>
      <c r="G694" s="2" t="s">
        <v>9</v>
      </c>
      <c r="H694" s="2" t="s">
        <v>14</v>
      </c>
    </row>
    <row r="695" spans="1:8">
      <c r="A695" s="2">
        <v>694</v>
      </c>
      <c r="B695" s="2" t="s">
        <v>110</v>
      </c>
      <c r="C695" s="2" t="s">
        <v>129</v>
      </c>
      <c r="D695" s="2" t="s">
        <v>8</v>
      </c>
      <c r="E695" s="2">
        <v>20</v>
      </c>
      <c r="F695" s="3">
        <v>63564.848013160801</v>
      </c>
      <c r="G695" s="2" t="s">
        <v>38</v>
      </c>
      <c r="H695" s="2" t="s">
        <v>29</v>
      </c>
    </row>
    <row r="696" spans="1:8">
      <c r="A696" s="2">
        <v>695</v>
      </c>
      <c r="B696" s="2" t="s">
        <v>108</v>
      </c>
      <c r="C696" s="2" t="s">
        <v>135</v>
      </c>
      <c r="D696" s="2" t="s">
        <v>8</v>
      </c>
      <c r="E696" s="2">
        <v>46</v>
      </c>
      <c r="F696" s="3">
        <v>63566.994489393997</v>
      </c>
      <c r="G696" s="2" t="s">
        <v>32</v>
      </c>
      <c r="H696" s="2" t="s">
        <v>23</v>
      </c>
    </row>
    <row r="697" spans="1:8">
      <c r="A697" s="2">
        <v>696</v>
      </c>
      <c r="B697" s="2" t="s">
        <v>105</v>
      </c>
      <c r="C697" s="2" t="s">
        <v>133</v>
      </c>
      <c r="D697" s="2" t="s">
        <v>8</v>
      </c>
      <c r="E697" s="2">
        <v>45</v>
      </c>
      <c r="F697" s="3">
        <v>63569.140965627201</v>
      </c>
      <c r="G697" s="2" t="s">
        <v>32</v>
      </c>
      <c r="H697" s="2" t="s">
        <v>10</v>
      </c>
    </row>
    <row r="698" spans="1:8">
      <c r="A698" s="2">
        <v>697</v>
      </c>
      <c r="B698" s="2" t="s">
        <v>106</v>
      </c>
      <c r="C698" s="2" t="s">
        <v>135</v>
      </c>
      <c r="D698" s="2" t="s">
        <v>12</v>
      </c>
      <c r="E698" s="2">
        <v>39</v>
      </c>
      <c r="F698" s="3">
        <v>63571.287441860397</v>
      </c>
      <c r="G698" s="2" t="s">
        <v>17</v>
      </c>
      <c r="H698" s="2" t="s">
        <v>29</v>
      </c>
    </row>
    <row r="699" spans="1:8">
      <c r="A699" s="2">
        <v>698</v>
      </c>
      <c r="B699" s="2" t="s">
        <v>110</v>
      </c>
      <c r="C699" s="2" t="s">
        <v>129</v>
      </c>
      <c r="D699" s="2" t="s">
        <v>12</v>
      </c>
      <c r="E699" s="2">
        <v>3</v>
      </c>
      <c r="F699" s="3">
        <v>63573.4339180936</v>
      </c>
      <c r="G699" s="2" t="s">
        <v>25</v>
      </c>
      <c r="H699" s="2" t="s">
        <v>23</v>
      </c>
    </row>
    <row r="700" spans="1:8">
      <c r="A700" s="2">
        <v>699</v>
      </c>
      <c r="B700" s="2" t="s">
        <v>109</v>
      </c>
      <c r="C700" s="2" t="s">
        <v>134</v>
      </c>
      <c r="D700" s="2" t="s">
        <v>22</v>
      </c>
      <c r="E700" s="2">
        <v>14</v>
      </c>
      <c r="F700" s="3">
        <v>63575.580394326797</v>
      </c>
      <c r="G700" s="2" t="s">
        <v>20</v>
      </c>
      <c r="H700" s="2" t="s">
        <v>26</v>
      </c>
    </row>
    <row r="701" spans="1:8">
      <c r="A701" s="2">
        <v>700</v>
      </c>
      <c r="B701" s="2" t="s">
        <v>105</v>
      </c>
      <c r="C701" s="2" t="s">
        <v>131</v>
      </c>
      <c r="D701" s="2" t="s">
        <v>12</v>
      </c>
      <c r="E701" s="2">
        <v>21</v>
      </c>
      <c r="F701" s="3">
        <v>63577.72687056</v>
      </c>
      <c r="G701" s="2" t="s">
        <v>20</v>
      </c>
      <c r="H701" s="2" t="s">
        <v>14</v>
      </c>
    </row>
    <row r="702" spans="1:8">
      <c r="A702" s="2">
        <v>701</v>
      </c>
      <c r="B702" s="2" t="s">
        <v>109</v>
      </c>
      <c r="C702" s="2" t="s">
        <v>132</v>
      </c>
      <c r="D702" s="2" t="s">
        <v>8</v>
      </c>
      <c r="E702" s="2">
        <v>10</v>
      </c>
      <c r="F702" s="3">
        <v>63579.873346793203</v>
      </c>
      <c r="G702" s="2" t="s">
        <v>38</v>
      </c>
      <c r="H702" s="2" t="s">
        <v>10</v>
      </c>
    </row>
    <row r="703" spans="1:8">
      <c r="A703" s="2">
        <v>702</v>
      </c>
      <c r="B703" s="2" t="s">
        <v>111</v>
      </c>
      <c r="C703" s="2" t="s">
        <v>133</v>
      </c>
      <c r="D703" s="2" t="s">
        <v>16</v>
      </c>
      <c r="E703" s="2">
        <v>6</v>
      </c>
      <c r="F703" s="3">
        <v>63582.0198230264</v>
      </c>
      <c r="G703" s="2" t="s">
        <v>32</v>
      </c>
      <c r="H703" s="2" t="s">
        <v>26</v>
      </c>
    </row>
    <row r="704" spans="1:8">
      <c r="A704" s="2">
        <v>703</v>
      </c>
      <c r="B704" s="2" t="s">
        <v>107</v>
      </c>
      <c r="C704" s="2" t="s">
        <v>131</v>
      </c>
      <c r="D704" s="2" t="s">
        <v>8</v>
      </c>
      <c r="E704" s="2">
        <v>46</v>
      </c>
      <c r="F704" s="3">
        <v>63584.166299259603</v>
      </c>
      <c r="G704" s="2" t="s">
        <v>25</v>
      </c>
      <c r="H704" s="2" t="s">
        <v>18</v>
      </c>
    </row>
    <row r="705" spans="1:8">
      <c r="A705" s="2">
        <v>704</v>
      </c>
      <c r="B705" s="2" t="s">
        <v>114</v>
      </c>
      <c r="C705" s="2" t="s">
        <v>130</v>
      </c>
      <c r="D705" s="2" t="s">
        <v>8</v>
      </c>
      <c r="E705" s="2">
        <v>16</v>
      </c>
      <c r="F705" s="3">
        <v>63586.312775492901</v>
      </c>
      <c r="G705" s="2" t="s">
        <v>28</v>
      </c>
      <c r="H705" s="2" t="s">
        <v>14</v>
      </c>
    </row>
    <row r="706" spans="1:8">
      <c r="A706" s="2">
        <v>705</v>
      </c>
      <c r="B706" s="2" t="s">
        <v>111</v>
      </c>
      <c r="C706" s="2" t="s">
        <v>129</v>
      </c>
      <c r="D706" s="2" t="s">
        <v>12</v>
      </c>
      <c r="E706" s="2">
        <v>23</v>
      </c>
      <c r="F706" s="3">
        <v>63588.459251726097</v>
      </c>
      <c r="G706" s="2" t="s">
        <v>38</v>
      </c>
      <c r="H706" s="2" t="s">
        <v>14</v>
      </c>
    </row>
    <row r="707" spans="1:8">
      <c r="A707" s="2">
        <v>706</v>
      </c>
      <c r="B707" s="2" t="s">
        <v>110</v>
      </c>
      <c r="C707" s="2" t="s">
        <v>135</v>
      </c>
      <c r="D707" s="2" t="s">
        <v>22</v>
      </c>
      <c r="E707" s="2">
        <v>26</v>
      </c>
      <c r="F707" s="3">
        <v>63590.605727959301</v>
      </c>
      <c r="G707" s="2" t="s">
        <v>17</v>
      </c>
      <c r="H707" s="2" t="s">
        <v>14</v>
      </c>
    </row>
    <row r="708" spans="1:8">
      <c r="A708" s="2">
        <v>707</v>
      </c>
      <c r="B708" s="2" t="s">
        <v>110</v>
      </c>
      <c r="C708" s="2" t="s">
        <v>133</v>
      </c>
      <c r="D708" s="2" t="s">
        <v>16</v>
      </c>
      <c r="E708" s="2">
        <v>33</v>
      </c>
      <c r="F708" s="3">
        <v>63592.752204192497</v>
      </c>
      <c r="G708" s="2" t="s">
        <v>20</v>
      </c>
      <c r="H708" s="2" t="s">
        <v>14</v>
      </c>
    </row>
    <row r="709" spans="1:8">
      <c r="A709" s="2">
        <v>708</v>
      </c>
      <c r="B709" s="2" t="s">
        <v>105</v>
      </c>
      <c r="C709" s="2" t="s">
        <v>131</v>
      </c>
      <c r="D709" s="2" t="s">
        <v>16</v>
      </c>
      <c r="E709" s="2">
        <v>4</v>
      </c>
      <c r="F709" s="3">
        <v>63594.8986804257</v>
      </c>
      <c r="G709" s="2" t="s">
        <v>28</v>
      </c>
      <c r="H709" s="2" t="s">
        <v>23</v>
      </c>
    </row>
    <row r="710" spans="1:8">
      <c r="A710" s="2">
        <v>709</v>
      </c>
      <c r="B710" s="2" t="s">
        <v>114</v>
      </c>
      <c r="C710" s="2" t="s">
        <v>135</v>
      </c>
      <c r="D710" s="2" t="s">
        <v>22</v>
      </c>
      <c r="E710" s="2">
        <v>44</v>
      </c>
      <c r="F710" s="3">
        <v>63597.045156658904</v>
      </c>
      <c r="G710" s="2" t="s">
        <v>9</v>
      </c>
      <c r="H710" s="2" t="s">
        <v>26</v>
      </c>
    </row>
    <row r="711" spans="1:8">
      <c r="A711" s="2">
        <v>710</v>
      </c>
      <c r="B711" s="2" t="s">
        <v>107</v>
      </c>
      <c r="C711" s="2" t="s">
        <v>134</v>
      </c>
      <c r="D711" s="2" t="s">
        <v>8</v>
      </c>
      <c r="E711" s="2">
        <v>20</v>
      </c>
      <c r="F711" s="3">
        <v>63599.1916328921</v>
      </c>
      <c r="G711" s="2" t="s">
        <v>9</v>
      </c>
      <c r="H711" s="2" t="s">
        <v>18</v>
      </c>
    </row>
    <row r="712" spans="1:8">
      <c r="A712" s="2">
        <v>711</v>
      </c>
      <c r="B712" s="2" t="s">
        <v>106</v>
      </c>
      <c r="C712" s="2" t="s">
        <v>133</v>
      </c>
      <c r="D712" s="2" t="s">
        <v>12</v>
      </c>
      <c r="E712" s="2">
        <v>17</v>
      </c>
      <c r="F712" s="3">
        <v>63601.338109125303</v>
      </c>
      <c r="G712" s="2" t="s">
        <v>38</v>
      </c>
      <c r="H712" s="2" t="s">
        <v>10</v>
      </c>
    </row>
    <row r="713" spans="1:8">
      <c r="A713" s="2">
        <v>712</v>
      </c>
      <c r="B713" s="2" t="s">
        <v>112</v>
      </c>
      <c r="C713" s="2" t="s">
        <v>132</v>
      </c>
      <c r="D713" s="2" t="s">
        <v>8</v>
      </c>
      <c r="E713" s="2">
        <v>12</v>
      </c>
      <c r="F713" s="3">
        <v>63603.484585358499</v>
      </c>
      <c r="G713" s="2" t="s">
        <v>17</v>
      </c>
      <c r="H713" s="2" t="s">
        <v>14</v>
      </c>
    </row>
    <row r="714" spans="1:8">
      <c r="A714" s="2">
        <v>713</v>
      </c>
      <c r="B714" s="2" t="s">
        <v>108</v>
      </c>
      <c r="C714" s="2" t="s">
        <v>133</v>
      </c>
      <c r="D714" s="2" t="s">
        <v>16</v>
      </c>
      <c r="E714" s="2">
        <v>2</v>
      </c>
      <c r="F714" s="3">
        <v>63605.631061591703</v>
      </c>
      <c r="G714" s="2" t="s">
        <v>32</v>
      </c>
      <c r="H714" s="2" t="s">
        <v>10</v>
      </c>
    </row>
    <row r="715" spans="1:8">
      <c r="A715" s="2">
        <v>714</v>
      </c>
      <c r="B715" s="2" t="s">
        <v>107</v>
      </c>
      <c r="C715" s="2" t="s">
        <v>132</v>
      </c>
      <c r="D715" s="2" t="s">
        <v>16</v>
      </c>
      <c r="E715" s="2">
        <v>26</v>
      </c>
      <c r="F715" s="3">
        <v>63607.777537824899</v>
      </c>
      <c r="G715" s="2" t="s">
        <v>32</v>
      </c>
      <c r="H715" s="2" t="s">
        <v>29</v>
      </c>
    </row>
    <row r="716" spans="1:8">
      <c r="A716" s="2">
        <v>715</v>
      </c>
      <c r="B716" s="2" t="s">
        <v>110</v>
      </c>
      <c r="C716" s="2" t="s">
        <v>135</v>
      </c>
      <c r="D716" s="2" t="s">
        <v>8</v>
      </c>
      <c r="E716" s="2">
        <v>29</v>
      </c>
      <c r="F716" s="3">
        <v>63609.924014058102</v>
      </c>
      <c r="G716" s="2" t="s">
        <v>32</v>
      </c>
      <c r="H716" s="2" t="s">
        <v>26</v>
      </c>
    </row>
    <row r="717" spans="1:8">
      <c r="A717" s="2">
        <v>716</v>
      </c>
      <c r="B717" s="2" t="s">
        <v>112</v>
      </c>
      <c r="C717" s="2" t="s">
        <v>133</v>
      </c>
      <c r="D717" s="2" t="s">
        <v>16</v>
      </c>
      <c r="E717" s="2">
        <v>36</v>
      </c>
      <c r="F717" s="3">
        <v>63612.070490291298</v>
      </c>
      <c r="G717" s="2" t="s">
        <v>28</v>
      </c>
      <c r="H717" s="2" t="s">
        <v>26</v>
      </c>
    </row>
    <row r="718" spans="1:8">
      <c r="A718" s="2">
        <v>717</v>
      </c>
      <c r="B718" s="2" t="s">
        <v>110</v>
      </c>
      <c r="C718" s="2" t="s">
        <v>131</v>
      </c>
      <c r="D718" s="2" t="s">
        <v>12</v>
      </c>
      <c r="E718" s="2">
        <v>48</v>
      </c>
      <c r="F718" s="3">
        <v>63614.216966524502</v>
      </c>
      <c r="G718" s="2" t="s">
        <v>9</v>
      </c>
      <c r="H718" s="2" t="s">
        <v>14</v>
      </c>
    </row>
    <row r="719" spans="1:8">
      <c r="A719" s="2">
        <v>718</v>
      </c>
      <c r="B719" s="2" t="s">
        <v>114</v>
      </c>
      <c r="C719" s="2" t="s">
        <v>129</v>
      </c>
      <c r="D719" s="2" t="s">
        <v>16</v>
      </c>
      <c r="E719" s="2">
        <v>36</v>
      </c>
      <c r="F719" s="3">
        <v>63616.363442757698</v>
      </c>
      <c r="G719" s="2" t="s">
        <v>25</v>
      </c>
      <c r="H719" s="2" t="s">
        <v>14</v>
      </c>
    </row>
    <row r="720" spans="1:8">
      <c r="A720" s="2">
        <v>719</v>
      </c>
      <c r="B720" s="2" t="s">
        <v>114</v>
      </c>
      <c r="C720" s="2" t="s">
        <v>130</v>
      </c>
      <c r="D720" s="2" t="s">
        <v>12</v>
      </c>
      <c r="E720" s="2">
        <v>16</v>
      </c>
      <c r="F720" s="3">
        <v>63618.509918990901</v>
      </c>
      <c r="G720" s="2" t="s">
        <v>38</v>
      </c>
      <c r="H720" s="2" t="s">
        <v>26</v>
      </c>
    </row>
    <row r="721" spans="1:8">
      <c r="A721" s="2">
        <v>720</v>
      </c>
      <c r="B721" s="2" t="s">
        <v>105</v>
      </c>
      <c r="C721" s="2" t="s">
        <v>129</v>
      </c>
      <c r="D721" s="2" t="s">
        <v>8</v>
      </c>
      <c r="E721" s="2">
        <v>7</v>
      </c>
      <c r="F721" s="3">
        <v>63620.656395224098</v>
      </c>
      <c r="G721" s="2" t="s">
        <v>13</v>
      </c>
      <c r="H721" s="2" t="s">
        <v>10</v>
      </c>
    </row>
    <row r="722" spans="1:8">
      <c r="A722" s="2">
        <v>721</v>
      </c>
      <c r="B722" s="2" t="s">
        <v>106</v>
      </c>
      <c r="C722" s="2" t="s">
        <v>134</v>
      </c>
      <c r="D722" s="2" t="s">
        <v>8</v>
      </c>
      <c r="E722" s="2">
        <v>30</v>
      </c>
      <c r="F722" s="3">
        <v>63622.802871457301</v>
      </c>
      <c r="G722" s="2" t="s">
        <v>38</v>
      </c>
      <c r="H722" s="2" t="s">
        <v>18</v>
      </c>
    </row>
    <row r="723" spans="1:8">
      <c r="A723" s="2">
        <v>722</v>
      </c>
      <c r="B723" s="2" t="s">
        <v>113</v>
      </c>
      <c r="C723" s="2" t="s">
        <v>129</v>
      </c>
      <c r="D723" s="2" t="s">
        <v>12</v>
      </c>
      <c r="E723" s="2">
        <v>7</v>
      </c>
      <c r="F723" s="3">
        <v>63624.949347690497</v>
      </c>
      <c r="G723" s="2" t="s">
        <v>28</v>
      </c>
      <c r="H723" s="2" t="s">
        <v>29</v>
      </c>
    </row>
    <row r="724" spans="1:8">
      <c r="A724" s="2">
        <v>723</v>
      </c>
      <c r="B724" s="2" t="s">
        <v>110</v>
      </c>
      <c r="C724" s="2" t="s">
        <v>131</v>
      </c>
      <c r="D724" s="2" t="s">
        <v>12</v>
      </c>
      <c r="E724" s="2">
        <v>9</v>
      </c>
      <c r="F724" s="3">
        <v>63627.095823923701</v>
      </c>
      <c r="G724" s="2" t="s">
        <v>25</v>
      </c>
      <c r="H724" s="2" t="s">
        <v>26</v>
      </c>
    </row>
    <row r="725" spans="1:8">
      <c r="A725" s="2">
        <v>724</v>
      </c>
      <c r="B725" s="2" t="s">
        <v>106</v>
      </c>
      <c r="C725" s="2" t="s">
        <v>134</v>
      </c>
      <c r="D725" s="2" t="s">
        <v>12</v>
      </c>
      <c r="E725" s="2">
        <v>8</v>
      </c>
      <c r="F725" s="3">
        <v>63629.242300156897</v>
      </c>
      <c r="G725" s="2" t="s">
        <v>38</v>
      </c>
      <c r="H725" s="2" t="s">
        <v>18</v>
      </c>
    </row>
    <row r="726" spans="1:8">
      <c r="A726" s="2">
        <v>725</v>
      </c>
      <c r="B726" s="2" t="s">
        <v>109</v>
      </c>
      <c r="C726" s="2" t="s">
        <v>135</v>
      </c>
      <c r="D726" s="2" t="s">
        <v>16</v>
      </c>
      <c r="E726" s="2">
        <v>1</v>
      </c>
      <c r="F726" s="3">
        <v>63631.3887763901</v>
      </c>
      <c r="G726" s="2" t="s">
        <v>28</v>
      </c>
      <c r="H726" s="2" t="s">
        <v>10</v>
      </c>
    </row>
    <row r="727" spans="1:8">
      <c r="A727" s="2">
        <v>726</v>
      </c>
      <c r="B727" s="2" t="s">
        <v>110</v>
      </c>
      <c r="C727" s="2" t="s">
        <v>132</v>
      </c>
      <c r="D727" s="2" t="s">
        <v>8</v>
      </c>
      <c r="E727" s="2">
        <v>4</v>
      </c>
      <c r="F727" s="3">
        <v>63633.535252623296</v>
      </c>
      <c r="G727" s="2" t="s">
        <v>32</v>
      </c>
      <c r="H727" s="2" t="s">
        <v>23</v>
      </c>
    </row>
    <row r="728" spans="1:8">
      <c r="A728" s="2">
        <v>727</v>
      </c>
      <c r="B728" s="2" t="s">
        <v>112</v>
      </c>
      <c r="C728" s="2" t="s">
        <v>130</v>
      </c>
      <c r="D728" s="2" t="s">
        <v>16</v>
      </c>
      <c r="E728" s="2">
        <v>50</v>
      </c>
      <c r="F728" s="3">
        <v>63635.6817288565</v>
      </c>
      <c r="G728" s="2" t="s">
        <v>28</v>
      </c>
      <c r="H728" s="2" t="s">
        <v>14</v>
      </c>
    </row>
    <row r="729" spans="1:8">
      <c r="A729" s="2">
        <v>728</v>
      </c>
      <c r="B729" s="2" t="s">
        <v>106</v>
      </c>
      <c r="C729" s="2" t="s">
        <v>135</v>
      </c>
      <c r="D729" s="2" t="s">
        <v>16</v>
      </c>
      <c r="E729" s="2">
        <v>15</v>
      </c>
      <c r="F729" s="3">
        <v>63637.828205089703</v>
      </c>
      <c r="G729" s="2" t="s">
        <v>38</v>
      </c>
      <c r="H729" s="2" t="s">
        <v>23</v>
      </c>
    </row>
    <row r="730" spans="1:8">
      <c r="A730" s="2">
        <v>729</v>
      </c>
      <c r="B730" s="2" t="s">
        <v>107</v>
      </c>
      <c r="C730" s="2" t="s">
        <v>132</v>
      </c>
      <c r="D730" s="2" t="s">
        <v>12</v>
      </c>
      <c r="E730" s="2">
        <v>9</v>
      </c>
      <c r="F730" s="3">
        <v>63639.974681322899</v>
      </c>
      <c r="G730" s="2" t="s">
        <v>9</v>
      </c>
      <c r="H730" s="2" t="s">
        <v>26</v>
      </c>
    </row>
    <row r="731" spans="1:8">
      <c r="A731" s="2">
        <v>730</v>
      </c>
      <c r="B731" s="2" t="s">
        <v>106</v>
      </c>
      <c r="C731" s="2" t="s">
        <v>132</v>
      </c>
      <c r="D731" s="2" t="s">
        <v>16</v>
      </c>
      <c r="E731" s="2">
        <v>13</v>
      </c>
      <c r="F731" s="3">
        <v>63642.121157556103</v>
      </c>
      <c r="G731" s="2" t="s">
        <v>38</v>
      </c>
      <c r="H731" s="2" t="s">
        <v>10</v>
      </c>
    </row>
    <row r="732" spans="1:8">
      <c r="A732" s="2">
        <v>731</v>
      </c>
      <c r="B732" s="2" t="s">
        <v>107</v>
      </c>
      <c r="C732" s="2" t="s">
        <v>134</v>
      </c>
      <c r="D732" s="2" t="s">
        <v>22</v>
      </c>
      <c r="E732" s="2">
        <v>26</v>
      </c>
      <c r="F732" s="3">
        <v>63644.267633789299</v>
      </c>
      <c r="G732" s="2" t="s">
        <v>20</v>
      </c>
      <c r="H732" s="2" t="s">
        <v>10</v>
      </c>
    </row>
    <row r="733" spans="1:8">
      <c r="A733" s="2">
        <v>732</v>
      </c>
      <c r="B733" s="2" t="s">
        <v>114</v>
      </c>
      <c r="C733" s="2" t="s">
        <v>131</v>
      </c>
      <c r="D733" s="2" t="s">
        <v>22</v>
      </c>
      <c r="E733" s="2">
        <v>24</v>
      </c>
      <c r="F733" s="3">
        <v>63646.414110022502</v>
      </c>
      <c r="G733" s="2" t="s">
        <v>13</v>
      </c>
      <c r="H733" s="2" t="s">
        <v>10</v>
      </c>
    </row>
    <row r="734" spans="1:8">
      <c r="A734" s="2">
        <v>733</v>
      </c>
      <c r="B734" s="2" t="s">
        <v>107</v>
      </c>
      <c r="C734" s="2" t="s">
        <v>129</v>
      </c>
      <c r="D734" s="2" t="s">
        <v>22</v>
      </c>
      <c r="E734" s="2">
        <v>44</v>
      </c>
      <c r="F734" s="3">
        <v>63648.560586255699</v>
      </c>
      <c r="G734" s="2" t="s">
        <v>28</v>
      </c>
      <c r="H734" s="2" t="s">
        <v>10</v>
      </c>
    </row>
    <row r="735" spans="1:8">
      <c r="A735" s="2">
        <v>734</v>
      </c>
      <c r="B735" s="2" t="s">
        <v>111</v>
      </c>
      <c r="C735" s="2" t="s">
        <v>129</v>
      </c>
      <c r="D735" s="2" t="s">
        <v>22</v>
      </c>
      <c r="E735" s="2">
        <v>41</v>
      </c>
      <c r="F735" s="3">
        <v>63650.707062488997</v>
      </c>
      <c r="G735" s="2" t="s">
        <v>17</v>
      </c>
      <c r="H735" s="2" t="s">
        <v>26</v>
      </c>
    </row>
    <row r="736" spans="1:8">
      <c r="A736" s="2">
        <v>735</v>
      </c>
      <c r="B736" s="2" t="s">
        <v>113</v>
      </c>
      <c r="C736" s="2" t="s">
        <v>130</v>
      </c>
      <c r="D736" s="2" t="s">
        <v>22</v>
      </c>
      <c r="E736" s="2">
        <v>42</v>
      </c>
      <c r="F736" s="3">
        <v>63652.8535387222</v>
      </c>
      <c r="G736" s="2" t="s">
        <v>20</v>
      </c>
      <c r="H736" s="2" t="s">
        <v>14</v>
      </c>
    </row>
    <row r="737" spans="1:8">
      <c r="A737" s="2">
        <v>736</v>
      </c>
      <c r="B737" s="2" t="s">
        <v>111</v>
      </c>
      <c r="C737" s="2" t="s">
        <v>131</v>
      </c>
      <c r="D737" s="2" t="s">
        <v>12</v>
      </c>
      <c r="E737" s="2">
        <v>6</v>
      </c>
      <c r="F737" s="3">
        <v>63655.000014955403</v>
      </c>
      <c r="G737" s="2" t="s">
        <v>38</v>
      </c>
      <c r="H737" s="2" t="s">
        <v>23</v>
      </c>
    </row>
    <row r="738" spans="1:8">
      <c r="A738" s="2">
        <v>737</v>
      </c>
      <c r="B738" s="2" t="s">
        <v>112</v>
      </c>
      <c r="C738" s="2" t="s">
        <v>130</v>
      </c>
      <c r="D738" s="2" t="s">
        <v>16</v>
      </c>
      <c r="E738" s="2">
        <v>38</v>
      </c>
      <c r="F738" s="3">
        <v>63657.1464911886</v>
      </c>
      <c r="G738" s="2" t="s">
        <v>28</v>
      </c>
      <c r="H738" s="2" t="s">
        <v>29</v>
      </c>
    </row>
    <row r="739" spans="1:8">
      <c r="A739" s="2">
        <v>738</v>
      </c>
      <c r="B739" s="2" t="s">
        <v>108</v>
      </c>
      <c r="C739" s="2" t="s">
        <v>131</v>
      </c>
      <c r="D739" s="2" t="s">
        <v>16</v>
      </c>
      <c r="E739" s="2">
        <v>38</v>
      </c>
      <c r="F739" s="3">
        <v>63659.292967421803</v>
      </c>
      <c r="G739" s="2" t="s">
        <v>13</v>
      </c>
      <c r="H739" s="2" t="s">
        <v>14</v>
      </c>
    </row>
    <row r="740" spans="1:8">
      <c r="A740" s="2">
        <v>739</v>
      </c>
      <c r="B740" s="2" t="s">
        <v>112</v>
      </c>
      <c r="C740" s="2" t="s">
        <v>134</v>
      </c>
      <c r="D740" s="2" t="s">
        <v>22</v>
      </c>
      <c r="E740" s="2">
        <v>17</v>
      </c>
      <c r="F740" s="3">
        <v>63661.439443654999</v>
      </c>
      <c r="G740" s="2" t="s">
        <v>32</v>
      </c>
      <c r="H740" s="2" t="s">
        <v>10</v>
      </c>
    </row>
    <row r="741" spans="1:8">
      <c r="A741" s="2">
        <v>740</v>
      </c>
      <c r="B741" s="2" t="s">
        <v>105</v>
      </c>
      <c r="C741" s="2" t="s">
        <v>134</v>
      </c>
      <c r="D741" s="2" t="s">
        <v>16</v>
      </c>
      <c r="E741" s="2">
        <v>5</v>
      </c>
      <c r="F741" s="3">
        <v>63663.585919888203</v>
      </c>
      <c r="G741" s="2" t="s">
        <v>13</v>
      </c>
      <c r="H741" s="2" t="s">
        <v>26</v>
      </c>
    </row>
    <row r="742" spans="1:8">
      <c r="A742" s="2">
        <v>741</v>
      </c>
      <c r="B742" s="2" t="s">
        <v>110</v>
      </c>
      <c r="C742" s="2" t="s">
        <v>135</v>
      </c>
      <c r="D742" s="2" t="s">
        <v>22</v>
      </c>
      <c r="E742" s="2">
        <v>2</v>
      </c>
      <c r="F742" s="3">
        <v>63665.732396121399</v>
      </c>
      <c r="G742" s="2" t="s">
        <v>20</v>
      </c>
      <c r="H742" s="2" t="s">
        <v>10</v>
      </c>
    </row>
    <row r="743" spans="1:8">
      <c r="A743" s="2">
        <v>742</v>
      </c>
      <c r="B743" s="2" t="s">
        <v>111</v>
      </c>
      <c r="C743" s="2" t="s">
        <v>134</v>
      </c>
      <c r="D743" s="2" t="s">
        <v>16</v>
      </c>
      <c r="E743" s="2">
        <v>5</v>
      </c>
      <c r="F743" s="3">
        <v>63667.878872354602</v>
      </c>
      <c r="G743" s="2" t="s">
        <v>17</v>
      </c>
      <c r="H743" s="2" t="s">
        <v>14</v>
      </c>
    </row>
    <row r="744" spans="1:8">
      <c r="A744" s="2">
        <v>743</v>
      </c>
      <c r="B744" s="2" t="s">
        <v>112</v>
      </c>
      <c r="C744" s="2" t="s">
        <v>129</v>
      </c>
      <c r="D744" s="2" t="s">
        <v>12</v>
      </c>
      <c r="E744" s="2">
        <v>13</v>
      </c>
      <c r="F744" s="3">
        <v>63670.025348587798</v>
      </c>
      <c r="G744" s="2" t="s">
        <v>9</v>
      </c>
      <c r="H744" s="2" t="s">
        <v>23</v>
      </c>
    </row>
    <row r="745" spans="1:8">
      <c r="A745" s="2">
        <v>744</v>
      </c>
      <c r="B745" s="2" t="s">
        <v>110</v>
      </c>
      <c r="C745" s="2" t="s">
        <v>134</v>
      </c>
      <c r="D745" s="2" t="s">
        <v>8</v>
      </c>
      <c r="E745" s="2">
        <v>42</v>
      </c>
      <c r="F745" s="3">
        <v>63672.171824821002</v>
      </c>
      <c r="G745" s="2" t="s">
        <v>20</v>
      </c>
      <c r="H745" s="2" t="s">
        <v>23</v>
      </c>
    </row>
    <row r="746" spans="1:8">
      <c r="A746" s="2">
        <v>745</v>
      </c>
      <c r="B746" s="2" t="s">
        <v>110</v>
      </c>
      <c r="C746" s="2" t="s">
        <v>134</v>
      </c>
      <c r="D746" s="2" t="s">
        <v>22</v>
      </c>
      <c r="E746" s="2">
        <v>29</v>
      </c>
      <c r="F746" s="3">
        <v>63674.318301054198</v>
      </c>
      <c r="G746" s="2" t="s">
        <v>25</v>
      </c>
      <c r="H746" s="2" t="s">
        <v>18</v>
      </c>
    </row>
    <row r="747" spans="1:8">
      <c r="A747" s="2">
        <v>746</v>
      </c>
      <c r="B747" s="2" t="s">
        <v>110</v>
      </c>
      <c r="C747" s="2" t="s">
        <v>132</v>
      </c>
      <c r="D747" s="2" t="s">
        <v>12</v>
      </c>
      <c r="E747" s="2">
        <v>9</v>
      </c>
      <c r="F747" s="3">
        <v>63676.464777287401</v>
      </c>
      <c r="G747" s="2" t="s">
        <v>32</v>
      </c>
      <c r="H747" s="2" t="s">
        <v>18</v>
      </c>
    </row>
    <row r="748" spans="1:8">
      <c r="A748" s="2">
        <v>747</v>
      </c>
      <c r="B748" s="2" t="s">
        <v>113</v>
      </c>
      <c r="C748" s="2" t="s">
        <v>134</v>
      </c>
      <c r="D748" s="2" t="s">
        <v>12</v>
      </c>
      <c r="E748" s="2">
        <v>6</v>
      </c>
      <c r="F748" s="3">
        <v>63678.611253520598</v>
      </c>
      <c r="G748" s="2" t="s">
        <v>9</v>
      </c>
      <c r="H748" s="2" t="s">
        <v>26</v>
      </c>
    </row>
    <row r="749" spans="1:8">
      <c r="A749" s="2">
        <v>748</v>
      </c>
      <c r="B749" s="2" t="s">
        <v>108</v>
      </c>
      <c r="C749" s="2" t="s">
        <v>131</v>
      </c>
      <c r="D749" s="2" t="s">
        <v>22</v>
      </c>
      <c r="E749" s="2">
        <v>22</v>
      </c>
      <c r="F749" s="3">
        <v>63680.757729753801</v>
      </c>
      <c r="G749" s="2" t="s">
        <v>38</v>
      </c>
      <c r="H749" s="2" t="s">
        <v>18</v>
      </c>
    </row>
    <row r="750" spans="1:8">
      <c r="A750" s="2">
        <v>749</v>
      </c>
      <c r="B750" s="2" t="s">
        <v>107</v>
      </c>
      <c r="C750" s="2" t="s">
        <v>131</v>
      </c>
      <c r="D750" s="2" t="s">
        <v>22</v>
      </c>
      <c r="E750" s="2">
        <v>8</v>
      </c>
      <c r="F750" s="3">
        <v>63682.904205986997</v>
      </c>
      <c r="G750" s="2" t="s">
        <v>38</v>
      </c>
      <c r="H750" s="2" t="s">
        <v>10</v>
      </c>
    </row>
    <row r="751" spans="1:8">
      <c r="A751" s="2">
        <v>750</v>
      </c>
      <c r="B751" s="2" t="s">
        <v>112</v>
      </c>
      <c r="C751" s="2" t="s">
        <v>130</v>
      </c>
      <c r="D751" s="2" t="s">
        <v>12</v>
      </c>
      <c r="E751" s="2">
        <v>3</v>
      </c>
      <c r="F751" s="3">
        <v>63685.050682220201</v>
      </c>
      <c r="G751" s="2" t="s">
        <v>32</v>
      </c>
      <c r="H751" s="2" t="s">
        <v>14</v>
      </c>
    </row>
    <row r="752" spans="1:8">
      <c r="A752" s="2">
        <v>751</v>
      </c>
      <c r="B752" s="2" t="s">
        <v>105</v>
      </c>
      <c r="C752" s="2" t="s">
        <v>135</v>
      </c>
      <c r="D752" s="2" t="s">
        <v>22</v>
      </c>
      <c r="E752" s="2">
        <v>30</v>
      </c>
      <c r="F752" s="3">
        <v>63687.197158453397</v>
      </c>
      <c r="G752" s="2" t="s">
        <v>28</v>
      </c>
      <c r="H752" s="2" t="s">
        <v>26</v>
      </c>
    </row>
    <row r="753" spans="1:8">
      <c r="A753" s="2">
        <v>752</v>
      </c>
      <c r="B753" s="2" t="s">
        <v>112</v>
      </c>
      <c r="C753" s="2" t="s">
        <v>134</v>
      </c>
      <c r="D753" s="2" t="s">
        <v>22</v>
      </c>
      <c r="E753" s="2">
        <v>4</v>
      </c>
      <c r="F753" s="3">
        <v>63689.3436346866</v>
      </c>
      <c r="G753" s="2" t="s">
        <v>17</v>
      </c>
      <c r="H753" s="2" t="s">
        <v>26</v>
      </c>
    </row>
    <row r="754" spans="1:8">
      <c r="A754" s="2">
        <v>753</v>
      </c>
      <c r="B754" s="2" t="s">
        <v>107</v>
      </c>
      <c r="C754" s="2" t="s">
        <v>131</v>
      </c>
      <c r="D754" s="2" t="s">
        <v>8</v>
      </c>
      <c r="E754" s="2">
        <v>11</v>
      </c>
      <c r="F754" s="3">
        <v>63691.490110919804</v>
      </c>
      <c r="G754" s="2" t="s">
        <v>9</v>
      </c>
      <c r="H754" s="2" t="s">
        <v>14</v>
      </c>
    </row>
    <row r="755" spans="1:8">
      <c r="A755" s="2">
        <v>754</v>
      </c>
      <c r="B755" s="2" t="s">
        <v>114</v>
      </c>
      <c r="C755" s="2" t="s">
        <v>130</v>
      </c>
      <c r="D755" s="2" t="s">
        <v>8</v>
      </c>
      <c r="E755" s="2">
        <v>37</v>
      </c>
      <c r="F755" s="3">
        <v>63693.636587153</v>
      </c>
      <c r="G755" s="2" t="s">
        <v>13</v>
      </c>
      <c r="H755" s="2" t="s">
        <v>18</v>
      </c>
    </row>
    <row r="756" spans="1:8">
      <c r="A756" s="2">
        <v>755</v>
      </c>
      <c r="B756" s="2" t="s">
        <v>106</v>
      </c>
      <c r="C756" s="2" t="s">
        <v>133</v>
      </c>
      <c r="D756" s="2" t="s">
        <v>22</v>
      </c>
      <c r="E756" s="2">
        <v>28</v>
      </c>
      <c r="F756" s="3">
        <v>63695.783063386203</v>
      </c>
      <c r="G756" s="2" t="s">
        <v>25</v>
      </c>
      <c r="H756" s="2" t="s">
        <v>23</v>
      </c>
    </row>
    <row r="757" spans="1:8">
      <c r="A757" s="2">
        <v>756</v>
      </c>
      <c r="B757" s="2" t="s">
        <v>110</v>
      </c>
      <c r="C757" s="2" t="s">
        <v>133</v>
      </c>
      <c r="D757" s="2" t="s">
        <v>12</v>
      </c>
      <c r="E757" s="2">
        <v>47</v>
      </c>
      <c r="F757" s="1" t="s">
        <v>4</v>
      </c>
      <c r="G757" s="2" t="s">
        <v>38</v>
      </c>
      <c r="H757" s="2" t="s">
        <v>18</v>
      </c>
    </row>
    <row r="758" spans="1:8">
      <c r="A758" s="2">
        <v>757</v>
      </c>
      <c r="B758" s="2" t="s">
        <v>111</v>
      </c>
      <c r="C758" s="2" t="s">
        <v>131</v>
      </c>
      <c r="D758" s="2" t="s">
        <v>16</v>
      </c>
      <c r="E758" s="2">
        <v>26</v>
      </c>
      <c r="F758" s="3">
        <v>63725.833730652703</v>
      </c>
      <c r="G758" s="2" t="s">
        <v>17</v>
      </c>
      <c r="H758" s="2" t="s">
        <v>14</v>
      </c>
    </row>
    <row r="759" spans="1:8">
      <c r="A759" s="2">
        <v>758</v>
      </c>
      <c r="B759" s="2" t="s">
        <v>111</v>
      </c>
      <c r="C759" s="2" t="s">
        <v>132</v>
      </c>
      <c r="D759" s="2" t="s">
        <v>22</v>
      </c>
      <c r="E759" s="2">
        <v>32</v>
      </c>
      <c r="F759" s="3">
        <v>63727.980206885899</v>
      </c>
      <c r="G759" s="2" t="s">
        <v>17</v>
      </c>
      <c r="H759" s="2" t="s">
        <v>10</v>
      </c>
    </row>
    <row r="760" spans="1:8">
      <c r="A760" s="2">
        <v>759</v>
      </c>
      <c r="B760" s="2" t="s">
        <v>106</v>
      </c>
      <c r="C760" s="2" t="s">
        <v>131</v>
      </c>
      <c r="D760" s="2" t="s">
        <v>22</v>
      </c>
      <c r="E760" s="2">
        <v>2</v>
      </c>
      <c r="F760" s="3">
        <v>63730.126683119102</v>
      </c>
      <c r="G760" s="2" t="s">
        <v>17</v>
      </c>
      <c r="H760" s="2" t="s">
        <v>18</v>
      </c>
    </row>
    <row r="761" spans="1:8">
      <c r="A761" s="2">
        <v>760</v>
      </c>
      <c r="B761" s="2" t="s">
        <v>105</v>
      </c>
      <c r="C761" s="2" t="s">
        <v>132</v>
      </c>
      <c r="D761" s="2" t="s">
        <v>16</v>
      </c>
      <c r="E761" s="2">
        <v>25</v>
      </c>
      <c r="F761" s="3">
        <v>63732.273159352299</v>
      </c>
      <c r="G761" s="2" t="s">
        <v>28</v>
      </c>
      <c r="H761" s="2" t="s">
        <v>26</v>
      </c>
    </row>
    <row r="762" spans="1:8">
      <c r="A762" s="2">
        <v>761</v>
      </c>
      <c r="B762" s="2" t="s">
        <v>111</v>
      </c>
      <c r="C762" s="2" t="s">
        <v>133</v>
      </c>
      <c r="D762" s="2" t="s">
        <v>16</v>
      </c>
      <c r="E762" s="2">
        <v>44</v>
      </c>
      <c r="F762" s="3">
        <v>63734.419635585502</v>
      </c>
      <c r="G762" s="2" t="s">
        <v>32</v>
      </c>
      <c r="H762" s="2" t="s">
        <v>29</v>
      </c>
    </row>
    <row r="763" spans="1:8">
      <c r="A763" s="2">
        <v>762</v>
      </c>
      <c r="B763" s="2" t="s">
        <v>106</v>
      </c>
      <c r="C763" s="2" t="s">
        <v>130</v>
      </c>
      <c r="D763" s="2" t="s">
        <v>16</v>
      </c>
      <c r="E763" s="2">
        <v>28</v>
      </c>
      <c r="F763" s="3">
        <v>63736.566111818698</v>
      </c>
      <c r="G763" s="2" t="s">
        <v>28</v>
      </c>
      <c r="H763" s="2" t="s">
        <v>29</v>
      </c>
    </row>
    <row r="764" spans="1:8">
      <c r="A764" s="2">
        <v>763</v>
      </c>
      <c r="B764" s="2" t="s">
        <v>106</v>
      </c>
      <c r="C764" s="2" t="s">
        <v>132</v>
      </c>
      <c r="D764" s="2" t="s">
        <v>8</v>
      </c>
      <c r="E764" s="2">
        <v>12</v>
      </c>
      <c r="F764" s="3">
        <v>63738.712588052003</v>
      </c>
      <c r="G764" s="2" t="s">
        <v>38</v>
      </c>
      <c r="H764" s="2" t="s">
        <v>23</v>
      </c>
    </row>
    <row r="765" spans="1:8">
      <c r="A765" s="2">
        <v>764</v>
      </c>
      <c r="B765" s="2" t="s">
        <v>110</v>
      </c>
      <c r="C765" s="2" t="s">
        <v>130</v>
      </c>
      <c r="D765" s="2" t="s">
        <v>8</v>
      </c>
      <c r="E765" s="2">
        <v>23</v>
      </c>
      <c r="F765" s="3">
        <v>63740.8590642852</v>
      </c>
      <c r="G765" s="2" t="s">
        <v>28</v>
      </c>
      <c r="H765" s="2" t="s">
        <v>14</v>
      </c>
    </row>
    <row r="766" spans="1:8">
      <c r="A766" s="2">
        <v>765</v>
      </c>
      <c r="B766" s="2" t="s">
        <v>107</v>
      </c>
      <c r="C766" s="2" t="s">
        <v>130</v>
      </c>
      <c r="D766" s="2" t="s">
        <v>8</v>
      </c>
      <c r="E766" s="2">
        <v>14</v>
      </c>
      <c r="F766" s="3">
        <v>63743.005540518403</v>
      </c>
      <c r="G766" s="2" t="s">
        <v>13</v>
      </c>
      <c r="H766" s="2" t="s">
        <v>10</v>
      </c>
    </row>
    <row r="767" spans="1:8">
      <c r="A767" s="2">
        <v>766</v>
      </c>
      <c r="B767" s="2" t="s">
        <v>107</v>
      </c>
      <c r="C767" s="2" t="s">
        <v>132</v>
      </c>
      <c r="D767" s="2" t="s">
        <v>12</v>
      </c>
      <c r="E767" s="2">
        <v>12</v>
      </c>
      <c r="F767" s="3">
        <v>63745.152016751599</v>
      </c>
      <c r="G767" s="2" t="s">
        <v>38</v>
      </c>
      <c r="H767" s="2" t="s">
        <v>26</v>
      </c>
    </row>
    <row r="768" spans="1:8">
      <c r="A768" s="2">
        <v>767</v>
      </c>
      <c r="B768" s="2" t="s">
        <v>107</v>
      </c>
      <c r="C768" s="2" t="s">
        <v>129</v>
      </c>
      <c r="D768" s="2" t="s">
        <v>22</v>
      </c>
      <c r="E768" s="2">
        <v>18</v>
      </c>
      <c r="F768" s="3">
        <v>63747.298492984803</v>
      </c>
      <c r="G768" s="2" t="s">
        <v>28</v>
      </c>
      <c r="H768" s="2" t="s">
        <v>29</v>
      </c>
    </row>
    <row r="769" spans="1:8">
      <c r="A769" s="2">
        <v>768</v>
      </c>
      <c r="B769" s="2" t="s">
        <v>112</v>
      </c>
      <c r="C769" s="2" t="s">
        <v>131</v>
      </c>
      <c r="D769" s="2" t="s">
        <v>8</v>
      </c>
      <c r="E769" s="2">
        <v>18</v>
      </c>
      <c r="F769" s="3">
        <v>63749.444969217999</v>
      </c>
      <c r="G769" s="2" t="s">
        <v>32</v>
      </c>
      <c r="H769" s="2" t="s">
        <v>18</v>
      </c>
    </row>
    <row r="770" spans="1:8">
      <c r="A770" s="2">
        <v>769</v>
      </c>
      <c r="B770" s="2" t="s">
        <v>108</v>
      </c>
      <c r="C770" s="2" t="s">
        <v>130</v>
      </c>
      <c r="D770" s="2" t="s">
        <v>12</v>
      </c>
      <c r="E770" s="2">
        <v>29</v>
      </c>
      <c r="F770" s="3">
        <v>63751.591445451202</v>
      </c>
      <c r="G770" s="2" t="s">
        <v>25</v>
      </c>
      <c r="H770" s="2" t="s">
        <v>26</v>
      </c>
    </row>
    <row r="771" spans="1:8">
      <c r="A771" s="2">
        <v>770</v>
      </c>
      <c r="B771" s="2" t="s">
        <v>112</v>
      </c>
      <c r="C771" s="2" t="s">
        <v>129</v>
      </c>
      <c r="D771" s="2" t="s">
        <v>12</v>
      </c>
      <c r="E771" s="2">
        <v>10</v>
      </c>
      <c r="F771" s="3">
        <v>63753.737921684398</v>
      </c>
      <c r="G771" s="2" t="s">
        <v>17</v>
      </c>
      <c r="H771" s="2" t="s">
        <v>10</v>
      </c>
    </row>
    <row r="772" spans="1:8">
      <c r="A772" s="2">
        <v>771</v>
      </c>
      <c r="B772" s="2" t="s">
        <v>106</v>
      </c>
      <c r="C772" s="2" t="s">
        <v>134</v>
      </c>
      <c r="D772" s="2" t="s">
        <v>16</v>
      </c>
      <c r="E772" s="2">
        <v>3</v>
      </c>
      <c r="F772" s="3">
        <v>63755.884397917602</v>
      </c>
      <c r="G772" s="2" t="s">
        <v>13</v>
      </c>
      <c r="H772" s="2" t="s">
        <v>14</v>
      </c>
    </row>
    <row r="773" spans="1:8">
      <c r="A773" s="2">
        <v>772</v>
      </c>
      <c r="B773" s="2" t="s">
        <v>108</v>
      </c>
      <c r="C773" s="2" t="s">
        <v>133</v>
      </c>
      <c r="D773" s="2" t="s">
        <v>16</v>
      </c>
      <c r="E773" s="2">
        <v>40</v>
      </c>
      <c r="F773" s="3">
        <v>63758.030874150798</v>
      </c>
      <c r="G773" s="2" t="s">
        <v>25</v>
      </c>
      <c r="H773" s="2" t="s">
        <v>26</v>
      </c>
    </row>
    <row r="774" spans="1:8">
      <c r="A774" s="2">
        <v>773</v>
      </c>
      <c r="B774" s="2" t="s">
        <v>111</v>
      </c>
      <c r="C774" s="2" t="s">
        <v>135</v>
      </c>
      <c r="D774" s="2" t="s">
        <v>8</v>
      </c>
      <c r="E774" s="2">
        <v>40</v>
      </c>
      <c r="F774" s="3">
        <v>63760.177350384103</v>
      </c>
      <c r="G774" s="2" t="s">
        <v>20</v>
      </c>
      <c r="H774" s="2" t="s">
        <v>26</v>
      </c>
    </row>
    <row r="775" spans="1:8">
      <c r="A775" s="2">
        <v>774</v>
      </c>
      <c r="B775" s="2" t="s">
        <v>109</v>
      </c>
      <c r="C775" s="2" t="s">
        <v>133</v>
      </c>
      <c r="D775" s="2" t="s">
        <v>22</v>
      </c>
      <c r="E775" s="2">
        <v>40</v>
      </c>
      <c r="F775" s="3">
        <v>63762.323826617299</v>
      </c>
      <c r="G775" s="2" t="s">
        <v>13</v>
      </c>
      <c r="H775" s="2" t="s">
        <v>18</v>
      </c>
    </row>
    <row r="776" spans="1:8">
      <c r="A776" s="2">
        <v>775</v>
      </c>
      <c r="B776" s="2" t="s">
        <v>112</v>
      </c>
      <c r="C776" s="2" t="s">
        <v>133</v>
      </c>
      <c r="D776" s="2" t="s">
        <v>22</v>
      </c>
      <c r="E776" s="2">
        <v>16</v>
      </c>
      <c r="F776" s="3">
        <v>63764.470302850503</v>
      </c>
      <c r="G776" s="2" t="s">
        <v>32</v>
      </c>
      <c r="H776" s="2" t="s">
        <v>10</v>
      </c>
    </row>
    <row r="777" spans="1:8">
      <c r="A777" s="2">
        <v>776</v>
      </c>
      <c r="B777" s="2" t="s">
        <v>112</v>
      </c>
      <c r="C777" s="2" t="s">
        <v>130</v>
      </c>
      <c r="D777" s="2" t="s">
        <v>22</v>
      </c>
      <c r="E777" s="2">
        <v>42</v>
      </c>
      <c r="F777" s="3">
        <v>63766.616779083699</v>
      </c>
      <c r="G777" s="2" t="s">
        <v>13</v>
      </c>
      <c r="H777" s="2" t="s">
        <v>14</v>
      </c>
    </row>
    <row r="778" spans="1:8">
      <c r="A778" s="2">
        <v>777</v>
      </c>
      <c r="B778" s="2" t="s">
        <v>110</v>
      </c>
      <c r="C778" s="2" t="s">
        <v>129</v>
      </c>
      <c r="D778" s="2" t="s">
        <v>12</v>
      </c>
      <c r="E778" s="2">
        <v>19</v>
      </c>
      <c r="F778" s="3">
        <v>63768.763255316902</v>
      </c>
      <c r="G778" s="2" t="s">
        <v>32</v>
      </c>
      <c r="H778" s="2" t="s">
        <v>26</v>
      </c>
    </row>
    <row r="779" spans="1:8">
      <c r="A779" s="2">
        <v>778</v>
      </c>
      <c r="B779" s="2" t="s">
        <v>107</v>
      </c>
      <c r="C779" s="2" t="s">
        <v>131</v>
      </c>
      <c r="D779" s="2" t="s">
        <v>12</v>
      </c>
      <c r="E779" s="2">
        <v>32</v>
      </c>
      <c r="F779" s="3">
        <v>63770.909731550099</v>
      </c>
      <c r="G779" s="2" t="s">
        <v>25</v>
      </c>
      <c r="H779" s="2" t="s">
        <v>10</v>
      </c>
    </row>
    <row r="780" spans="1:8">
      <c r="A780" s="2">
        <v>779</v>
      </c>
      <c r="B780" s="2" t="s">
        <v>114</v>
      </c>
      <c r="C780" s="2" t="s">
        <v>129</v>
      </c>
      <c r="D780" s="2" t="s">
        <v>12</v>
      </c>
      <c r="E780" s="2">
        <v>27</v>
      </c>
      <c r="F780" s="3">
        <v>63773.056207783302</v>
      </c>
      <c r="G780" s="2" t="s">
        <v>13</v>
      </c>
      <c r="H780" s="2" t="s">
        <v>26</v>
      </c>
    </row>
    <row r="781" spans="1:8">
      <c r="A781" s="2">
        <v>780</v>
      </c>
      <c r="B781" s="2" t="s">
        <v>111</v>
      </c>
      <c r="C781" s="2" t="s">
        <v>132</v>
      </c>
      <c r="D781" s="2" t="s">
        <v>12</v>
      </c>
      <c r="E781" s="2">
        <v>36</v>
      </c>
      <c r="F781" s="3">
        <v>63775.202684016498</v>
      </c>
      <c r="G781" s="2" t="s">
        <v>28</v>
      </c>
      <c r="H781" s="2" t="s">
        <v>29</v>
      </c>
    </row>
    <row r="782" spans="1:8">
      <c r="A782" s="2">
        <v>781</v>
      </c>
      <c r="B782" s="2" t="s">
        <v>114</v>
      </c>
      <c r="C782" s="2" t="s">
        <v>135</v>
      </c>
      <c r="D782" s="2" t="s">
        <v>22</v>
      </c>
      <c r="E782" s="2">
        <v>31</v>
      </c>
      <c r="F782" s="3">
        <v>63777.349160249702</v>
      </c>
      <c r="G782" s="2" t="s">
        <v>17</v>
      </c>
      <c r="H782" s="2" t="s">
        <v>29</v>
      </c>
    </row>
    <row r="783" spans="1:8">
      <c r="A783" s="2">
        <v>782</v>
      </c>
      <c r="B783" s="2" t="s">
        <v>107</v>
      </c>
      <c r="C783" s="2" t="s">
        <v>129</v>
      </c>
      <c r="D783" s="2" t="s">
        <v>22</v>
      </c>
      <c r="E783" s="2">
        <v>4</v>
      </c>
      <c r="F783" s="3">
        <v>63779.495636482898</v>
      </c>
      <c r="G783" s="2" t="s">
        <v>9</v>
      </c>
      <c r="H783" s="2" t="s">
        <v>14</v>
      </c>
    </row>
    <row r="784" spans="1:8">
      <c r="A784" s="2">
        <v>783</v>
      </c>
      <c r="B784" s="2" t="s">
        <v>108</v>
      </c>
      <c r="C784" s="2" t="s">
        <v>132</v>
      </c>
      <c r="D784" s="2" t="s">
        <v>16</v>
      </c>
      <c r="E784" s="2">
        <v>6</v>
      </c>
      <c r="F784" s="3">
        <v>63781.642112716203</v>
      </c>
      <c r="G784" s="2" t="s">
        <v>25</v>
      </c>
      <c r="H784" s="2" t="s">
        <v>29</v>
      </c>
    </row>
    <row r="785" spans="1:8">
      <c r="A785" s="2">
        <v>784</v>
      </c>
      <c r="B785" s="2" t="s">
        <v>112</v>
      </c>
      <c r="C785" s="2" t="s">
        <v>135</v>
      </c>
      <c r="D785" s="2" t="s">
        <v>22</v>
      </c>
      <c r="E785" s="2">
        <v>18</v>
      </c>
      <c r="F785" s="3">
        <v>63783.788588949399</v>
      </c>
      <c r="G785" s="2" t="s">
        <v>32</v>
      </c>
      <c r="H785" s="2" t="s">
        <v>14</v>
      </c>
    </row>
    <row r="786" spans="1:8">
      <c r="A786" s="2">
        <v>785</v>
      </c>
      <c r="B786" s="2" t="s">
        <v>107</v>
      </c>
      <c r="C786" s="2" t="s">
        <v>129</v>
      </c>
      <c r="D786" s="2" t="s">
        <v>12</v>
      </c>
      <c r="E786" s="2">
        <v>25</v>
      </c>
      <c r="F786" s="3">
        <v>63785.935065182603</v>
      </c>
      <c r="G786" s="2" t="s">
        <v>25</v>
      </c>
      <c r="H786" s="2" t="s">
        <v>26</v>
      </c>
    </row>
    <row r="787" spans="1:8">
      <c r="A787" s="2">
        <v>786</v>
      </c>
      <c r="B787" s="2" t="s">
        <v>112</v>
      </c>
      <c r="C787" s="2" t="s">
        <v>133</v>
      </c>
      <c r="D787" s="2" t="s">
        <v>12</v>
      </c>
      <c r="E787" s="2">
        <v>9</v>
      </c>
      <c r="F787" s="3">
        <v>63788.081541415799</v>
      </c>
      <c r="G787" s="2" t="s">
        <v>32</v>
      </c>
      <c r="H787" s="2" t="s">
        <v>23</v>
      </c>
    </row>
    <row r="788" spans="1:8">
      <c r="A788" s="2">
        <v>787</v>
      </c>
      <c r="B788" s="2" t="s">
        <v>106</v>
      </c>
      <c r="C788" s="2" t="s">
        <v>133</v>
      </c>
      <c r="D788" s="2" t="s">
        <v>8</v>
      </c>
      <c r="E788" s="2">
        <v>27</v>
      </c>
      <c r="F788" s="3">
        <v>63790.228017649002</v>
      </c>
      <c r="G788" s="2" t="s">
        <v>25</v>
      </c>
      <c r="H788" s="2" t="s">
        <v>29</v>
      </c>
    </row>
    <row r="789" spans="1:8">
      <c r="A789" s="2">
        <v>788</v>
      </c>
      <c r="B789" s="2" t="s">
        <v>109</v>
      </c>
      <c r="C789" s="2" t="s">
        <v>135</v>
      </c>
      <c r="D789" s="2" t="s">
        <v>22</v>
      </c>
      <c r="E789" s="2">
        <v>13</v>
      </c>
      <c r="F789" s="3">
        <v>63792.374493882198</v>
      </c>
      <c r="G789" s="2" t="s">
        <v>28</v>
      </c>
      <c r="H789" s="2" t="s">
        <v>10</v>
      </c>
    </row>
    <row r="790" spans="1:8">
      <c r="A790" s="2">
        <v>789</v>
      </c>
      <c r="B790" s="2" t="s">
        <v>107</v>
      </c>
      <c r="C790" s="2" t="s">
        <v>135</v>
      </c>
      <c r="D790" s="2" t="s">
        <v>22</v>
      </c>
      <c r="E790" s="2">
        <v>42</v>
      </c>
      <c r="F790" s="3">
        <v>63794.520970115402</v>
      </c>
      <c r="G790" s="2" t="s">
        <v>25</v>
      </c>
      <c r="H790" s="2" t="s">
        <v>10</v>
      </c>
    </row>
    <row r="791" spans="1:8">
      <c r="A791" s="2">
        <v>790</v>
      </c>
      <c r="B791" s="2" t="s">
        <v>113</v>
      </c>
      <c r="C791" s="2" t="s">
        <v>129</v>
      </c>
      <c r="D791" s="2" t="s">
        <v>16</v>
      </c>
      <c r="E791" s="2">
        <v>34</v>
      </c>
      <c r="F791" s="3">
        <v>63796.667446348598</v>
      </c>
      <c r="G791" s="2" t="s">
        <v>13</v>
      </c>
      <c r="H791" s="2" t="s">
        <v>14</v>
      </c>
    </row>
    <row r="792" spans="1:8">
      <c r="A792" s="2">
        <v>791</v>
      </c>
      <c r="B792" s="2" t="s">
        <v>111</v>
      </c>
      <c r="C792" s="2" t="s">
        <v>131</v>
      </c>
      <c r="D792" s="2" t="s">
        <v>16</v>
      </c>
      <c r="E792" s="2">
        <v>16</v>
      </c>
      <c r="F792" s="3">
        <v>63798.813922581801</v>
      </c>
      <c r="G792" s="2" t="s">
        <v>25</v>
      </c>
      <c r="H792" s="2" t="s">
        <v>23</v>
      </c>
    </row>
    <row r="793" spans="1:8">
      <c r="A793" s="2">
        <v>792</v>
      </c>
      <c r="B793" s="2" t="s">
        <v>109</v>
      </c>
      <c r="C793" s="2" t="s">
        <v>129</v>
      </c>
      <c r="D793" s="2" t="s">
        <v>12</v>
      </c>
      <c r="E793" s="2">
        <v>41</v>
      </c>
      <c r="F793" s="3">
        <v>63800.960398814997</v>
      </c>
      <c r="G793" s="2" t="s">
        <v>25</v>
      </c>
      <c r="H793" s="2" t="s">
        <v>26</v>
      </c>
    </row>
    <row r="794" spans="1:8">
      <c r="A794" s="2">
        <v>793</v>
      </c>
      <c r="B794" s="2" t="s">
        <v>107</v>
      </c>
      <c r="C794" s="2" t="s">
        <v>135</v>
      </c>
      <c r="D794" s="2" t="s">
        <v>8</v>
      </c>
      <c r="E794" s="2">
        <v>35</v>
      </c>
      <c r="F794" s="3">
        <v>63803.106875048303</v>
      </c>
      <c r="G794" s="2" t="s">
        <v>17</v>
      </c>
      <c r="H794" s="2" t="s">
        <v>18</v>
      </c>
    </row>
    <row r="795" spans="1:8">
      <c r="A795" s="2">
        <v>794</v>
      </c>
      <c r="B795" s="2" t="s">
        <v>113</v>
      </c>
      <c r="C795" s="2" t="s">
        <v>130</v>
      </c>
      <c r="D795" s="2" t="s">
        <v>22</v>
      </c>
      <c r="E795" s="2">
        <v>2</v>
      </c>
      <c r="F795" s="3">
        <v>63805.253351281499</v>
      </c>
      <c r="G795" s="2" t="s">
        <v>20</v>
      </c>
      <c r="H795" s="2" t="s">
        <v>10</v>
      </c>
    </row>
    <row r="796" spans="1:8">
      <c r="A796" s="2">
        <v>795</v>
      </c>
      <c r="B796" s="2" t="s">
        <v>113</v>
      </c>
      <c r="C796" s="2" t="s">
        <v>131</v>
      </c>
      <c r="D796" s="2" t="s">
        <v>22</v>
      </c>
      <c r="E796" s="2">
        <v>25</v>
      </c>
      <c r="F796" s="3">
        <v>63807.399827514702</v>
      </c>
      <c r="G796" s="2" t="s">
        <v>20</v>
      </c>
      <c r="H796" s="2" t="s">
        <v>23</v>
      </c>
    </row>
    <row r="797" spans="1:8">
      <c r="A797" s="2">
        <v>796</v>
      </c>
      <c r="B797" s="2" t="s">
        <v>111</v>
      </c>
      <c r="C797" s="2" t="s">
        <v>131</v>
      </c>
      <c r="D797" s="2" t="s">
        <v>8</v>
      </c>
      <c r="E797" s="2">
        <v>46</v>
      </c>
      <c r="F797" s="3">
        <v>63809.546303747898</v>
      </c>
      <c r="G797" s="2" t="s">
        <v>25</v>
      </c>
      <c r="H797" s="2" t="s">
        <v>10</v>
      </c>
    </row>
    <row r="798" spans="1:8">
      <c r="A798" s="2">
        <v>797</v>
      </c>
      <c r="B798" s="2" t="s">
        <v>107</v>
      </c>
      <c r="C798" s="2" t="s">
        <v>135</v>
      </c>
      <c r="D798" s="2" t="s">
        <v>22</v>
      </c>
      <c r="E798" s="2">
        <v>23</v>
      </c>
      <c r="F798" s="3">
        <v>63811.692779981102</v>
      </c>
      <c r="G798" s="2" t="s">
        <v>17</v>
      </c>
      <c r="H798" s="2" t="s">
        <v>14</v>
      </c>
    </row>
    <row r="799" spans="1:8">
      <c r="A799" s="2">
        <v>798</v>
      </c>
      <c r="B799" s="2" t="s">
        <v>109</v>
      </c>
      <c r="C799" s="2" t="s">
        <v>132</v>
      </c>
      <c r="D799" s="2" t="s">
        <v>16</v>
      </c>
      <c r="E799" s="2">
        <v>31</v>
      </c>
      <c r="F799" s="3">
        <v>63813.839256214298</v>
      </c>
      <c r="G799" s="2" t="s">
        <v>25</v>
      </c>
      <c r="H799" s="2" t="s">
        <v>14</v>
      </c>
    </row>
    <row r="800" spans="1:8">
      <c r="A800" s="2">
        <v>799</v>
      </c>
      <c r="B800" s="2" t="s">
        <v>110</v>
      </c>
      <c r="C800" s="2" t="s">
        <v>132</v>
      </c>
      <c r="D800" s="2" t="s">
        <v>8</v>
      </c>
      <c r="E800" s="2">
        <v>35</v>
      </c>
      <c r="F800" s="3">
        <v>63815.985732447502</v>
      </c>
      <c r="G800" s="2" t="s">
        <v>38</v>
      </c>
      <c r="H800" s="2" t="s">
        <v>18</v>
      </c>
    </row>
    <row r="801" spans="1:8">
      <c r="A801" s="2">
        <v>800</v>
      </c>
      <c r="B801" s="2" t="s">
        <v>108</v>
      </c>
      <c r="C801" s="2" t="s">
        <v>132</v>
      </c>
      <c r="D801" s="2" t="s">
        <v>22</v>
      </c>
      <c r="E801" s="2">
        <v>32</v>
      </c>
      <c r="F801" s="3">
        <v>63818.132208680698</v>
      </c>
      <c r="G801" s="2" t="s">
        <v>17</v>
      </c>
      <c r="H801" s="2" t="s">
        <v>14</v>
      </c>
    </row>
    <row r="802" spans="1:8">
      <c r="A802" s="2">
        <v>801</v>
      </c>
      <c r="B802" s="2" t="s">
        <v>113</v>
      </c>
      <c r="C802" s="2" t="s">
        <v>133</v>
      </c>
      <c r="D802" s="2" t="s">
        <v>16</v>
      </c>
      <c r="E802" s="2">
        <v>23</v>
      </c>
      <c r="F802" s="3">
        <v>63820.278684913901</v>
      </c>
      <c r="G802" s="2" t="s">
        <v>13</v>
      </c>
      <c r="H802" s="2" t="s">
        <v>18</v>
      </c>
    </row>
    <row r="803" spans="1:8">
      <c r="A803" s="2">
        <v>802</v>
      </c>
      <c r="B803" s="2" t="s">
        <v>114</v>
      </c>
      <c r="C803" s="2" t="s">
        <v>133</v>
      </c>
      <c r="D803" s="2" t="s">
        <v>16</v>
      </c>
      <c r="E803" s="2">
        <v>37</v>
      </c>
      <c r="F803" s="3">
        <v>63822.425161147097</v>
      </c>
      <c r="G803" s="2" t="s">
        <v>13</v>
      </c>
      <c r="H803" s="2" t="s">
        <v>26</v>
      </c>
    </row>
    <row r="804" spans="1:8">
      <c r="A804" s="2">
        <v>803</v>
      </c>
      <c r="B804" s="2" t="s">
        <v>107</v>
      </c>
      <c r="C804" s="2" t="s">
        <v>132</v>
      </c>
      <c r="D804" s="2" t="s">
        <v>12</v>
      </c>
      <c r="E804" s="2">
        <v>33</v>
      </c>
      <c r="F804" s="3">
        <v>63824.571637380403</v>
      </c>
      <c r="G804" s="2" t="s">
        <v>28</v>
      </c>
      <c r="H804" s="2" t="s">
        <v>14</v>
      </c>
    </row>
    <row r="805" spans="1:8">
      <c r="A805" s="2">
        <v>804</v>
      </c>
      <c r="B805" s="2" t="s">
        <v>110</v>
      </c>
      <c r="C805" s="2" t="s">
        <v>132</v>
      </c>
      <c r="D805" s="2" t="s">
        <v>22</v>
      </c>
      <c r="E805" s="2">
        <v>21</v>
      </c>
      <c r="F805" s="3">
        <v>63826.718113613599</v>
      </c>
      <c r="G805" s="2" t="s">
        <v>9</v>
      </c>
      <c r="H805" s="2" t="s">
        <v>10</v>
      </c>
    </row>
    <row r="806" spans="1:8">
      <c r="A806" s="2">
        <v>805</v>
      </c>
      <c r="B806" s="2" t="s">
        <v>110</v>
      </c>
      <c r="C806" s="2" t="s">
        <v>131</v>
      </c>
      <c r="D806" s="2" t="s">
        <v>8</v>
      </c>
      <c r="E806" s="2">
        <v>25</v>
      </c>
      <c r="F806" s="3">
        <v>63828.864589846802</v>
      </c>
      <c r="G806" s="2" t="s">
        <v>28</v>
      </c>
      <c r="H806" s="2" t="s">
        <v>14</v>
      </c>
    </row>
    <row r="807" spans="1:8">
      <c r="A807" s="2">
        <v>806</v>
      </c>
      <c r="B807" s="2" t="s">
        <v>110</v>
      </c>
      <c r="C807" s="2" t="s">
        <v>130</v>
      </c>
      <c r="D807" s="2" t="s">
        <v>16</v>
      </c>
      <c r="E807" s="2">
        <v>18</v>
      </c>
      <c r="F807" s="3">
        <v>63831.011066079998</v>
      </c>
      <c r="G807" s="2" t="s">
        <v>25</v>
      </c>
      <c r="H807" s="2" t="s">
        <v>29</v>
      </c>
    </row>
    <row r="808" spans="1:8">
      <c r="A808" s="2">
        <v>807</v>
      </c>
      <c r="B808" s="2" t="s">
        <v>106</v>
      </c>
      <c r="C808" s="2" t="s">
        <v>135</v>
      </c>
      <c r="D808" s="2" t="s">
        <v>16</v>
      </c>
      <c r="E808" s="2">
        <v>12</v>
      </c>
      <c r="F808" s="3">
        <v>63833.157542313202</v>
      </c>
      <c r="G808" s="2" t="s">
        <v>32</v>
      </c>
      <c r="H808" s="2" t="s">
        <v>26</v>
      </c>
    </row>
    <row r="809" spans="1:8">
      <c r="A809" s="2">
        <v>808</v>
      </c>
      <c r="B809" s="2" t="s">
        <v>109</v>
      </c>
      <c r="C809" s="2" t="s">
        <v>133</v>
      </c>
      <c r="D809" s="2" t="s">
        <v>12</v>
      </c>
      <c r="E809" s="2">
        <v>2</v>
      </c>
      <c r="F809" s="3">
        <v>63835.304018546398</v>
      </c>
      <c r="G809" s="2" t="s">
        <v>20</v>
      </c>
      <c r="H809" s="2" t="s">
        <v>26</v>
      </c>
    </row>
    <row r="810" spans="1:8">
      <c r="A810" s="2">
        <v>809</v>
      </c>
      <c r="B810" s="2" t="s">
        <v>113</v>
      </c>
      <c r="C810" s="2" t="s">
        <v>131</v>
      </c>
      <c r="D810" s="2" t="s">
        <v>8</v>
      </c>
      <c r="E810" s="2">
        <v>21</v>
      </c>
      <c r="F810" s="3">
        <v>63837.450494779601</v>
      </c>
      <c r="G810" s="2" t="s">
        <v>25</v>
      </c>
      <c r="H810" s="2" t="s">
        <v>23</v>
      </c>
    </row>
    <row r="811" spans="1:8">
      <c r="A811" s="2">
        <v>810</v>
      </c>
      <c r="B811" s="2" t="s">
        <v>107</v>
      </c>
      <c r="C811" s="2" t="s">
        <v>132</v>
      </c>
      <c r="D811" s="2" t="s">
        <v>12</v>
      </c>
      <c r="E811" s="2">
        <v>39</v>
      </c>
      <c r="F811" s="3">
        <v>63839.596971012797</v>
      </c>
      <c r="G811" s="2" t="s">
        <v>25</v>
      </c>
      <c r="H811" s="2" t="s">
        <v>10</v>
      </c>
    </row>
    <row r="812" spans="1:8">
      <c r="A812" s="2">
        <v>811</v>
      </c>
      <c r="B812" s="2" t="s">
        <v>110</v>
      </c>
      <c r="C812" s="2" t="s">
        <v>130</v>
      </c>
      <c r="D812" s="2" t="s">
        <v>16</v>
      </c>
      <c r="E812" s="2">
        <v>15</v>
      </c>
      <c r="F812" s="3">
        <v>63841.743447246001</v>
      </c>
      <c r="G812" s="2" t="s">
        <v>38</v>
      </c>
      <c r="H812" s="2" t="s">
        <v>26</v>
      </c>
    </row>
    <row r="813" spans="1:8">
      <c r="A813" s="2">
        <v>812</v>
      </c>
      <c r="B813" s="2" t="s">
        <v>108</v>
      </c>
      <c r="C813" s="2" t="s">
        <v>134</v>
      </c>
      <c r="D813" s="2" t="s">
        <v>22</v>
      </c>
      <c r="E813" s="2">
        <v>2</v>
      </c>
      <c r="F813" s="3">
        <v>63843.889923479197</v>
      </c>
      <c r="G813" s="2" t="s">
        <v>28</v>
      </c>
      <c r="H813" s="2" t="s">
        <v>23</v>
      </c>
    </row>
    <row r="814" spans="1:8">
      <c r="A814" s="2">
        <v>813</v>
      </c>
      <c r="B814" s="2" t="s">
        <v>108</v>
      </c>
      <c r="C814" s="2" t="s">
        <v>129</v>
      </c>
      <c r="D814" s="2" t="s">
        <v>8</v>
      </c>
      <c r="E814" s="2">
        <v>50</v>
      </c>
      <c r="F814" s="3">
        <v>63846.036399712502</v>
      </c>
      <c r="G814" s="2" t="s">
        <v>32</v>
      </c>
      <c r="H814" s="2" t="s">
        <v>29</v>
      </c>
    </row>
    <row r="815" spans="1:8">
      <c r="A815" s="2">
        <v>814</v>
      </c>
      <c r="B815" s="2" t="s">
        <v>105</v>
      </c>
      <c r="C815" s="2" t="s">
        <v>132</v>
      </c>
      <c r="D815" s="2" t="s">
        <v>22</v>
      </c>
      <c r="E815" s="2">
        <v>18</v>
      </c>
      <c r="F815" s="3">
        <v>63848.182875945698</v>
      </c>
      <c r="G815" s="2" t="s">
        <v>32</v>
      </c>
      <c r="H815" s="2" t="s">
        <v>26</v>
      </c>
    </row>
    <row r="816" spans="1:8">
      <c r="A816" s="2">
        <v>815</v>
      </c>
      <c r="B816" s="2" t="s">
        <v>110</v>
      </c>
      <c r="C816" s="2" t="s">
        <v>133</v>
      </c>
      <c r="D816" s="2" t="s">
        <v>22</v>
      </c>
      <c r="E816" s="2">
        <v>4</v>
      </c>
      <c r="F816" s="3">
        <v>63850.329352178902</v>
      </c>
      <c r="G816" s="2" t="s">
        <v>32</v>
      </c>
      <c r="H816" s="2" t="s">
        <v>23</v>
      </c>
    </row>
    <row r="817" spans="1:8">
      <c r="A817" s="2">
        <v>816</v>
      </c>
      <c r="B817" s="2" t="s">
        <v>108</v>
      </c>
      <c r="C817" s="2" t="s">
        <v>132</v>
      </c>
      <c r="D817" s="2" t="s">
        <v>12</v>
      </c>
      <c r="E817" s="2">
        <v>31</v>
      </c>
      <c r="F817" s="3">
        <v>63852.475828412098</v>
      </c>
      <c r="G817" s="2" t="s">
        <v>38</v>
      </c>
      <c r="H817" s="2" t="s">
        <v>29</v>
      </c>
    </row>
    <row r="818" spans="1:8">
      <c r="A818" s="2">
        <v>817</v>
      </c>
      <c r="B818" s="2" t="s">
        <v>114</v>
      </c>
      <c r="C818" s="2" t="s">
        <v>134</v>
      </c>
      <c r="D818" s="2" t="s">
        <v>16</v>
      </c>
      <c r="E818" s="2">
        <v>34</v>
      </c>
      <c r="F818" s="3">
        <v>63854.622304645301</v>
      </c>
      <c r="G818" s="2" t="s">
        <v>17</v>
      </c>
      <c r="H818" s="2" t="s">
        <v>14</v>
      </c>
    </row>
    <row r="819" spans="1:8">
      <c r="A819" s="2">
        <v>818</v>
      </c>
      <c r="B819" s="2" t="s">
        <v>113</v>
      </c>
      <c r="C819" s="2" t="s">
        <v>135</v>
      </c>
      <c r="D819" s="2" t="s">
        <v>22</v>
      </c>
      <c r="E819" s="2">
        <v>23</v>
      </c>
      <c r="F819" s="3">
        <v>63856.768780878498</v>
      </c>
      <c r="G819" s="2" t="s">
        <v>20</v>
      </c>
      <c r="H819" s="2" t="s">
        <v>14</v>
      </c>
    </row>
    <row r="820" spans="1:8">
      <c r="A820" s="2">
        <v>819</v>
      </c>
      <c r="B820" s="2" t="s">
        <v>109</v>
      </c>
      <c r="C820" s="2" t="s">
        <v>133</v>
      </c>
      <c r="D820" s="2" t="s">
        <v>8</v>
      </c>
      <c r="E820" s="2">
        <v>50</v>
      </c>
      <c r="F820" s="3">
        <v>63858.915257111701</v>
      </c>
      <c r="G820" s="2" t="s">
        <v>9</v>
      </c>
      <c r="H820" s="2" t="s">
        <v>26</v>
      </c>
    </row>
    <row r="821" spans="1:8">
      <c r="A821" s="2">
        <v>820</v>
      </c>
      <c r="B821" s="2" t="s">
        <v>109</v>
      </c>
      <c r="C821" s="2" t="s">
        <v>135</v>
      </c>
      <c r="D821" s="2" t="s">
        <v>12</v>
      </c>
      <c r="E821" s="2">
        <v>38</v>
      </c>
      <c r="F821" s="3">
        <v>63861.061733344897</v>
      </c>
      <c r="G821" s="2" t="s">
        <v>25</v>
      </c>
      <c r="H821" s="2" t="s">
        <v>29</v>
      </c>
    </row>
    <row r="822" spans="1:8">
      <c r="A822" s="2">
        <v>821</v>
      </c>
      <c r="B822" s="2" t="s">
        <v>114</v>
      </c>
      <c r="C822" s="2" t="s">
        <v>131</v>
      </c>
      <c r="D822" s="2" t="s">
        <v>8</v>
      </c>
      <c r="E822" s="2">
        <v>15</v>
      </c>
      <c r="F822" s="3">
        <v>63863.208209578101</v>
      </c>
      <c r="G822" s="2" t="s">
        <v>9</v>
      </c>
      <c r="H822" s="2" t="s">
        <v>10</v>
      </c>
    </row>
    <row r="823" spans="1:8">
      <c r="A823" s="2">
        <v>822</v>
      </c>
      <c r="B823" s="2" t="s">
        <v>107</v>
      </c>
      <c r="C823" s="2" t="s">
        <v>131</v>
      </c>
      <c r="D823" s="2" t="s">
        <v>22</v>
      </c>
      <c r="E823" s="2">
        <v>11</v>
      </c>
      <c r="F823" s="3">
        <v>63865.354685811297</v>
      </c>
      <c r="G823" s="2" t="s">
        <v>17</v>
      </c>
      <c r="H823" s="2" t="s">
        <v>26</v>
      </c>
    </row>
    <row r="824" spans="1:8">
      <c r="A824" s="2">
        <v>823</v>
      </c>
      <c r="B824" s="2" t="s">
        <v>108</v>
      </c>
      <c r="C824" s="2" t="s">
        <v>129</v>
      </c>
      <c r="D824" s="2" t="s">
        <v>8</v>
      </c>
      <c r="E824" s="2">
        <v>7</v>
      </c>
      <c r="F824" s="3">
        <v>63867.501162044602</v>
      </c>
      <c r="G824" s="2" t="s">
        <v>25</v>
      </c>
      <c r="H824" s="2" t="s">
        <v>14</v>
      </c>
    </row>
    <row r="825" spans="1:8">
      <c r="A825" s="2">
        <v>824</v>
      </c>
      <c r="B825" s="2" t="s">
        <v>112</v>
      </c>
      <c r="C825" s="2" t="s">
        <v>130</v>
      </c>
      <c r="D825" s="2" t="s">
        <v>12</v>
      </c>
      <c r="E825" s="2">
        <v>16</v>
      </c>
      <c r="F825" s="3">
        <v>63869.647638277798</v>
      </c>
      <c r="G825" s="2" t="s">
        <v>13</v>
      </c>
      <c r="H825" s="2" t="s">
        <v>10</v>
      </c>
    </row>
    <row r="826" spans="1:8">
      <c r="A826" s="2">
        <v>825</v>
      </c>
      <c r="B826" s="2" t="s">
        <v>108</v>
      </c>
      <c r="C826" s="2" t="s">
        <v>135</v>
      </c>
      <c r="D826" s="2" t="s">
        <v>12</v>
      </c>
      <c r="E826" s="2">
        <v>43</v>
      </c>
      <c r="F826" s="3">
        <v>63871.794114511002</v>
      </c>
      <c r="G826" s="2" t="s">
        <v>9</v>
      </c>
      <c r="H826" s="2" t="s">
        <v>23</v>
      </c>
    </row>
    <row r="827" spans="1:8">
      <c r="A827" s="2">
        <v>826</v>
      </c>
      <c r="B827" s="2" t="s">
        <v>111</v>
      </c>
      <c r="C827" s="2" t="s">
        <v>132</v>
      </c>
      <c r="D827" s="2" t="s">
        <v>16</v>
      </c>
      <c r="E827" s="2">
        <v>16</v>
      </c>
      <c r="F827" s="3">
        <v>63873.940590744198</v>
      </c>
      <c r="G827" s="2" t="s">
        <v>9</v>
      </c>
      <c r="H827" s="2" t="s">
        <v>14</v>
      </c>
    </row>
    <row r="828" spans="1:8">
      <c r="A828" s="2">
        <v>827</v>
      </c>
      <c r="B828" s="2" t="s">
        <v>105</v>
      </c>
      <c r="C828" s="2" t="s">
        <v>130</v>
      </c>
      <c r="D828" s="2" t="s">
        <v>8</v>
      </c>
      <c r="E828" s="2">
        <v>18</v>
      </c>
      <c r="F828" s="3">
        <v>63876.087066977401</v>
      </c>
      <c r="G828" s="2" t="s">
        <v>25</v>
      </c>
      <c r="H828" s="2" t="s">
        <v>29</v>
      </c>
    </row>
    <row r="829" spans="1:8">
      <c r="A829" s="2">
        <v>828</v>
      </c>
      <c r="B829" s="2" t="s">
        <v>114</v>
      </c>
      <c r="C829" s="2" t="s">
        <v>134</v>
      </c>
      <c r="D829" s="2" t="s">
        <v>12</v>
      </c>
      <c r="E829" s="2">
        <v>35</v>
      </c>
      <c r="F829" s="3">
        <v>63878.233543210597</v>
      </c>
      <c r="G829" s="2" t="s">
        <v>25</v>
      </c>
      <c r="H829" s="2" t="s">
        <v>26</v>
      </c>
    </row>
    <row r="830" spans="1:8">
      <c r="A830" s="2">
        <v>829</v>
      </c>
      <c r="B830" s="2" t="s">
        <v>114</v>
      </c>
      <c r="C830" s="2" t="s">
        <v>135</v>
      </c>
      <c r="D830" s="2" t="s">
        <v>12</v>
      </c>
      <c r="E830" s="2">
        <v>48</v>
      </c>
      <c r="F830" s="3">
        <v>63880.380019443801</v>
      </c>
      <c r="G830" s="2" t="s">
        <v>32</v>
      </c>
      <c r="H830" s="2" t="s">
        <v>26</v>
      </c>
    </row>
    <row r="831" spans="1:8">
      <c r="A831" s="2">
        <v>830</v>
      </c>
      <c r="B831" s="2" t="s">
        <v>114</v>
      </c>
      <c r="C831" s="2" t="s">
        <v>134</v>
      </c>
      <c r="D831" s="2" t="s">
        <v>16</v>
      </c>
      <c r="E831" s="2">
        <v>4</v>
      </c>
      <c r="F831" s="3">
        <v>63882.526495676997</v>
      </c>
      <c r="G831" s="2" t="s">
        <v>32</v>
      </c>
      <c r="H831" s="2" t="s">
        <v>29</v>
      </c>
    </row>
    <row r="832" spans="1:8">
      <c r="A832" s="2">
        <v>831</v>
      </c>
      <c r="B832" s="2" t="s">
        <v>112</v>
      </c>
      <c r="C832" s="2" t="s">
        <v>130</v>
      </c>
      <c r="D832" s="2" t="s">
        <v>12</v>
      </c>
      <c r="E832" s="2">
        <v>49</v>
      </c>
      <c r="F832" s="3">
        <v>63884.6729719102</v>
      </c>
      <c r="G832" s="2" t="s">
        <v>38</v>
      </c>
      <c r="H832" s="2" t="s">
        <v>14</v>
      </c>
    </row>
    <row r="833" spans="1:8">
      <c r="A833" s="2">
        <v>832</v>
      </c>
      <c r="B833" s="2" t="s">
        <v>111</v>
      </c>
      <c r="C833" s="2" t="s">
        <v>133</v>
      </c>
      <c r="D833" s="2" t="s">
        <v>22</v>
      </c>
      <c r="E833" s="2">
        <v>15</v>
      </c>
      <c r="F833" s="3">
        <v>63886.819448143397</v>
      </c>
      <c r="G833" s="2" t="s">
        <v>13</v>
      </c>
      <c r="H833" s="2" t="s">
        <v>29</v>
      </c>
    </row>
    <row r="834" spans="1:8">
      <c r="A834" s="2">
        <v>833</v>
      </c>
      <c r="B834" s="2" t="s">
        <v>105</v>
      </c>
      <c r="C834" s="2" t="s">
        <v>133</v>
      </c>
      <c r="D834" s="2" t="s">
        <v>8</v>
      </c>
      <c r="E834" s="2">
        <v>37</v>
      </c>
      <c r="F834" s="3">
        <v>63888.965924376702</v>
      </c>
      <c r="G834" s="2" t="s">
        <v>38</v>
      </c>
      <c r="H834" s="2" t="s">
        <v>26</v>
      </c>
    </row>
    <row r="835" spans="1:8">
      <c r="A835" s="2">
        <v>834</v>
      </c>
      <c r="B835" s="2" t="s">
        <v>110</v>
      </c>
      <c r="C835" s="2" t="s">
        <v>132</v>
      </c>
      <c r="D835" s="2" t="s">
        <v>16</v>
      </c>
      <c r="E835" s="2">
        <v>25</v>
      </c>
      <c r="F835" s="3">
        <v>63891.112400609898</v>
      </c>
      <c r="G835" s="2" t="s">
        <v>28</v>
      </c>
      <c r="H835" s="2" t="s">
        <v>14</v>
      </c>
    </row>
    <row r="836" spans="1:8">
      <c r="A836" s="2">
        <v>835</v>
      </c>
      <c r="B836" s="2" t="s">
        <v>110</v>
      </c>
      <c r="C836" s="2" t="s">
        <v>132</v>
      </c>
      <c r="D836" s="2" t="s">
        <v>22</v>
      </c>
      <c r="E836" s="2">
        <v>23</v>
      </c>
      <c r="F836" s="3">
        <v>63893.258876843101</v>
      </c>
      <c r="G836" s="2" t="s">
        <v>13</v>
      </c>
      <c r="H836" s="2" t="s">
        <v>18</v>
      </c>
    </row>
    <row r="837" spans="1:8">
      <c r="A837" s="2">
        <v>836</v>
      </c>
      <c r="B837" s="2" t="s">
        <v>107</v>
      </c>
      <c r="C837" s="2" t="s">
        <v>132</v>
      </c>
      <c r="D837" s="2" t="s">
        <v>22</v>
      </c>
      <c r="E837" s="2">
        <v>12</v>
      </c>
      <c r="F837" s="3">
        <v>63895.405353076298</v>
      </c>
      <c r="G837" s="2" t="s">
        <v>32</v>
      </c>
      <c r="H837" s="2" t="s">
        <v>14</v>
      </c>
    </row>
    <row r="838" spans="1:8">
      <c r="A838" s="2">
        <v>837</v>
      </c>
      <c r="B838" s="2" t="s">
        <v>114</v>
      </c>
      <c r="C838" s="2" t="s">
        <v>134</v>
      </c>
      <c r="D838" s="2" t="s">
        <v>8</v>
      </c>
      <c r="E838" s="2">
        <v>12</v>
      </c>
      <c r="F838" s="3">
        <v>63897.551829309501</v>
      </c>
      <c r="G838" s="2" t="s">
        <v>32</v>
      </c>
      <c r="H838" s="2" t="s">
        <v>10</v>
      </c>
    </row>
    <row r="839" spans="1:8">
      <c r="A839" s="2">
        <v>838</v>
      </c>
      <c r="B839" s="2" t="s">
        <v>105</v>
      </c>
      <c r="C839" s="2" t="s">
        <v>129</v>
      </c>
      <c r="D839" s="2" t="s">
        <v>16</v>
      </c>
      <c r="E839" s="2">
        <v>16</v>
      </c>
      <c r="F839" s="3">
        <v>63899.698305542697</v>
      </c>
      <c r="G839" s="2" t="s">
        <v>32</v>
      </c>
      <c r="H839" s="2" t="s">
        <v>23</v>
      </c>
    </row>
    <row r="840" spans="1:8">
      <c r="A840" s="2">
        <v>839</v>
      </c>
      <c r="B840" s="2" t="s">
        <v>107</v>
      </c>
      <c r="C840" s="2" t="s">
        <v>129</v>
      </c>
      <c r="D840" s="2" t="s">
        <v>12</v>
      </c>
      <c r="E840" s="2">
        <v>38</v>
      </c>
      <c r="F840" s="3">
        <v>63901.844781775901</v>
      </c>
      <c r="G840" s="2" t="s">
        <v>20</v>
      </c>
      <c r="H840" s="2" t="s">
        <v>29</v>
      </c>
    </row>
    <row r="841" spans="1:8">
      <c r="A841" s="2">
        <v>840</v>
      </c>
      <c r="B841" s="2" t="s">
        <v>114</v>
      </c>
      <c r="C841" s="2" t="s">
        <v>129</v>
      </c>
      <c r="D841" s="2" t="s">
        <v>16</v>
      </c>
      <c r="E841" s="2">
        <v>21</v>
      </c>
      <c r="F841" s="3">
        <v>63903.991258009097</v>
      </c>
      <c r="G841" s="2" t="s">
        <v>25</v>
      </c>
      <c r="H841" s="2" t="s">
        <v>23</v>
      </c>
    </row>
    <row r="842" spans="1:8">
      <c r="A842" s="2">
        <v>841</v>
      </c>
      <c r="B842" s="2" t="s">
        <v>114</v>
      </c>
      <c r="C842" s="2" t="s">
        <v>133</v>
      </c>
      <c r="D842" s="2" t="s">
        <v>12</v>
      </c>
      <c r="E842" s="2">
        <v>48</v>
      </c>
      <c r="F842" s="3">
        <v>63906.1377342423</v>
      </c>
      <c r="G842" s="2" t="s">
        <v>9</v>
      </c>
      <c r="H842" s="2" t="s">
        <v>14</v>
      </c>
    </row>
    <row r="843" spans="1:8">
      <c r="A843" s="2">
        <v>842</v>
      </c>
      <c r="B843" s="2" t="s">
        <v>113</v>
      </c>
      <c r="C843" s="2" t="s">
        <v>133</v>
      </c>
      <c r="D843" s="2" t="s">
        <v>8</v>
      </c>
      <c r="E843" s="2">
        <v>45</v>
      </c>
      <c r="F843" s="3">
        <v>63908.284210475496</v>
      </c>
      <c r="G843" s="2" t="s">
        <v>9</v>
      </c>
      <c r="H843" s="2" t="s">
        <v>14</v>
      </c>
    </row>
    <row r="844" spans="1:8">
      <c r="A844" s="2">
        <v>843</v>
      </c>
      <c r="B844" s="2" t="s">
        <v>114</v>
      </c>
      <c r="C844" s="2" t="s">
        <v>131</v>
      </c>
      <c r="D844" s="2" t="s">
        <v>8</v>
      </c>
      <c r="E844" s="2">
        <v>23</v>
      </c>
      <c r="F844" s="3">
        <v>63910.430686708802</v>
      </c>
      <c r="G844" s="2" t="s">
        <v>17</v>
      </c>
      <c r="H844" s="2" t="s">
        <v>14</v>
      </c>
    </row>
    <row r="845" spans="1:8">
      <c r="A845" s="2">
        <v>844</v>
      </c>
      <c r="B845" s="2" t="s">
        <v>108</v>
      </c>
      <c r="C845" s="2" t="s">
        <v>129</v>
      </c>
      <c r="D845" s="2" t="s">
        <v>22</v>
      </c>
      <c r="E845" s="2">
        <v>38</v>
      </c>
      <c r="F845" s="3">
        <v>63912.577162941998</v>
      </c>
      <c r="G845" s="2" t="s">
        <v>9</v>
      </c>
      <c r="H845" s="2" t="s">
        <v>10</v>
      </c>
    </row>
    <row r="846" spans="1:8">
      <c r="A846" s="2">
        <v>845</v>
      </c>
      <c r="B846" s="2" t="s">
        <v>112</v>
      </c>
      <c r="C846" s="2" t="s">
        <v>130</v>
      </c>
      <c r="D846" s="2" t="s">
        <v>22</v>
      </c>
      <c r="E846" s="2">
        <v>2</v>
      </c>
      <c r="F846" s="3">
        <v>63914.723639175201</v>
      </c>
      <c r="G846" s="2" t="s">
        <v>32</v>
      </c>
      <c r="H846" s="2" t="s">
        <v>23</v>
      </c>
    </row>
    <row r="847" spans="1:8">
      <c r="A847" s="2">
        <v>846</v>
      </c>
      <c r="B847" s="2" t="s">
        <v>112</v>
      </c>
      <c r="C847" s="2" t="s">
        <v>132</v>
      </c>
      <c r="D847" s="2" t="s">
        <v>22</v>
      </c>
      <c r="E847" s="2">
        <v>46</v>
      </c>
      <c r="F847" s="3">
        <v>63916.870115408397</v>
      </c>
      <c r="G847" s="2" t="s">
        <v>13</v>
      </c>
      <c r="H847" s="2" t="s">
        <v>23</v>
      </c>
    </row>
    <row r="848" spans="1:8">
      <c r="A848" s="2">
        <v>847</v>
      </c>
      <c r="B848" s="2" t="s">
        <v>107</v>
      </c>
      <c r="C848" s="2" t="s">
        <v>135</v>
      </c>
      <c r="D848" s="2" t="s">
        <v>8</v>
      </c>
      <c r="E848" s="2">
        <v>45</v>
      </c>
      <c r="F848" s="3">
        <v>63919.016591641601</v>
      </c>
      <c r="G848" s="2" t="s">
        <v>13</v>
      </c>
      <c r="H848" s="2" t="s">
        <v>29</v>
      </c>
    </row>
    <row r="849" spans="1:8">
      <c r="A849" s="2">
        <v>848</v>
      </c>
      <c r="B849" s="2" t="s">
        <v>108</v>
      </c>
      <c r="C849" s="2" t="s">
        <v>131</v>
      </c>
      <c r="D849" s="2" t="s">
        <v>12</v>
      </c>
      <c r="E849" s="2">
        <v>23</v>
      </c>
      <c r="F849" s="3">
        <v>63921.163067874797</v>
      </c>
      <c r="G849" s="2" t="s">
        <v>38</v>
      </c>
      <c r="H849" s="2" t="s">
        <v>14</v>
      </c>
    </row>
    <row r="850" spans="1:8">
      <c r="A850" s="2">
        <v>849</v>
      </c>
      <c r="B850" s="2" t="s">
        <v>109</v>
      </c>
      <c r="C850" s="2" t="s">
        <v>130</v>
      </c>
      <c r="D850" s="2" t="s">
        <v>8</v>
      </c>
      <c r="E850" s="2">
        <v>37</v>
      </c>
      <c r="F850" s="3">
        <v>63923.309544108</v>
      </c>
      <c r="G850" s="2" t="s">
        <v>13</v>
      </c>
      <c r="H850" s="2" t="s">
        <v>29</v>
      </c>
    </row>
    <row r="851" spans="1:8">
      <c r="A851" s="2">
        <v>850</v>
      </c>
      <c r="B851" s="2" t="s">
        <v>112</v>
      </c>
      <c r="C851" s="2" t="s">
        <v>130</v>
      </c>
      <c r="D851" s="2" t="s">
        <v>8</v>
      </c>
      <c r="E851" s="2">
        <v>37</v>
      </c>
      <c r="F851" s="3">
        <v>63925.456020341197</v>
      </c>
      <c r="G851" s="2" t="s">
        <v>17</v>
      </c>
      <c r="H851" s="2" t="s">
        <v>10</v>
      </c>
    </row>
    <row r="852" spans="1:8">
      <c r="A852" s="2">
        <v>851</v>
      </c>
      <c r="B852" s="2" t="s">
        <v>109</v>
      </c>
      <c r="C852" s="2" t="s">
        <v>129</v>
      </c>
      <c r="D852" s="2" t="s">
        <v>22</v>
      </c>
      <c r="E852" s="2">
        <v>10</v>
      </c>
      <c r="F852" s="3">
        <v>63927.6024965744</v>
      </c>
      <c r="G852" s="2" t="s">
        <v>13</v>
      </c>
      <c r="H852" s="2" t="s">
        <v>18</v>
      </c>
    </row>
    <row r="853" spans="1:8">
      <c r="A853" s="2">
        <v>852</v>
      </c>
      <c r="B853" s="2" t="s">
        <v>111</v>
      </c>
      <c r="C853" s="2" t="s">
        <v>135</v>
      </c>
      <c r="D853" s="2" t="s">
        <v>16</v>
      </c>
      <c r="E853" s="2">
        <v>37</v>
      </c>
      <c r="F853" s="3">
        <v>63929.748972807603</v>
      </c>
      <c r="G853" s="2" t="s">
        <v>38</v>
      </c>
      <c r="H853" s="2" t="s">
        <v>26</v>
      </c>
    </row>
    <row r="854" spans="1:8">
      <c r="A854" s="2">
        <v>853</v>
      </c>
      <c r="B854" s="2" t="s">
        <v>108</v>
      </c>
      <c r="C854" s="2" t="s">
        <v>129</v>
      </c>
      <c r="D854" s="2" t="s">
        <v>22</v>
      </c>
      <c r="E854" s="2">
        <v>13</v>
      </c>
      <c r="F854" s="3">
        <v>63931.895449040901</v>
      </c>
      <c r="G854" s="2" t="s">
        <v>20</v>
      </c>
      <c r="H854" s="2" t="s">
        <v>26</v>
      </c>
    </row>
    <row r="855" spans="1:8">
      <c r="A855" s="2">
        <v>854</v>
      </c>
      <c r="B855" s="2" t="s">
        <v>109</v>
      </c>
      <c r="C855" s="2" t="s">
        <v>135</v>
      </c>
      <c r="D855" s="2" t="s">
        <v>16</v>
      </c>
      <c r="E855" s="2">
        <v>32</v>
      </c>
      <c r="F855" s="3">
        <v>63934.041925274098</v>
      </c>
      <c r="G855" s="2" t="s">
        <v>9</v>
      </c>
      <c r="H855" s="2" t="s">
        <v>10</v>
      </c>
    </row>
    <row r="856" spans="1:8">
      <c r="A856" s="2">
        <v>855</v>
      </c>
      <c r="B856" s="2" t="s">
        <v>113</v>
      </c>
      <c r="C856" s="2" t="s">
        <v>132</v>
      </c>
      <c r="D856" s="2" t="s">
        <v>12</v>
      </c>
      <c r="E856" s="2">
        <v>35</v>
      </c>
      <c r="F856" s="3">
        <v>63936.188401507301</v>
      </c>
      <c r="G856" s="2" t="s">
        <v>9</v>
      </c>
      <c r="H856" s="2" t="s">
        <v>18</v>
      </c>
    </row>
    <row r="857" spans="1:8">
      <c r="A857" s="2">
        <v>856</v>
      </c>
      <c r="B857" s="2" t="s">
        <v>105</v>
      </c>
      <c r="C857" s="2" t="s">
        <v>130</v>
      </c>
      <c r="D857" s="2" t="s">
        <v>12</v>
      </c>
      <c r="E857" s="2">
        <v>20</v>
      </c>
      <c r="F857" s="3">
        <v>63938.334877740497</v>
      </c>
      <c r="G857" s="2" t="s">
        <v>38</v>
      </c>
      <c r="H857" s="2" t="s">
        <v>14</v>
      </c>
    </row>
    <row r="858" spans="1:8">
      <c r="A858" s="2">
        <v>857</v>
      </c>
      <c r="B858" s="2" t="s">
        <v>110</v>
      </c>
      <c r="C858" s="2" t="s">
        <v>133</v>
      </c>
      <c r="D858" s="2" t="s">
        <v>12</v>
      </c>
      <c r="E858" s="2">
        <v>12</v>
      </c>
      <c r="F858" s="3">
        <v>63940.481353973701</v>
      </c>
      <c r="G858" s="2" t="s">
        <v>32</v>
      </c>
      <c r="H858" s="2" t="s">
        <v>26</v>
      </c>
    </row>
    <row r="859" spans="1:8">
      <c r="A859" s="2">
        <v>858</v>
      </c>
      <c r="B859" s="2" t="s">
        <v>114</v>
      </c>
      <c r="C859" s="2" t="s">
        <v>129</v>
      </c>
      <c r="D859" s="2" t="s">
        <v>22</v>
      </c>
      <c r="E859" s="2">
        <v>32</v>
      </c>
      <c r="F859" s="3">
        <v>63942.627830206897</v>
      </c>
      <c r="G859" s="2" t="s">
        <v>13</v>
      </c>
      <c r="H859" s="2" t="s">
        <v>23</v>
      </c>
    </row>
    <row r="860" spans="1:8">
      <c r="A860" s="2">
        <v>859</v>
      </c>
      <c r="B860" s="2" t="s">
        <v>110</v>
      </c>
      <c r="C860" s="2" t="s">
        <v>129</v>
      </c>
      <c r="D860" s="2" t="s">
        <v>22</v>
      </c>
      <c r="E860" s="2">
        <v>3</v>
      </c>
      <c r="F860" s="3">
        <v>63944.7743064401</v>
      </c>
      <c r="G860" s="2" t="s">
        <v>38</v>
      </c>
      <c r="H860" s="2" t="s">
        <v>23</v>
      </c>
    </row>
    <row r="861" spans="1:8">
      <c r="A861" s="2">
        <v>860</v>
      </c>
      <c r="B861" s="2" t="s">
        <v>107</v>
      </c>
      <c r="C861" s="2" t="s">
        <v>130</v>
      </c>
      <c r="D861" s="2" t="s">
        <v>22</v>
      </c>
      <c r="E861" s="2">
        <v>6</v>
      </c>
      <c r="F861" s="3">
        <v>63946.920782673304</v>
      </c>
      <c r="G861" s="2" t="s">
        <v>13</v>
      </c>
      <c r="H861" s="2" t="s">
        <v>29</v>
      </c>
    </row>
    <row r="862" spans="1:8">
      <c r="A862" s="2">
        <v>861</v>
      </c>
      <c r="B862" s="2" t="s">
        <v>113</v>
      </c>
      <c r="C862" s="2" t="s">
        <v>131</v>
      </c>
      <c r="D862" s="2" t="s">
        <v>8</v>
      </c>
      <c r="E862" s="2">
        <v>4</v>
      </c>
      <c r="F862" s="3">
        <v>63949.0672589065</v>
      </c>
      <c r="G862" s="2" t="s">
        <v>38</v>
      </c>
      <c r="H862" s="2" t="s">
        <v>18</v>
      </c>
    </row>
    <row r="863" spans="1:8">
      <c r="A863" s="2">
        <v>862</v>
      </c>
      <c r="B863" s="2" t="s">
        <v>112</v>
      </c>
      <c r="C863" s="2" t="s">
        <v>130</v>
      </c>
      <c r="D863" s="2" t="s">
        <v>22</v>
      </c>
      <c r="E863" s="2">
        <v>15</v>
      </c>
      <c r="F863" s="3">
        <v>63951.213735139703</v>
      </c>
      <c r="G863" s="2" t="s">
        <v>32</v>
      </c>
      <c r="H863" s="2" t="s">
        <v>29</v>
      </c>
    </row>
    <row r="864" spans="1:8">
      <c r="A864" s="2">
        <v>863</v>
      </c>
      <c r="B864" s="2" t="s">
        <v>107</v>
      </c>
      <c r="C864" s="2" t="s">
        <v>132</v>
      </c>
      <c r="D864" s="2" t="s">
        <v>8</v>
      </c>
      <c r="E864" s="2">
        <v>39</v>
      </c>
      <c r="F864" s="3">
        <v>63953.360211373001</v>
      </c>
      <c r="G864" s="2" t="s">
        <v>28</v>
      </c>
      <c r="H864" s="2" t="s">
        <v>14</v>
      </c>
    </row>
    <row r="865" spans="1:8">
      <c r="A865" s="2">
        <v>864</v>
      </c>
      <c r="B865" s="2" t="s">
        <v>107</v>
      </c>
      <c r="C865" s="2" t="s">
        <v>131</v>
      </c>
      <c r="D865" s="2" t="s">
        <v>12</v>
      </c>
      <c r="E865" s="2">
        <v>15</v>
      </c>
      <c r="F865" s="3">
        <v>63955.506687606197</v>
      </c>
      <c r="G865" s="2" t="s">
        <v>9</v>
      </c>
      <c r="H865" s="2" t="s">
        <v>23</v>
      </c>
    </row>
    <row r="866" spans="1:8">
      <c r="A866" s="2">
        <v>865</v>
      </c>
      <c r="B866" s="2" t="s">
        <v>110</v>
      </c>
      <c r="C866" s="2" t="s">
        <v>134</v>
      </c>
      <c r="D866" s="2" t="s">
        <v>22</v>
      </c>
      <c r="E866" s="2">
        <v>2</v>
      </c>
      <c r="F866" s="3">
        <v>63957.653163839401</v>
      </c>
      <c r="G866" s="2" t="s">
        <v>13</v>
      </c>
      <c r="H866" s="2" t="s">
        <v>29</v>
      </c>
    </row>
    <row r="867" spans="1:8">
      <c r="A867" s="2">
        <v>866</v>
      </c>
      <c r="B867" s="2" t="s">
        <v>108</v>
      </c>
      <c r="C867" s="2" t="s">
        <v>129</v>
      </c>
      <c r="D867" s="2" t="s">
        <v>8</v>
      </c>
      <c r="E867" s="2">
        <v>34</v>
      </c>
      <c r="F867" s="3">
        <v>63959.799640072597</v>
      </c>
      <c r="G867" s="2" t="s">
        <v>28</v>
      </c>
      <c r="H867" s="2" t="s">
        <v>18</v>
      </c>
    </row>
    <row r="868" spans="1:8">
      <c r="A868" s="2">
        <v>867</v>
      </c>
      <c r="B868" s="2" t="s">
        <v>112</v>
      </c>
      <c r="C868" s="2" t="s">
        <v>135</v>
      </c>
      <c r="D868" s="2" t="s">
        <v>12</v>
      </c>
      <c r="E868" s="2">
        <v>31</v>
      </c>
      <c r="F868" s="3">
        <v>63961.9461163058</v>
      </c>
      <c r="G868" s="2" t="s">
        <v>28</v>
      </c>
      <c r="H868" s="2" t="s">
        <v>14</v>
      </c>
    </row>
    <row r="869" spans="1:8">
      <c r="A869" s="2">
        <v>868</v>
      </c>
      <c r="B869" s="2" t="s">
        <v>107</v>
      </c>
      <c r="C869" s="2" t="s">
        <v>132</v>
      </c>
      <c r="D869" s="2" t="s">
        <v>12</v>
      </c>
      <c r="E869" s="2">
        <v>1</v>
      </c>
      <c r="F869" s="3">
        <v>63964.092592538997</v>
      </c>
      <c r="G869" s="2" t="s">
        <v>9</v>
      </c>
      <c r="H869" s="2" t="s">
        <v>14</v>
      </c>
    </row>
    <row r="870" spans="1:8">
      <c r="A870" s="2">
        <v>869</v>
      </c>
      <c r="B870" s="2" t="s">
        <v>114</v>
      </c>
      <c r="C870" s="2" t="s">
        <v>130</v>
      </c>
      <c r="D870" s="2" t="s">
        <v>22</v>
      </c>
      <c r="E870" s="2">
        <v>22</v>
      </c>
      <c r="F870" s="3">
        <v>63966.2390687722</v>
      </c>
      <c r="G870" s="2" t="s">
        <v>25</v>
      </c>
      <c r="H870" s="2" t="s">
        <v>18</v>
      </c>
    </row>
    <row r="871" spans="1:8">
      <c r="A871" s="2">
        <v>870</v>
      </c>
      <c r="B871" s="2" t="s">
        <v>112</v>
      </c>
      <c r="C871" s="2" t="s">
        <v>134</v>
      </c>
      <c r="D871" s="2" t="s">
        <v>16</v>
      </c>
      <c r="E871" s="2">
        <v>40</v>
      </c>
      <c r="F871" s="3">
        <v>63968.385545005403</v>
      </c>
      <c r="G871" s="2" t="s">
        <v>13</v>
      </c>
      <c r="H871" s="2" t="s">
        <v>29</v>
      </c>
    </row>
    <row r="872" spans="1:8">
      <c r="A872" s="2">
        <v>871</v>
      </c>
      <c r="B872" s="2" t="s">
        <v>105</v>
      </c>
      <c r="C872" s="2" t="s">
        <v>129</v>
      </c>
      <c r="D872" s="2" t="s">
        <v>16</v>
      </c>
      <c r="E872" s="2">
        <v>13</v>
      </c>
      <c r="F872" s="3">
        <v>63970.5320212386</v>
      </c>
      <c r="G872" s="2" t="s">
        <v>28</v>
      </c>
      <c r="H872" s="2" t="s">
        <v>10</v>
      </c>
    </row>
    <row r="873" spans="1:8">
      <c r="A873" s="2">
        <v>872</v>
      </c>
      <c r="B873" s="2" t="s">
        <v>108</v>
      </c>
      <c r="C873" s="2" t="s">
        <v>129</v>
      </c>
      <c r="D873" s="2" t="s">
        <v>12</v>
      </c>
      <c r="E873" s="2">
        <v>9</v>
      </c>
      <c r="F873" s="3">
        <v>63972.678497471803</v>
      </c>
      <c r="G873" s="2" t="s">
        <v>38</v>
      </c>
      <c r="H873" s="2" t="s">
        <v>29</v>
      </c>
    </row>
    <row r="874" spans="1:8">
      <c r="A874" s="2">
        <v>873</v>
      </c>
      <c r="B874" s="2" t="s">
        <v>111</v>
      </c>
      <c r="C874" s="2" t="s">
        <v>130</v>
      </c>
      <c r="D874" s="2" t="s">
        <v>16</v>
      </c>
      <c r="E874" s="2">
        <v>22</v>
      </c>
      <c r="F874" s="3">
        <v>63974.824973705101</v>
      </c>
      <c r="G874" s="2" t="s">
        <v>25</v>
      </c>
      <c r="H874" s="2" t="s">
        <v>26</v>
      </c>
    </row>
    <row r="875" spans="1:8">
      <c r="A875" s="2">
        <v>874</v>
      </c>
      <c r="B875" s="2" t="s">
        <v>112</v>
      </c>
      <c r="C875" s="2" t="s">
        <v>130</v>
      </c>
      <c r="D875" s="2" t="s">
        <v>16</v>
      </c>
      <c r="E875" s="2">
        <v>46</v>
      </c>
      <c r="F875" s="3">
        <v>63976.971449938297</v>
      </c>
      <c r="G875" s="2" t="s">
        <v>9</v>
      </c>
      <c r="H875" s="2" t="s">
        <v>18</v>
      </c>
    </row>
    <row r="876" spans="1:8">
      <c r="A876" s="2">
        <v>875</v>
      </c>
      <c r="B876" s="2" t="s">
        <v>109</v>
      </c>
      <c r="C876" s="2" t="s">
        <v>130</v>
      </c>
      <c r="D876" s="2" t="s">
        <v>8</v>
      </c>
      <c r="E876" s="2">
        <v>12</v>
      </c>
      <c r="F876" s="3">
        <v>63979.117926171501</v>
      </c>
      <c r="G876" s="2" t="s">
        <v>9</v>
      </c>
      <c r="H876" s="2" t="s">
        <v>23</v>
      </c>
    </row>
    <row r="877" spans="1:8">
      <c r="A877" s="2">
        <v>876</v>
      </c>
      <c r="B877" s="2" t="s">
        <v>107</v>
      </c>
      <c r="C877" s="2" t="s">
        <v>133</v>
      </c>
      <c r="D877" s="2" t="s">
        <v>8</v>
      </c>
      <c r="E877" s="2">
        <v>21</v>
      </c>
      <c r="F877" s="3">
        <v>63981.264402404697</v>
      </c>
      <c r="G877" s="2" t="s">
        <v>20</v>
      </c>
      <c r="H877" s="2" t="s">
        <v>29</v>
      </c>
    </row>
    <row r="878" spans="1:8">
      <c r="A878" s="2">
        <v>877</v>
      </c>
      <c r="B878" s="2" t="s">
        <v>109</v>
      </c>
      <c r="C878" s="2" t="s">
        <v>134</v>
      </c>
      <c r="D878" s="2" t="s">
        <v>8</v>
      </c>
      <c r="E878" s="2">
        <v>4</v>
      </c>
      <c r="F878" s="3">
        <v>63983.4108786379</v>
      </c>
      <c r="G878" s="2" t="s">
        <v>20</v>
      </c>
      <c r="H878" s="2" t="s">
        <v>10</v>
      </c>
    </row>
    <row r="879" spans="1:8">
      <c r="A879" s="2">
        <v>878</v>
      </c>
      <c r="B879" s="2" t="s">
        <v>108</v>
      </c>
      <c r="C879" s="2" t="s">
        <v>132</v>
      </c>
      <c r="D879" s="2" t="s">
        <v>12</v>
      </c>
      <c r="E879" s="2">
        <v>2</v>
      </c>
      <c r="F879" s="3">
        <v>63985.557354871104</v>
      </c>
      <c r="G879" s="2" t="s">
        <v>25</v>
      </c>
      <c r="H879" s="2" t="s">
        <v>29</v>
      </c>
    </row>
    <row r="880" spans="1:8">
      <c r="A880" s="2">
        <v>879</v>
      </c>
      <c r="B880" s="2" t="s">
        <v>113</v>
      </c>
      <c r="C880" s="2" t="s">
        <v>130</v>
      </c>
      <c r="D880" s="2" t="s">
        <v>16</v>
      </c>
      <c r="E880" s="2">
        <v>10</v>
      </c>
      <c r="F880" s="3">
        <v>63987.7038311043</v>
      </c>
      <c r="G880" s="2" t="s">
        <v>25</v>
      </c>
      <c r="H880" s="2" t="s">
        <v>23</v>
      </c>
    </row>
    <row r="881" spans="1:8">
      <c r="A881" s="2">
        <v>880</v>
      </c>
      <c r="B881" s="2" t="s">
        <v>109</v>
      </c>
      <c r="C881" s="2" t="s">
        <v>135</v>
      </c>
      <c r="D881" s="2" t="s">
        <v>22</v>
      </c>
      <c r="E881" s="2">
        <v>38</v>
      </c>
      <c r="F881" s="3">
        <v>63989.850307337503</v>
      </c>
      <c r="G881" s="2" t="s">
        <v>13</v>
      </c>
      <c r="H881" s="2" t="s">
        <v>14</v>
      </c>
    </row>
    <row r="882" spans="1:8">
      <c r="A882" s="2">
        <v>881</v>
      </c>
      <c r="B882" s="2" t="s">
        <v>107</v>
      </c>
      <c r="C882" s="2" t="s">
        <v>129</v>
      </c>
      <c r="D882" s="2" t="s">
        <v>16</v>
      </c>
      <c r="E882" s="2">
        <v>46</v>
      </c>
      <c r="F882" s="3">
        <v>63991.996783570699</v>
      </c>
      <c r="G882" s="2" t="s">
        <v>13</v>
      </c>
      <c r="H882" s="2" t="s">
        <v>29</v>
      </c>
    </row>
    <row r="883" spans="1:8">
      <c r="A883" s="2">
        <v>882</v>
      </c>
      <c r="B883" s="2" t="s">
        <v>114</v>
      </c>
      <c r="C883" s="2" t="s">
        <v>132</v>
      </c>
      <c r="D883" s="2" t="s">
        <v>12</v>
      </c>
      <c r="E883" s="2">
        <v>10</v>
      </c>
      <c r="F883" s="3">
        <v>63994.143259803903</v>
      </c>
      <c r="G883" s="2" t="s">
        <v>17</v>
      </c>
      <c r="H883" s="2" t="s">
        <v>14</v>
      </c>
    </row>
    <row r="884" spans="1:8">
      <c r="A884" s="2">
        <v>883</v>
      </c>
      <c r="B884" s="2" t="s">
        <v>114</v>
      </c>
      <c r="C884" s="2" t="s">
        <v>133</v>
      </c>
      <c r="D884" s="2" t="s">
        <v>8</v>
      </c>
      <c r="E884" s="2">
        <v>50</v>
      </c>
      <c r="F884" s="3">
        <v>63996.289736037099</v>
      </c>
      <c r="G884" s="2" t="s">
        <v>9</v>
      </c>
      <c r="H884" s="2" t="s">
        <v>26</v>
      </c>
    </row>
    <row r="885" spans="1:8">
      <c r="A885" s="2">
        <v>884</v>
      </c>
      <c r="B885" s="2" t="s">
        <v>107</v>
      </c>
      <c r="C885" s="2" t="s">
        <v>130</v>
      </c>
      <c r="D885" s="2" t="s">
        <v>12</v>
      </c>
      <c r="E885" s="2">
        <v>8</v>
      </c>
      <c r="F885" s="3">
        <v>63998.436212270302</v>
      </c>
      <c r="G885" s="2" t="s">
        <v>38</v>
      </c>
      <c r="H885" s="2" t="s">
        <v>23</v>
      </c>
    </row>
    <row r="886" spans="1:8">
      <c r="A886" s="2">
        <v>885</v>
      </c>
      <c r="B886" s="2" t="s">
        <v>110</v>
      </c>
      <c r="C886" s="2" t="s">
        <v>131</v>
      </c>
      <c r="D886" s="2" t="s">
        <v>8</v>
      </c>
      <c r="E886" s="2">
        <v>34</v>
      </c>
      <c r="F886" s="3">
        <v>64000.5826885036</v>
      </c>
      <c r="G886" s="2" t="s">
        <v>25</v>
      </c>
      <c r="H886" s="2" t="s">
        <v>10</v>
      </c>
    </row>
    <row r="887" spans="1:8">
      <c r="A887" s="2">
        <v>886</v>
      </c>
      <c r="B887" s="2" t="s">
        <v>108</v>
      </c>
      <c r="C887" s="2" t="s">
        <v>129</v>
      </c>
      <c r="D887" s="2" t="s">
        <v>12</v>
      </c>
      <c r="E887" s="2">
        <v>24</v>
      </c>
      <c r="F887" s="3">
        <v>64002.729164736797</v>
      </c>
      <c r="G887" s="2" t="s">
        <v>9</v>
      </c>
      <c r="H887" s="2" t="s">
        <v>29</v>
      </c>
    </row>
    <row r="888" spans="1:8">
      <c r="A888" s="2">
        <v>887</v>
      </c>
      <c r="B888" s="2" t="s">
        <v>110</v>
      </c>
      <c r="C888" s="2" t="s">
        <v>131</v>
      </c>
      <c r="D888" s="2" t="s">
        <v>22</v>
      </c>
      <c r="E888" s="2">
        <v>5</v>
      </c>
      <c r="F888" s="3">
        <v>64004.87564097</v>
      </c>
      <c r="G888" s="2" t="s">
        <v>32</v>
      </c>
      <c r="H888" s="2" t="s">
        <v>14</v>
      </c>
    </row>
    <row r="889" spans="1:8">
      <c r="A889" s="2">
        <v>888</v>
      </c>
      <c r="B889" s="2" t="s">
        <v>107</v>
      </c>
      <c r="C889" s="2" t="s">
        <v>134</v>
      </c>
      <c r="D889" s="2" t="s">
        <v>8</v>
      </c>
      <c r="E889" s="2">
        <v>24</v>
      </c>
      <c r="F889" s="3">
        <v>64007.022117203203</v>
      </c>
      <c r="G889" s="2" t="s">
        <v>9</v>
      </c>
      <c r="H889" s="2" t="s">
        <v>10</v>
      </c>
    </row>
    <row r="890" spans="1:8">
      <c r="A890" s="2">
        <v>889</v>
      </c>
      <c r="B890" s="2" t="s">
        <v>105</v>
      </c>
      <c r="C890" s="2" t="s">
        <v>130</v>
      </c>
      <c r="D890" s="2" t="s">
        <v>8</v>
      </c>
      <c r="E890" s="2">
        <v>46</v>
      </c>
      <c r="F890" s="3">
        <v>64009.1685934364</v>
      </c>
      <c r="G890" s="2" t="s">
        <v>20</v>
      </c>
      <c r="H890" s="2" t="s">
        <v>14</v>
      </c>
    </row>
    <row r="891" spans="1:8">
      <c r="A891" s="2">
        <v>890</v>
      </c>
      <c r="B891" s="2" t="s">
        <v>107</v>
      </c>
      <c r="C891" s="2" t="s">
        <v>130</v>
      </c>
      <c r="D891" s="2" t="s">
        <v>16</v>
      </c>
      <c r="E891" s="2">
        <v>43</v>
      </c>
      <c r="F891" s="3">
        <v>64011.315069669603</v>
      </c>
      <c r="G891" s="2" t="s">
        <v>28</v>
      </c>
      <c r="H891" s="2" t="s">
        <v>14</v>
      </c>
    </row>
    <row r="892" spans="1:8">
      <c r="A892" s="2">
        <v>891</v>
      </c>
      <c r="B892" s="2" t="s">
        <v>111</v>
      </c>
      <c r="C892" s="2" t="s">
        <v>131</v>
      </c>
      <c r="D892" s="2" t="s">
        <v>12</v>
      </c>
      <c r="E892" s="2">
        <v>26</v>
      </c>
      <c r="F892" s="3">
        <v>64013.461545902799</v>
      </c>
      <c r="G892" s="2" t="s">
        <v>17</v>
      </c>
      <c r="H892" s="2" t="s">
        <v>14</v>
      </c>
    </row>
    <row r="893" spans="1:8">
      <c r="A893" s="2">
        <v>892</v>
      </c>
      <c r="B893" s="2" t="s">
        <v>111</v>
      </c>
      <c r="C893" s="2" t="s">
        <v>130</v>
      </c>
      <c r="D893" s="2" t="s">
        <v>16</v>
      </c>
      <c r="E893" s="2">
        <v>38</v>
      </c>
      <c r="F893" s="3">
        <v>64015.608022136003</v>
      </c>
      <c r="G893" s="2" t="s">
        <v>25</v>
      </c>
      <c r="H893" s="2" t="s">
        <v>29</v>
      </c>
    </row>
    <row r="894" spans="1:8">
      <c r="A894" s="2">
        <v>893</v>
      </c>
      <c r="B894" s="2" t="s">
        <v>110</v>
      </c>
      <c r="C894" s="2" t="s">
        <v>130</v>
      </c>
      <c r="D894" s="2" t="s">
        <v>12</v>
      </c>
      <c r="E894" s="2">
        <v>7</v>
      </c>
      <c r="F894" s="3">
        <v>64017.754498369199</v>
      </c>
      <c r="G894" s="2" t="s">
        <v>20</v>
      </c>
      <c r="H894" s="2" t="s">
        <v>14</v>
      </c>
    </row>
    <row r="895" spans="1:8">
      <c r="A895" s="2">
        <v>894</v>
      </c>
      <c r="B895" s="2" t="s">
        <v>110</v>
      </c>
      <c r="C895" s="2" t="s">
        <v>132</v>
      </c>
      <c r="D895" s="2" t="s">
        <v>22</v>
      </c>
      <c r="E895" s="2">
        <v>22</v>
      </c>
      <c r="F895" s="3">
        <v>64019.900974602497</v>
      </c>
      <c r="G895" s="2" t="s">
        <v>20</v>
      </c>
      <c r="H895" s="2" t="s">
        <v>26</v>
      </c>
    </row>
    <row r="896" spans="1:8">
      <c r="A896" s="2">
        <v>895</v>
      </c>
      <c r="B896" s="2" t="s">
        <v>108</v>
      </c>
      <c r="C896" s="2" t="s">
        <v>135</v>
      </c>
      <c r="D896" s="2" t="s">
        <v>16</v>
      </c>
      <c r="E896" s="2">
        <v>20</v>
      </c>
      <c r="F896" s="3">
        <v>64022.0474508357</v>
      </c>
      <c r="G896" s="2" t="s">
        <v>20</v>
      </c>
      <c r="H896" s="2" t="s">
        <v>26</v>
      </c>
    </row>
    <row r="897" spans="1:8">
      <c r="A897" s="2">
        <v>896</v>
      </c>
      <c r="B897" s="2" t="s">
        <v>114</v>
      </c>
      <c r="C897" s="2" t="s">
        <v>130</v>
      </c>
      <c r="D897" s="2" t="s">
        <v>8</v>
      </c>
      <c r="E897" s="2">
        <v>21</v>
      </c>
      <c r="F897" s="3">
        <v>64024.193927068904</v>
      </c>
      <c r="G897" s="2" t="s">
        <v>9</v>
      </c>
      <c r="H897" s="2" t="s">
        <v>23</v>
      </c>
    </row>
    <row r="898" spans="1:8">
      <c r="A898" s="2">
        <v>897</v>
      </c>
      <c r="B898" s="2" t="s">
        <v>113</v>
      </c>
      <c r="C898" s="2" t="s">
        <v>130</v>
      </c>
      <c r="D898" s="2" t="s">
        <v>22</v>
      </c>
      <c r="E898" s="2">
        <v>9</v>
      </c>
      <c r="F898" s="3">
        <v>64026.3404033021</v>
      </c>
      <c r="G898" s="2" t="s">
        <v>17</v>
      </c>
      <c r="H898" s="2" t="s">
        <v>18</v>
      </c>
    </row>
    <row r="899" spans="1:8">
      <c r="A899" s="2">
        <v>898</v>
      </c>
      <c r="B899" s="2" t="s">
        <v>105</v>
      </c>
      <c r="C899" s="2" t="s">
        <v>133</v>
      </c>
      <c r="D899" s="2" t="s">
        <v>12</v>
      </c>
      <c r="E899" s="2">
        <v>11</v>
      </c>
      <c r="F899" s="3">
        <v>64028.486879535303</v>
      </c>
      <c r="G899" s="2" t="s">
        <v>20</v>
      </c>
      <c r="H899" s="2" t="s">
        <v>10</v>
      </c>
    </row>
    <row r="900" spans="1:8">
      <c r="A900" s="2">
        <v>899</v>
      </c>
      <c r="B900" s="2" t="s">
        <v>106</v>
      </c>
      <c r="C900" s="2" t="s">
        <v>132</v>
      </c>
      <c r="D900" s="2" t="s">
        <v>8</v>
      </c>
      <c r="E900" s="2">
        <v>47</v>
      </c>
      <c r="F900" s="3">
        <v>64030.633355768499</v>
      </c>
      <c r="G900" s="2" t="s">
        <v>13</v>
      </c>
      <c r="H900" s="2" t="s">
        <v>26</v>
      </c>
    </row>
    <row r="901" spans="1:8">
      <c r="A901" s="2">
        <v>900</v>
      </c>
      <c r="B901" s="2" t="s">
        <v>114</v>
      </c>
      <c r="C901" s="2" t="s">
        <v>129</v>
      </c>
      <c r="D901" s="2" t="s">
        <v>12</v>
      </c>
      <c r="E901" s="2">
        <v>28</v>
      </c>
      <c r="F901" s="3">
        <v>64032.779832001703</v>
      </c>
      <c r="G901" s="2" t="s">
        <v>25</v>
      </c>
      <c r="H901" s="2" t="s">
        <v>10</v>
      </c>
    </row>
    <row r="902" spans="1:8">
      <c r="A902" s="2">
        <v>901</v>
      </c>
      <c r="B902" s="2" t="s">
        <v>107</v>
      </c>
      <c r="C902" s="2" t="s">
        <v>135</v>
      </c>
      <c r="D902" s="2" t="s">
        <v>8</v>
      </c>
      <c r="E902" s="2">
        <v>41</v>
      </c>
      <c r="F902" s="3">
        <v>64034.926308234899</v>
      </c>
      <c r="G902" s="2" t="s">
        <v>13</v>
      </c>
      <c r="H902" s="2" t="s">
        <v>26</v>
      </c>
    </row>
    <row r="903" spans="1:8">
      <c r="A903" s="2">
        <v>902</v>
      </c>
      <c r="B903" s="2" t="s">
        <v>113</v>
      </c>
      <c r="C903" s="2" t="s">
        <v>129</v>
      </c>
      <c r="D903" s="2" t="s">
        <v>12</v>
      </c>
      <c r="E903" s="2">
        <v>32</v>
      </c>
      <c r="F903" s="3">
        <v>64037.072784468102</v>
      </c>
      <c r="G903" s="2" t="s">
        <v>13</v>
      </c>
      <c r="H903" s="2" t="s">
        <v>29</v>
      </c>
    </row>
    <row r="904" spans="1:8">
      <c r="A904" s="2">
        <v>903</v>
      </c>
      <c r="B904" s="2" t="s">
        <v>108</v>
      </c>
      <c r="C904" s="2" t="s">
        <v>129</v>
      </c>
      <c r="D904" s="2" t="s">
        <v>8</v>
      </c>
      <c r="E904" s="2">
        <v>42</v>
      </c>
      <c r="F904" s="3">
        <v>64039.219260701298</v>
      </c>
      <c r="G904" s="2" t="s">
        <v>38</v>
      </c>
      <c r="H904" s="2" t="s">
        <v>29</v>
      </c>
    </row>
    <row r="905" spans="1:8">
      <c r="A905" s="2">
        <v>904</v>
      </c>
      <c r="B905" s="2" t="s">
        <v>112</v>
      </c>
      <c r="C905" s="2" t="s">
        <v>134</v>
      </c>
      <c r="D905" s="2" t="s">
        <v>12</v>
      </c>
      <c r="E905" s="2">
        <v>21</v>
      </c>
      <c r="F905" s="3">
        <v>64041.365736934596</v>
      </c>
      <c r="G905" s="2" t="s">
        <v>25</v>
      </c>
      <c r="H905" s="2" t="s">
        <v>29</v>
      </c>
    </row>
    <row r="906" spans="1:8">
      <c r="A906" s="2">
        <v>905</v>
      </c>
      <c r="B906" s="2" t="s">
        <v>114</v>
      </c>
      <c r="C906" s="2" t="s">
        <v>134</v>
      </c>
      <c r="D906" s="2" t="s">
        <v>16</v>
      </c>
      <c r="E906" s="2">
        <v>12</v>
      </c>
      <c r="F906" s="3">
        <v>64043.5122131678</v>
      </c>
      <c r="G906" s="2" t="s">
        <v>17</v>
      </c>
      <c r="H906" s="2" t="s">
        <v>26</v>
      </c>
    </row>
    <row r="907" spans="1:8">
      <c r="A907" s="2">
        <v>906</v>
      </c>
      <c r="B907" s="2" t="s">
        <v>114</v>
      </c>
      <c r="C907" s="2" t="s">
        <v>129</v>
      </c>
      <c r="D907" s="2" t="s">
        <v>8</v>
      </c>
      <c r="E907" s="2">
        <v>46</v>
      </c>
      <c r="F907" s="3">
        <v>64045.658689401003</v>
      </c>
      <c r="G907" s="2" t="s">
        <v>25</v>
      </c>
      <c r="H907" s="2" t="s">
        <v>18</v>
      </c>
    </row>
    <row r="908" spans="1:8">
      <c r="A908" s="2">
        <v>907</v>
      </c>
      <c r="B908" s="2" t="s">
        <v>113</v>
      </c>
      <c r="C908" s="2" t="s">
        <v>131</v>
      </c>
      <c r="D908" s="2" t="s">
        <v>8</v>
      </c>
      <c r="E908" s="2">
        <v>36</v>
      </c>
      <c r="F908" s="3">
        <v>64047.8051656342</v>
      </c>
      <c r="G908" s="2" t="s">
        <v>25</v>
      </c>
      <c r="H908" s="2" t="s">
        <v>23</v>
      </c>
    </row>
    <row r="909" spans="1:8">
      <c r="A909" s="2">
        <v>908</v>
      </c>
      <c r="B909" s="2" t="s">
        <v>107</v>
      </c>
      <c r="C909" s="2" t="s">
        <v>133</v>
      </c>
      <c r="D909" s="2" t="s">
        <v>16</v>
      </c>
      <c r="E909" s="2">
        <v>45</v>
      </c>
      <c r="F909" s="3">
        <v>64049.951641867403</v>
      </c>
      <c r="G909" s="2" t="s">
        <v>25</v>
      </c>
      <c r="H909" s="2" t="s">
        <v>10</v>
      </c>
    </row>
    <row r="910" spans="1:8">
      <c r="A910" s="2">
        <v>909</v>
      </c>
      <c r="B910" s="2" t="s">
        <v>114</v>
      </c>
      <c r="C910" s="2" t="s">
        <v>134</v>
      </c>
      <c r="D910" s="2" t="s">
        <v>12</v>
      </c>
      <c r="E910" s="2">
        <v>40</v>
      </c>
      <c r="F910" s="3">
        <v>64052.098118100599</v>
      </c>
      <c r="G910" s="2" t="s">
        <v>25</v>
      </c>
      <c r="H910" s="2" t="s">
        <v>10</v>
      </c>
    </row>
    <row r="911" spans="1:8">
      <c r="A911" s="2">
        <v>910</v>
      </c>
      <c r="B911" s="2" t="s">
        <v>113</v>
      </c>
      <c r="C911" s="2" t="s">
        <v>134</v>
      </c>
      <c r="D911" s="2" t="s">
        <v>8</v>
      </c>
      <c r="E911" s="2">
        <v>23</v>
      </c>
      <c r="F911" s="3">
        <v>64054.244594333803</v>
      </c>
      <c r="G911" s="2" t="s">
        <v>38</v>
      </c>
      <c r="H911" s="2" t="s">
        <v>29</v>
      </c>
    </row>
    <row r="912" spans="1:8">
      <c r="A912" s="2">
        <v>911</v>
      </c>
      <c r="B912" s="2" t="s">
        <v>109</v>
      </c>
      <c r="C912" s="2" t="s">
        <v>134</v>
      </c>
      <c r="D912" s="2" t="s">
        <v>16</v>
      </c>
      <c r="E912" s="2">
        <v>15</v>
      </c>
      <c r="F912" s="3">
        <v>64056.391070566999</v>
      </c>
      <c r="G912" s="2" t="s">
        <v>13</v>
      </c>
      <c r="H912" s="2" t="s">
        <v>29</v>
      </c>
    </row>
    <row r="913" spans="1:8">
      <c r="A913" s="2">
        <v>912</v>
      </c>
      <c r="B913" s="2" t="s">
        <v>110</v>
      </c>
      <c r="C913" s="2" t="s">
        <v>134</v>
      </c>
      <c r="D913" s="2" t="s">
        <v>12</v>
      </c>
      <c r="E913" s="2">
        <v>43</v>
      </c>
      <c r="F913" s="3">
        <v>64058.537546800202</v>
      </c>
      <c r="G913" s="2" t="s">
        <v>28</v>
      </c>
      <c r="H913" s="2" t="s">
        <v>23</v>
      </c>
    </row>
    <row r="914" spans="1:8">
      <c r="A914" s="2">
        <v>913</v>
      </c>
      <c r="B914" s="2" t="s">
        <v>111</v>
      </c>
      <c r="C914" s="2" t="s">
        <v>135</v>
      </c>
      <c r="D914" s="2" t="s">
        <v>8</v>
      </c>
      <c r="E914" s="2">
        <v>38</v>
      </c>
      <c r="F914" s="3">
        <v>64060.684023033398</v>
      </c>
      <c r="G914" s="2" t="s">
        <v>28</v>
      </c>
      <c r="H914" s="2" t="s">
        <v>26</v>
      </c>
    </row>
    <row r="915" spans="1:8">
      <c r="A915" s="2">
        <v>914</v>
      </c>
      <c r="B915" s="2" t="s">
        <v>110</v>
      </c>
      <c r="C915" s="2" t="s">
        <v>129</v>
      </c>
      <c r="D915" s="2" t="s">
        <v>8</v>
      </c>
      <c r="E915" s="2">
        <v>12</v>
      </c>
      <c r="F915" s="3">
        <v>64062.830499266704</v>
      </c>
      <c r="G915" s="2" t="s">
        <v>9</v>
      </c>
      <c r="H915" s="2" t="s">
        <v>14</v>
      </c>
    </row>
    <row r="916" spans="1:8">
      <c r="A916" s="2">
        <v>915</v>
      </c>
      <c r="B916" s="2" t="s">
        <v>107</v>
      </c>
      <c r="C916" s="2" t="s">
        <v>131</v>
      </c>
      <c r="D916" s="2" t="s">
        <v>12</v>
      </c>
      <c r="E916" s="2">
        <v>25</v>
      </c>
      <c r="F916" s="3">
        <v>64064.9769754999</v>
      </c>
      <c r="G916" s="2" t="s">
        <v>28</v>
      </c>
      <c r="H916" s="2" t="s">
        <v>23</v>
      </c>
    </row>
    <row r="917" spans="1:8">
      <c r="A917" s="2">
        <v>916</v>
      </c>
      <c r="B917" s="2" t="s">
        <v>109</v>
      </c>
      <c r="C917" s="2" t="s">
        <v>131</v>
      </c>
      <c r="D917" s="2" t="s">
        <v>16</v>
      </c>
      <c r="E917" s="2">
        <v>20</v>
      </c>
      <c r="F917" s="3">
        <v>64067.123451733103</v>
      </c>
      <c r="G917" s="2" t="s">
        <v>25</v>
      </c>
      <c r="H917" s="2" t="s">
        <v>29</v>
      </c>
    </row>
    <row r="918" spans="1:8">
      <c r="A918" s="2">
        <v>917</v>
      </c>
      <c r="B918" s="2" t="s">
        <v>114</v>
      </c>
      <c r="C918" s="2" t="s">
        <v>135</v>
      </c>
      <c r="D918" s="2" t="s">
        <v>8</v>
      </c>
      <c r="E918" s="2">
        <v>47</v>
      </c>
      <c r="F918" s="3">
        <v>64069.269927966299</v>
      </c>
      <c r="G918" s="2" t="s">
        <v>20</v>
      </c>
      <c r="H918" s="2" t="s">
        <v>26</v>
      </c>
    </row>
    <row r="919" spans="1:8">
      <c r="A919" s="2">
        <v>918</v>
      </c>
      <c r="B919" s="2" t="s">
        <v>105</v>
      </c>
      <c r="C919" s="2" t="s">
        <v>132</v>
      </c>
      <c r="D919" s="2" t="s">
        <v>12</v>
      </c>
      <c r="E919" s="2">
        <v>45</v>
      </c>
      <c r="F919" s="3">
        <v>64071.416404199503</v>
      </c>
      <c r="G919" s="2" t="s">
        <v>25</v>
      </c>
      <c r="H919" s="2" t="s">
        <v>10</v>
      </c>
    </row>
    <row r="920" spans="1:8">
      <c r="A920" s="2">
        <v>919</v>
      </c>
      <c r="B920" s="2" t="s">
        <v>110</v>
      </c>
      <c r="C920" s="2" t="s">
        <v>131</v>
      </c>
      <c r="D920" s="2" t="s">
        <v>8</v>
      </c>
      <c r="E920" s="2">
        <v>19</v>
      </c>
      <c r="F920" s="3">
        <v>64073.562880432699</v>
      </c>
      <c r="G920" s="2" t="s">
        <v>32</v>
      </c>
      <c r="H920" s="2" t="s">
        <v>23</v>
      </c>
    </row>
    <row r="921" spans="1:8">
      <c r="A921" s="2">
        <v>920</v>
      </c>
      <c r="B921" s="2" t="s">
        <v>108</v>
      </c>
      <c r="C921" s="2" t="s">
        <v>132</v>
      </c>
      <c r="D921" s="2" t="s">
        <v>12</v>
      </c>
      <c r="E921" s="2">
        <v>9</v>
      </c>
      <c r="F921" s="3">
        <v>64075.709356665902</v>
      </c>
      <c r="G921" s="2" t="s">
        <v>38</v>
      </c>
      <c r="H921" s="2" t="s">
        <v>14</v>
      </c>
    </row>
    <row r="922" spans="1:8">
      <c r="A922" s="2">
        <v>921</v>
      </c>
      <c r="B922" s="2" t="s">
        <v>110</v>
      </c>
      <c r="C922" s="2" t="s">
        <v>131</v>
      </c>
      <c r="D922" s="2" t="s">
        <v>8</v>
      </c>
      <c r="E922" s="2">
        <v>12</v>
      </c>
      <c r="F922" s="3">
        <v>64077.855832899098</v>
      </c>
      <c r="G922" s="2" t="s">
        <v>28</v>
      </c>
      <c r="H922" s="2" t="s">
        <v>26</v>
      </c>
    </row>
    <row r="923" spans="1:8">
      <c r="A923" s="2">
        <v>922</v>
      </c>
      <c r="B923" s="2" t="s">
        <v>106</v>
      </c>
      <c r="C923" s="2" t="s">
        <v>130</v>
      </c>
      <c r="D923" s="2" t="s">
        <v>22</v>
      </c>
      <c r="E923" s="2">
        <v>47</v>
      </c>
      <c r="F923" s="3">
        <v>64080.002309132302</v>
      </c>
      <c r="G923" s="2" t="s">
        <v>38</v>
      </c>
      <c r="H923" s="2" t="s">
        <v>18</v>
      </c>
    </row>
    <row r="924" spans="1:8">
      <c r="A924" s="2">
        <v>923</v>
      </c>
      <c r="B924" s="2" t="s">
        <v>105</v>
      </c>
      <c r="C924" s="2" t="s">
        <v>132</v>
      </c>
      <c r="D924" s="2" t="s">
        <v>16</v>
      </c>
      <c r="E924" s="2">
        <v>1</v>
      </c>
      <c r="F924" s="3">
        <v>64082.148785365498</v>
      </c>
      <c r="G924" s="2" t="s">
        <v>9</v>
      </c>
      <c r="H924" s="2" t="s">
        <v>18</v>
      </c>
    </row>
    <row r="925" spans="1:8">
      <c r="A925" s="2">
        <v>924</v>
      </c>
      <c r="B925" s="2" t="s">
        <v>106</v>
      </c>
      <c r="C925" s="2" t="s">
        <v>135</v>
      </c>
      <c r="D925" s="2" t="s">
        <v>16</v>
      </c>
      <c r="E925" s="2">
        <v>45</v>
      </c>
      <c r="F925" s="3">
        <v>64084.295261598803</v>
      </c>
      <c r="G925" s="2" t="s">
        <v>9</v>
      </c>
      <c r="H925" s="2" t="s">
        <v>10</v>
      </c>
    </row>
    <row r="926" spans="1:8">
      <c r="A926" s="2">
        <v>925</v>
      </c>
      <c r="B926" s="2" t="s">
        <v>106</v>
      </c>
      <c r="C926" s="2" t="s">
        <v>130</v>
      </c>
      <c r="D926" s="2" t="s">
        <v>22</v>
      </c>
      <c r="E926" s="2">
        <v>37</v>
      </c>
      <c r="F926" s="3">
        <v>64086.441737831999</v>
      </c>
      <c r="G926" s="2" t="s">
        <v>9</v>
      </c>
      <c r="H926" s="2" t="s">
        <v>14</v>
      </c>
    </row>
    <row r="927" spans="1:8">
      <c r="A927" s="2">
        <v>926</v>
      </c>
      <c r="B927" s="2" t="s">
        <v>108</v>
      </c>
      <c r="C927" s="2" t="s">
        <v>129</v>
      </c>
      <c r="D927" s="2" t="s">
        <v>12</v>
      </c>
      <c r="E927" s="2">
        <v>26</v>
      </c>
      <c r="F927" s="3">
        <v>64088.588214065203</v>
      </c>
      <c r="G927" s="2" t="s">
        <v>38</v>
      </c>
      <c r="H927" s="2" t="s">
        <v>23</v>
      </c>
    </row>
    <row r="928" spans="1:8">
      <c r="A928" s="2">
        <v>927</v>
      </c>
      <c r="B928" s="2" t="s">
        <v>109</v>
      </c>
      <c r="C928" s="2" t="s">
        <v>131</v>
      </c>
      <c r="D928" s="2" t="s">
        <v>16</v>
      </c>
      <c r="E928" s="2">
        <v>50</v>
      </c>
      <c r="F928" s="3">
        <v>64090.734690298399</v>
      </c>
      <c r="G928" s="2" t="s">
        <v>9</v>
      </c>
      <c r="H928" s="2" t="s">
        <v>29</v>
      </c>
    </row>
    <row r="929" spans="1:8">
      <c r="A929" s="2">
        <v>928</v>
      </c>
      <c r="B929" s="2" t="s">
        <v>106</v>
      </c>
      <c r="C929" s="2" t="s">
        <v>132</v>
      </c>
      <c r="D929" s="2" t="s">
        <v>12</v>
      </c>
      <c r="E929" s="2">
        <v>37</v>
      </c>
      <c r="F929" s="3">
        <v>64092.881166531603</v>
      </c>
      <c r="G929" s="2" t="s">
        <v>32</v>
      </c>
      <c r="H929" s="2" t="s">
        <v>29</v>
      </c>
    </row>
    <row r="930" spans="1:8">
      <c r="A930" s="2">
        <v>929</v>
      </c>
      <c r="B930" s="2" t="s">
        <v>105</v>
      </c>
      <c r="C930" s="2" t="s">
        <v>134</v>
      </c>
      <c r="D930" s="2" t="s">
        <v>8</v>
      </c>
      <c r="E930" s="2">
        <v>3</v>
      </c>
      <c r="F930" s="3">
        <v>64095.027642764799</v>
      </c>
      <c r="G930" s="2" t="s">
        <v>32</v>
      </c>
      <c r="H930" s="2" t="s">
        <v>14</v>
      </c>
    </row>
    <row r="931" spans="1:8">
      <c r="A931" s="2">
        <v>930</v>
      </c>
      <c r="B931" s="2" t="s">
        <v>110</v>
      </c>
      <c r="C931" s="2" t="s">
        <v>132</v>
      </c>
      <c r="D931" s="2" t="s">
        <v>22</v>
      </c>
      <c r="E931" s="2">
        <v>12</v>
      </c>
      <c r="F931" s="3">
        <v>64097.174118998002</v>
      </c>
      <c r="G931" s="2" t="s">
        <v>9</v>
      </c>
      <c r="H931" s="2" t="s">
        <v>23</v>
      </c>
    </row>
    <row r="932" spans="1:8">
      <c r="A932" s="2">
        <v>931</v>
      </c>
      <c r="B932" s="2" t="s">
        <v>107</v>
      </c>
      <c r="C932" s="2" t="s">
        <v>133</v>
      </c>
      <c r="D932" s="2" t="s">
        <v>12</v>
      </c>
      <c r="E932" s="2">
        <v>39</v>
      </c>
      <c r="F932" s="3">
        <v>64099.320595231198</v>
      </c>
      <c r="G932" s="2" t="s">
        <v>9</v>
      </c>
      <c r="H932" s="2" t="s">
        <v>14</v>
      </c>
    </row>
    <row r="933" spans="1:8">
      <c r="A933" s="2">
        <v>932</v>
      </c>
      <c r="B933" s="2" t="s">
        <v>105</v>
      </c>
      <c r="C933" s="2" t="s">
        <v>134</v>
      </c>
      <c r="D933" s="2" t="s">
        <v>12</v>
      </c>
      <c r="E933" s="2">
        <v>21</v>
      </c>
      <c r="F933" s="3">
        <v>64101.467071464402</v>
      </c>
      <c r="G933" s="2" t="s">
        <v>13</v>
      </c>
      <c r="H933" s="2" t="s">
        <v>23</v>
      </c>
    </row>
    <row r="934" spans="1:8">
      <c r="A934" s="2">
        <v>933</v>
      </c>
      <c r="B934" s="2" t="s">
        <v>111</v>
      </c>
      <c r="C934" s="2" t="s">
        <v>134</v>
      </c>
      <c r="D934" s="2" t="s">
        <v>16</v>
      </c>
      <c r="E934" s="2">
        <v>40</v>
      </c>
      <c r="F934" s="3">
        <v>64103.613547697598</v>
      </c>
      <c r="G934" s="2" t="s">
        <v>9</v>
      </c>
      <c r="H934" s="2" t="s">
        <v>18</v>
      </c>
    </row>
    <row r="935" spans="1:8">
      <c r="A935" s="2">
        <v>934</v>
      </c>
      <c r="B935" s="2" t="s">
        <v>113</v>
      </c>
      <c r="C935" s="2" t="s">
        <v>134</v>
      </c>
      <c r="D935" s="2" t="s">
        <v>8</v>
      </c>
      <c r="E935" s="2">
        <v>15</v>
      </c>
      <c r="F935" s="3">
        <v>64105.760023930903</v>
      </c>
      <c r="G935" s="2" t="s">
        <v>20</v>
      </c>
      <c r="H935" s="2" t="s">
        <v>23</v>
      </c>
    </row>
    <row r="936" spans="1:8">
      <c r="A936" s="2">
        <v>935</v>
      </c>
      <c r="B936" s="2" t="s">
        <v>110</v>
      </c>
      <c r="C936" s="2" t="s">
        <v>131</v>
      </c>
      <c r="D936" s="2" t="s">
        <v>16</v>
      </c>
      <c r="E936" s="2">
        <v>41</v>
      </c>
      <c r="F936" s="3">
        <v>64107.906500164099</v>
      </c>
      <c r="G936" s="2" t="s">
        <v>38</v>
      </c>
      <c r="H936" s="2" t="s">
        <v>23</v>
      </c>
    </row>
    <row r="937" spans="1:8">
      <c r="A937" s="2">
        <v>936</v>
      </c>
      <c r="B937" s="2" t="s">
        <v>108</v>
      </c>
      <c r="C937" s="2" t="s">
        <v>130</v>
      </c>
      <c r="D937" s="2" t="s">
        <v>8</v>
      </c>
      <c r="E937" s="2">
        <v>37</v>
      </c>
      <c r="F937" s="3">
        <v>64110.052976397303</v>
      </c>
      <c r="G937" s="2" t="s">
        <v>32</v>
      </c>
      <c r="H937" s="2" t="s">
        <v>29</v>
      </c>
    </row>
    <row r="938" spans="1:8">
      <c r="A938" s="2">
        <v>937</v>
      </c>
      <c r="B938" s="2" t="s">
        <v>106</v>
      </c>
      <c r="C938" s="2" t="s">
        <v>131</v>
      </c>
      <c r="D938" s="2" t="s">
        <v>16</v>
      </c>
      <c r="E938" s="2">
        <v>7</v>
      </c>
      <c r="F938" s="3">
        <v>64112.199452630499</v>
      </c>
      <c r="G938" s="2" t="s">
        <v>28</v>
      </c>
      <c r="H938" s="2" t="s">
        <v>10</v>
      </c>
    </row>
    <row r="939" spans="1:8">
      <c r="A939" s="2">
        <v>938</v>
      </c>
      <c r="B939" s="2" t="s">
        <v>107</v>
      </c>
      <c r="C939" s="2" t="s">
        <v>132</v>
      </c>
      <c r="D939" s="2" t="s">
        <v>12</v>
      </c>
      <c r="E939" s="2">
        <v>32</v>
      </c>
      <c r="F939" s="3">
        <v>64114.345928863702</v>
      </c>
      <c r="G939" s="2" t="s">
        <v>32</v>
      </c>
      <c r="H939" s="2" t="s">
        <v>26</v>
      </c>
    </row>
    <row r="940" spans="1:8">
      <c r="A940" s="2">
        <v>939</v>
      </c>
      <c r="B940" s="2" t="s">
        <v>106</v>
      </c>
      <c r="C940" s="2" t="s">
        <v>131</v>
      </c>
      <c r="D940" s="2" t="s">
        <v>12</v>
      </c>
      <c r="E940" s="2">
        <v>10</v>
      </c>
      <c r="F940" s="3">
        <v>64116.492405096898</v>
      </c>
      <c r="G940" s="2" t="s">
        <v>38</v>
      </c>
      <c r="H940" s="2" t="s">
        <v>26</v>
      </c>
    </row>
    <row r="941" spans="1:8">
      <c r="A941" s="2">
        <v>940</v>
      </c>
      <c r="B941" s="2" t="s">
        <v>108</v>
      </c>
      <c r="C941" s="2" t="s">
        <v>134</v>
      </c>
      <c r="D941" s="2" t="s">
        <v>22</v>
      </c>
      <c r="E941" s="2">
        <v>22</v>
      </c>
      <c r="F941" s="3">
        <v>64118.638881330102</v>
      </c>
      <c r="G941" s="2" t="s">
        <v>25</v>
      </c>
      <c r="H941" s="2" t="s">
        <v>29</v>
      </c>
    </row>
    <row r="942" spans="1:8">
      <c r="A942" s="2">
        <v>941</v>
      </c>
      <c r="B942" s="2" t="s">
        <v>105</v>
      </c>
      <c r="C942" s="2" t="s">
        <v>130</v>
      </c>
      <c r="D942" s="2" t="s">
        <v>12</v>
      </c>
      <c r="E942" s="2">
        <v>48</v>
      </c>
      <c r="F942" s="3">
        <v>64120.785357563298</v>
      </c>
      <c r="G942" s="2" t="s">
        <v>25</v>
      </c>
      <c r="H942" s="2" t="s">
        <v>18</v>
      </c>
    </row>
    <row r="943" spans="1:8">
      <c r="A943" s="2">
        <v>942</v>
      </c>
      <c r="B943" s="2" t="s">
        <v>111</v>
      </c>
      <c r="C943" s="2" t="s">
        <v>133</v>
      </c>
      <c r="D943" s="2" t="s">
        <v>12</v>
      </c>
      <c r="E943" s="2">
        <v>5</v>
      </c>
      <c r="F943" s="3">
        <v>64122.931833796501</v>
      </c>
      <c r="G943" s="2" t="s">
        <v>38</v>
      </c>
      <c r="H943" s="2" t="s">
        <v>14</v>
      </c>
    </row>
    <row r="944" spans="1:8">
      <c r="A944" s="2">
        <v>943</v>
      </c>
      <c r="B944" s="2" t="s">
        <v>113</v>
      </c>
      <c r="C944" s="2" t="s">
        <v>135</v>
      </c>
      <c r="D944" s="2" t="s">
        <v>12</v>
      </c>
      <c r="E944" s="2">
        <v>16</v>
      </c>
      <c r="F944" s="3">
        <v>64125.078310029698</v>
      </c>
      <c r="G944" s="2" t="s">
        <v>17</v>
      </c>
      <c r="H944" s="2" t="s">
        <v>29</v>
      </c>
    </row>
    <row r="945" spans="1:8">
      <c r="A945" s="2">
        <v>944</v>
      </c>
      <c r="B945" s="2" t="s">
        <v>111</v>
      </c>
      <c r="C945" s="2" t="s">
        <v>133</v>
      </c>
      <c r="D945" s="2" t="s">
        <v>12</v>
      </c>
      <c r="E945" s="2">
        <v>23</v>
      </c>
      <c r="F945" s="3">
        <v>64127.224786263003</v>
      </c>
      <c r="G945" s="2" t="s">
        <v>38</v>
      </c>
      <c r="H945" s="2" t="s">
        <v>14</v>
      </c>
    </row>
    <row r="946" spans="1:8">
      <c r="A946" s="2">
        <v>945</v>
      </c>
      <c r="B946" s="2" t="s">
        <v>110</v>
      </c>
      <c r="C946" s="2" t="s">
        <v>129</v>
      </c>
      <c r="D946" s="2" t="s">
        <v>22</v>
      </c>
      <c r="E946" s="2">
        <v>21</v>
      </c>
      <c r="F946" s="3">
        <v>64129.371262496199</v>
      </c>
      <c r="G946" s="2" t="s">
        <v>25</v>
      </c>
      <c r="H946" s="2" t="s">
        <v>29</v>
      </c>
    </row>
    <row r="947" spans="1:8">
      <c r="A947" s="2">
        <v>946</v>
      </c>
      <c r="B947" s="2" t="s">
        <v>105</v>
      </c>
      <c r="C947" s="2" t="s">
        <v>130</v>
      </c>
      <c r="D947" s="2" t="s">
        <v>8</v>
      </c>
      <c r="E947" s="2">
        <v>11</v>
      </c>
      <c r="F947" s="3">
        <v>64131.517738729402</v>
      </c>
      <c r="G947" s="2" t="s">
        <v>38</v>
      </c>
      <c r="H947" s="2" t="s">
        <v>26</v>
      </c>
    </row>
    <row r="948" spans="1:8">
      <c r="A948" s="2">
        <v>947</v>
      </c>
      <c r="B948" s="2" t="s">
        <v>113</v>
      </c>
      <c r="C948" s="2" t="s">
        <v>130</v>
      </c>
      <c r="D948" s="2" t="s">
        <v>22</v>
      </c>
      <c r="E948" s="2">
        <v>41</v>
      </c>
      <c r="F948" s="3">
        <v>64133.664214962599</v>
      </c>
      <c r="G948" s="2" t="s">
        <v>28</v>
      </c>
      <c r="H948" s="2" t="s">
        <v>10</v>
      </c>
    </row>
    <row r="949" spans="1:8">
      <c r="A949" s="2">
        <v>948</v>
      </c>
      <c r="B949" s="2" t="s">
        <v>112</v>
      </c>
      <c r="C949" s="2" t="s">
        <v>134</v>
      </c>
      <c r="D949" s="2" t="s">
        <v>22</v>
      </c>
      <c r="E949" s="2">
        <v>6</v>
      </c>
      <c r="F949" s="3">
        <v>64135.810691195802</v>
      </c>
      <c r="G949" s="2" t="s">
        <v>17</v>
      </c>
      <c r="H949" s="2" t="s">
        <v>10</v>
      </c>
    </row>
    <row r="950" spans="1:8">
      <c r="A950" s="2">
        <v>949</v>
      </c>
      <c r="B950" s="2" t="s">
        <v>111</v>
      </c>
      <c r="C950" s="2" t="s">
        <v>133</v>
      </c>
      <c r="D950" s="2" t="s">
        <v>16</v>
      </c>
      <c r="E950" s="2">
        <v>46</v>
      </c>
      <c r="F950" s="3">
        <v>64137.957167428998</v>
      </c>
      <c r="G950" s="2" t="s">
        <v>20</v>
      </c>
      <c r="H950" s="2" t="s">
        <v>29</v>
      </c>
    </row>
    <row r="951" spans="1:8">
      <c r="A951" s="2">
        <v>950</v>
      </c>
      <c r="B951" s="2" t="s">
        <v>106</v>
      </c>
      <c r="C951" s="2" t="s">
        <v>132</v>
      </c>
      <c r="D951" s="2" t="s">
        <v>8</v>
      </c>
      <c r="E951" s="2">
        <v>43</v>
      </c>
      <c r="F951" s="3">
        <v>64140.103643662202</v>
      </c>
      <c r="G951" s="2" t="s">
        <v>38</v>
      </c>
      <c r="H951" s="2" t="s">
        <v>29</v>
      </c>
    </row>
    <row r="952" spans="1:8">
      <c r="A952" s="2">
        <v>951</v>
      </c>
      <c r="B952" s="2" t="s">
        <v>114</v>
      </c>
      <c r="C952" s="2" t="s">
        <v>129</v>
      </c>
      <c r="D952" s="2" t="s">
        <v>16</v>
      </c>
      <c r="E952" s="2">
        <v>41</v>
      </c>
      <c r="F952" s="3">
        <v>64142.250119895398</v>
      </c>
      <c r="G952" s="2" t="s">
        <v>20</v>
      </c>
      <c r="H952" s="2" t="s">
        <v>26</v>
      </c>
    </row>
    <row r="953" spans="1:8">
      <c r="A953" s="2">
        <v>952</v>
      </c>
      <c r="B953" s="2" t="s">
        <v>110</v>
      </c>
      <c r="C953" s="2" t="s">
        <v>131</v>
      </c>
      <c r="D953" s="2" t="s">
        <v>22</v>
      </c>
      <c r="E953" s="2">
        <v>47</v>
      </c>
      <c r="F953" s="3">
        <v>64144.396596128601</v>
      </c>
      <c r="G953" s="2" t="s">
        <v>13</v>
      </c>
      <c r="H953" s="2" t="s">
        <v>14</v>
      </c>
    </row>
    <row r="954" spans="1:8">
      <c r="A954" s="2">
        <v>953</v>
      </c>
      <c r="B954" s="2" t="s">
        <v>110</v>
      </c>
      <c r="C954" s="2" t="s">
        <v>130</v>
      </c>
      <c r="D954" s="2" t="s">
        <v>12</v>
      </c>
      <c r="E954" s="2">
        <v>22</v>
      </c>
      <c r="F954" s="3">
        <v>64146.543072361797</v>
      </c>
      <c r="G954" s="2" t="s">
        <v>25</v>
      </c>
      <c r="H954" s="2" t="s">
        <v>14</v>
      </c>
    </row>
    <row r="955" spans="1:8">
      <c r="A955" s="2">
        <v>954</v>
      </c>
      <c r="B955" s="2" t="s">
        <v>113</v>
      </c>
      <c r="C955" s="2" t="s">
        <v>131</v>
      </c>
      <c r="D955" s="2" t="s">
        <v>8</v>
      </c>
      <c r="E955" s="2">
        <v>29</v>
      </c>
      <c r="F955" s="3">
        <v>64148.689548595001</v>
      </c>
      <c r="G955" s="2" t="s">
        <v>25</v>
      </c>
      <c r="H955" s="2" t="s">
        <v>26</v>
      </c>
    </row>
    <row r="956" spans="1:8">
      <c r="A956" s="2">
        <v>955</v>
      </c>
      <c r="B956" s="2" t="s">
        <v>112</v>
      </c>
      <c r="C956" s="2" t="s">
        <v>133</v>
      </c>
      <c r="D956" s="2" t="s">
        <v>12</v>
      </c>
      <c r="E956" s="2">
        <v>1</v>
      </c>
      <c r="F956" s="3">
        <v>64150.836024828197</v>
      </c>
      <c r="G956" s="2" t="s">
        <v>28</v>
      </c>
      <c r="H956" s="2" t="s">
        <v>18</v>
      </c>
    </row>
    <row r="957" spans="1:8">
      <c r="A957" s="2">
        <v>956</v>
      </c>
      <c r="B957" s="2" t="s">
        <v>107</v>
      </c>
      <c r="C957" s="2" t="s">
        <v>134</v>
      </c>
      <c r="D957" s="2" t="s">
        <v>22</v>
      </c>
      <c r="E957" s="2">
        <v>17</v>
      </c>
      <c r="F957" s="3">
        <v>64152.982501061502</v>
      </c>
      <c r="G957" s="2" t="s">
        <v>25</v>
      </c>
      <c r="H957" s="2" t="s">
        <v>18</v>
      </c>
    </row>
    <row r="958" spans="1:8">
      <c r="A958" s="2">
        <v>957</v>
      </c>
      <c r="B958" s="2" t="s">
        <v>111</v>
      </c>
      <c r="C958" s="2" t="s">
        <v>132</v>
      </c>
      <c r="D958" s="2" t="s">
        <v>22</v>
      </c>
      <c r="E958" s="2">
        <v>14</v>
      </c>
      <c r="F958" s="3">
        <v>64155.128977294698</v>
      </c>
      <c r="G958" s="2" t="s">
        <v>9</v>
      </c>
      <c r="H958" s="2" t="s">
        <v>29</v>
      </c>
    </row>
    <row r="959" spans="1:8">
      <c r="A959" s="2">
        <v>958</v>
      </c>
      <c r="B959" s="2" t="s">
        <v>109</v>
      </c>
      <c r="C959" s="2" t="s">
        <v>134</v>
      </c>
      <c r="D959" s="2" t="s">
        <v>22</v>
      </c>
      <c r="E959" s="2">
        <v>16</v>
      </c>
      <c r="F959" s="3">
        <v>64157.275453527902</v>
      </c>
      <c r="G959" s="2" t="s">
        <v>17</v>
      </c>
      <c r="H959" s="2" t="s">
        <v>10</v>
      </c>
    </row>
    <row r="960" spans="1:8">
      <c r="A960" s="2">
        <v>959</v>
      </c>
      <c r="B960" s="2" t="s">
        <v>107</v>
      </c>
      <c r="C960" s="2" t="s">
        <v>129</v>
      </c>
      <c r="D960" s="2" t="s">
        <v>8</v>
      </c>
      <c r="E960" s="2">
        <v>45</v>
      </c>
      <c r="F960" s="3">
        <v>64159.421929761098</v>
      </c>
      <c r="G960" s="2" t="s">
        <v>38</v>
      </c>
      <c r="H960" s="2" t="s">
        <v>18</v>
      </c>
    </row>
    <row r="961" spans="1:8">
      <c r="A961" s="2">
        <v>960</v>
      </c>
      <c r="B961" s="2" t="s">
        <v>110</v>
      </c>
      <c r="C961" s="2" t="s">
        <v>131</v>
      </c>
      <c r="D961" s="2" t="s">
        <v>16</v>
      </c>
      <c r="E961" s="2">
        <v>5</v>
      </c>
      <c r="F961" s="3">
        <v>64161.568405994301</v>
      </c>
      <c r="G961" s="2" t="s">
        <v>20</v>
      </c>
      <c r="H961" s="2" t="s">
        <v>18</v>
      </c>
    </row>
    <row r="962" spans="1:8">
      <c r="A962" s="2">
        <v>961</v>
      </c>
      <c r="B962" s="2" t="s">
        <v>110</v>
      </c>
      <c r="C962" s="2" t="s">
        <v>131</v>
      </c>
      <c r="D962" s="2" t="s">
        <v>16</v>
      </c>
      <c r="E962" s="2">
        <v>23</v>
      </c>
      <c r="F962" s="3">
        <v>64163.714882227498</v>
      </c>
      <c r="G962" s="2" t="s">
        <v>28</v>
      </c>
      <c r="H962" s="2" t="s">
        <v>23</v>
      </c>
    </row>
    <row r="963" spans="1:8">
      <c r="A963" s="2">
        <v>962</v>
      </c>
      <c r="B963" s="2" t="s">
        <v>108</v>
      </c>
      <c r="C963" s="2" t="s">
        <v>133</v>
      </c>
      <c r="D963" s="2" t="s">
        <v>12</v>
      </c>
      <c r="E963" s="2">
        <v>17</v>
      </c>
      <c r="F963" s="3">
        <v>64165.861358460701</v>
      </c>
      <c r="G963" s="2" t="s">
        <v>17</v>
      </c>
      <c r="H963" s="2" t="s">
        <v>10</v>
      </c>
    </row>
    <row r="964" spans="1:8">
      <c r="A964" s="2">
        <v>963</v>
      </c>
      <c r="B964" s="2" t="s">
        <v>113</v>
      </c>
      <c r="C964" s="2" t="s">
        <v>131</v>
      </c>
      <c r="D964" s="2" t="s">
        <v>8</v>
      </c>
      <c r="E964" s="2">
        <v>7</v>
      </c>
      <c r="F964" s="3">
        <v>64168.007834693897</v>
      </c>
      <c r="G964" s="2" t="s">
        <v>17</v>
      </c>
      <c r="H964" s="2" t="s">
        <v>14</v>
      </c>
    </row>
    <row r="965" spans="1:8">
      <c r="A965" s="2">
        <v>964</v>
      </c>
      <c r="B965" s="2" t="s">
        <v>114</v>
      </c>
      <c r="C965" s="2" t="s">
        <v>134</v>
      </c>
      <c r="D965" s="2" t="s">
        <v>12</v>
      </c>
      <c r="E965" s="2">
        <v>47</v>
      </c>
      <c r="F965" s="3">
        <v>64170.154310927101</v>
      </c>
      <c r="G965" s="2" t="s">
        <v>13</v>
      </c>
      <c r="H965" s="2" t="s">
        <v>14</v>
      </c>
    </row>
    <row r="966" spans="1:8">
      <c r="A966" s="2">
        <v>965</v>
      </c>
      <c r="B966" s="2" t="s">
        <v>112</v>
      </c>
      <c r="C966" s="2" t="s">
        <v>129</v>
      </c>
      <c r="D966" s="2" t="s">
        <v>12</v>
      </c>
      <c r="E966" s="2">
        <v>1</v>
      </c>
      <c r="F966" s="3">
        <v>64172.300787160297</v>
      </c>
      <c r="G966" s="2" t="s">
        <v>20</v>
      </c>
      <c r="H966" s="2" t="s">
        <v>26</v>
      </c>
    </row>
    <row r="967" spans="1:8">
      <c r="A967" s="2">
        <v>966</v>
      </c>
      <c r="B967" s="2" t="s">
        <v>109</v>
      </c>
      <c r="C967" s="2" t="s">
        <v>130</v>
      </c>
      <c r="D967" s="2" t="s">
        <v>16</v>
      </c>
      <c r="E967" s="2">
        <v>4</v>
      </c>
      <c r="F967" s="3">
        <v>64174.447263393602</v>
      </c>
      <c r="G967" s="2" t="s">
        <v>13</v>
      </c>
      <c r="H967" s="2" t="s">
        <v>14</v>
      </c>
    </row>
    <row r="968" spans="1:8">
      <c r="A968" s="2">
        <v>967</v>
      </c>
      <c r="B968" s="2" t="s">
        <v>107</v>
      </c>
      <c r="C968" s="2" t="s">
        <v>132</v>
      </c>
      <c r="D968" s="2" t="s">
        <v>8</v>
      </c>
      <c r="E968" s="2">
        <v>25</v>
      </c>
      <c r="F968" s="3">
        <v>64176.593739626798</v>
      </c>
      <c r="G968" s="2" t="s">
        <v>20</v>
      </c>
      <c r="H968" s="2" t="s">
        <v>23</v>
      </c>
    </row>
    <row r="969" spans="1:8">
      <c r="A969" s="2">
        <v>968</v>
      </c>
      <c r="B969" s="2" t="s">
        <v>111</v>
      </c>
      <c r="C969" s="2" t="s">
        <v>133</v>
      </c>
      <c r="D969" s="2" t="s">
        <v>22</v>
      </c>
      <c r="E969" s="2">
        <v>29</v>
      </c>
      <c r="F969" s="3">
        <v>64178.740215860002</v>
      </c>
      <c r="G969" s="2" t="s">
        <v>28</v>
      </c>
      <c r="H969" s="2" t="s">
        <v>29</v>
      </c>
    </row>
    <row r="970" spans="1:8">
      <c r="A970" s="2">
        <v>969</v>
      </c>
      <c r="B970" s="2" t="s">
        <v>113</v>
      </c>
      <c r="C970" s="2" t="s">
        <v>133</v>
      </c>
      <c r="D970" s="2" t="s">
        <v>12</v>
      </c>
      <c r="E970" s="2">
        <v>47</v>
      </c>
      <c r="F970" s="3">
        <v>64180.886692093198</v>
      </c>
      <c r="G970" s="2" t="s">
        <v>9</v>
      </c>
      <c r="H970" s="2" t="s">
        <v>29</v>
      </c>
    </row>
    <row r="971" spans="1:8">
      <c r="A971" s="2">
        <v>970</v>
      </c>
      <c r="B971" s="2" t="s">
        <v>111</v>
      </c>
      <c r="C971" s="2" t="s">
        <v>131</v>
      </c>
      <c r="D971" s="2" t="s">
        <v>22</v>
      </c>
      <c r="E971" s="2">
        <v>27</v>
      </c>
      <c r="F971" s="3">
        <v>64183.033168326401</v>
      </c>
      <c r="G971" s="2" t="s">
        <v>25</v>
      </c>
      <c r="H971" s="2" t="s">
        <v>14</v>
      </c>
    </row>
    <row r="972" spans="1:8">
      <c r="A972" s="2">
        <v>971</v>
      </c>
      <c r="B972" s="2" t="s">
        <v>105</v>
      </c>
      <c r="C972" s="2" t="s">
        <v>129</v>
      </c>
      <c r="D972" s="2" t="s">
        <v>8</v>
      </c>
      <c r="E972" s="2">
        <v>11</v>
      </c>
      <c r="F972" s="3">
        <v>64185.179644559597</v>
      </c>
      <c r="G972" s="2" t="s">
        <v>20</v>
      </c>
      <c r="H972" s="2" t="s">
        <v>10</v>
      </c>
    </row>
    <row r="973" spans="1:8">
      <c r="A973" s="2">
        <v>972</v>
      </c>
      <c r="B973" s="2" t="s">
        <v>108</v>
      </c>
      <c r="C973" s="2" t="s">
        <v>131</v>
      </c>
      <c r="D973" s="2" t="s">
        <v>12</v>
      </c>
      <c r="E973" s="2">
        <v>27</v>
      </c>
      <c r="F973" s="3">
        <v>64187.326120792801</v>
      </c>
      <c r="G973" s="2" t="s">
        <v>28</v>
      </c>
      <c r="H973" s="2" t="s">
        <v>23</v>
      </c>
    </row>
    <row r="974" spans="1:8">
      <c r="A974" s="2">
        <v>973</v>
      </c>
      <c r="B974" s="2" t="s">
        <v>112</v>
      </c>
      <c r="C974" s="2" t="s">
        <v>133</v>
      </c>
      <c r="D974" s="2" t="s">
        <v>22</v>
      </c>
      <c r="E974" s="2">
        <v>32</v>
      </c>
      <c r="F974" s="3">
        <v>64189.472597025997</v>
      </c>
      <c r="G974" s="2" t="s">
        <v>17</v>
      </c>
      <c r="H974" s="2" t="s">
        <v>14</v>
      </c>
    </row>
    <row r="975" spans="1:8">
      <c r="A975" s="2">
        <v>974</v>
      </c>
      <c r="B975" s="2" t="s">
        <v>108</v>
      </c>
      <c r="C975" s="2" t="s">
        <v>132</v>
      </c>
      <c r="D975" s="2" t="s">
        <v>22</v>
      </c>
      <c r="E975" s="2">
        <v>25</v>
      </c>
      <c r="F975" s="3">
        <v>64191.6190732592</v>
      </c>
      <c r="G975" s="2" t="s">
        <v>13</v>
      </c>
      <c r="H975" s="2" t="s">
        <v>14</v>
      </c>
    </row>
    <row r="976" spans="1:8">
      <c r="A976" s="2">
        <v>975</v>
      </c>
      <c r="B976" s="2" t="s">
        <v>110</v>
      </c>
      <c r="C976" s="2" t="s">
        <v>132</v>
      </c>
      <c r="D976" s="2" t="s">
        <v>16</v>
      </c>
      <c r="E976" s="2">
        <v>23</v>
      </c>
      <c r="F976" s="3">
        <v>64193.765549492397</v>
      </c>
      <c r="G976" s="2" t="s">
        <v>32</v>
      </c>
      <c r="H976" s="2" t="s">
        <v>29</v>
      </c>
    </row>
    <row r="977" spans="1:8">
      <c r="A977" s="2">
        <v>976</v>
      </c>
      <c r="B977" s="2" t="s">
        <v>108</v>
      </c>
      <c r="C977" s="2" t="s">
        <v>133</v>
      </c>
      <c r="D977" s="2" t="s">
        <v>8</v>
      </c>
      <c r="E977" s="2">
        <v>35</v>
      </c>
      <c r="F977" s="3">
        <v>64195.912025725702</v>
      </c>
      <c r="G977" s="2" t="s">
        <v>32</v>
      </c>
      <c r="H977" s="2" t="s">
        <v>26</v>
      </c>
    </row>
    <row r="978" spans="1:8">
      <c r="A978" s="2">
        <v>977</v>
      </c>
      <c r="B978" s="2" t="s">
        <v>109</v>
      </c>
      <c r="C978" s="2" t="s">
        <v>134</v>
      </c>
      <c r="D978" s="2" t="s">
        <v>8</v>
      </c>
      <c r="E978" s="2">
        <v>25</v>
      </c>
      <c r="F978" s="3">
        <v>64198.058501958898</v>
      </c>
      <c r="G978" s="2" t="s">
        <v>38</v>
      </c>
      <c r="H978" s="2" t="s">
        <v>10</v>
      </c>
    </row>
    <row r="979" spans="1:8">
      <c r="A979" s="2">
        <v>978</v>
      </c>
      <c r="B979" s="2" t="s">
        <v>110</v>
      </c>
      <c r="C979" s="2" t="s">
        <v>131</v>
      </c>
      <c r="D979" s="2" t="s">
        <v>8</v>
      </c>
      <c r="E979" s="2">
        <v>7</v>
      </c>
      <c r="F979" s="3">
        <v>64200.204978192101</v>
      </c>
      <c r="G979" s="2" t="s">
        <v>20</v>
      </c>
      <c r="H979" s="2" t="s">
        <v>23</v>
      </c>
    </row>
    <row r="980" spans="1:8">
      <c r="A980" s="2">
        <v>979</v>
      </c>
      <c r="B980" s="2" t="s">
        <v>107</v>
      </c>
      <c r="C980" s="2" t="s">
        <v>134</v>
      </c>
      <c r="D980" s="2" t="s">
        <v>12</v>
      </c>
      <c r="E980" s="2">
        <v>31</v>
      </c>
      <c r="F980" s="3">
        <v>64202.351454425298</v>
      </c>
      <c r="G980" s="2" t="s">
        <v>20</v>
      </c>
      <c r="H980" s="2" t="s">
        <v>23</v>
      </c>
    </row>
    <row r="981" spans="1:8">
      <c r="A981" s="2">
        <v>980</v>
      </c>
      <c r="B981" s="2" t="s">
        <v>111</v>
      </c>
      <c r="C981" s="2" t="s">
        <v>131</v>
      </c>
      <c r="D981" s="2" t="s">
        <v>16</v>
      </c>
      <c r="E981" s="2">
        <v>37</v>
      </c>
      <c r="F981" s="3">
        <v>64204.497930658501</v>
      </c>
      <c r="G981" s="2" t="s">
        <v>9</v>
      </c>
      <c r="H981" s="2" t="s">
        <v>18</v>
      </c>
    </row>
    <row r="982" spans="1:8">
      <c r="A982" s="2">
        <v>981</v>
      </c>
      <c r="B982" s="2" t="s">
        <v>107</v>
      </c>
      <c r="C982" s="2" t="s">
        <v>132</v>
      </c>
      <c r="D982" s="2" t="s">
        <v>12</v>
      </c>
      <c r="E982" s="2">
        <v>42</v>
      </c>
      <c r="F982" s="3">
        <v>64206.644406891697</v>
      </c>
      <c r="G982" s="2" t="s">
        <v>28</v>
      </c>
      <c r="H982" s="2" t="s">
        <v>10</v>
      </c>
    </row>
    <row r="983" spans="1:8">
      <c r="A983" s="2">
        <v>982</v>
      </c>
      <c r="B983" s="2" t="s">
        <v>105</v>
      </c>
      <c r="C983" s="2" t="s">
        <v>134</v>
      </c>
      <c r="D983" s="2" t="s">
        <v>8</v>
      </c>
      <c r="E983" s="2">
        <v>49</v>
      </c>
      <c r="F983" s="3">
        <v>64208.790883124901</v>
      </c>
      <c r="G983" s="2" t="s">
        <v>13</v>
      </c>
      <c r="H983" s="2" t="s">
        <v>29</v>
      </c>
    </row>
    <row r="984" spans="1:8">
      <c r="A984" s="2">
        <v>983</v>
      </c>
      <c r="B984" s="2" t="s">
        <v>110</v>
      </c>
      <c r="C984" s="2" t="s">
        <v>131</v>
      </c>
      <c r="D984" s="2" t="s">
        <v>12</v>
      </c>
      <c r="E984" s="2">
        <v>44</v>
      </c>
      <c r="F984" s="3">
        <v>64210.937359358097</v>
      </c>
      <c r="G984" s="2" t="s">
        <v>17</v>
      </c>
      <c r="H984" s="2" t="s">
        <v>26</v>
      </c>
    </row>
    <row r="985" spans="1:8">
      <c r="A985" s="2">
        <v>984</v>
      </c>
      <c r="B985" s="2" t="s">
        <v>110</v>
      </c>
      <c r="C985" s="2" t="s">
        <v>129</v>
      </c>
      <c r="D985" s="2" t="s">
        <v>22</v>
      </c>
      <c r="E985" s="2">
        <v>15</v>
      </c>
      <c r="F985" s="3">
        <v>64213.0838355913</v>
      </c>
      <c r="G985" s="2" t="s">
        <v>28</v>
      </c>
      <c r="H985" s="2" t="s">
        <v>26</v>
      </c>
    </row>
    <row r="986" spans="1:8">
      <c r="A986" s="2">
        <v>985</v>
      </c>
      <c r="B986" s="2" t="s">
        <v>112</v>
      </c>
      <c r="C986" s="2" t="s">
        <v>135</v>
      </c>
      <c r="D986" s="2" t="s">
        <v>12</v>
      </c>
      <c r="E986" s="2">
        <v>11</v>
      </c>
      <c r="F986" s="3">
        <v>64215.230311824504</v>
      </c>
      <c r="G986" s="2" t="s">
        <v>17</v>
      </c>
      <c r="H986" s="2" t="s">
        <v>18</v>
      </c>
    </row>
    <row r="987" spans="1:8">
      <c r="A987" s="2">
        <v>986</v>
      </c>
      <c r="B987" s="2" t="s">
        <v>110</v>
      </c>
      <c r="C987" s="2" t="s">
        <v>130</v>
      </c>
      <c r="D987" s="2" t="s">
        <v>12</v>
      </c>
      <c r="E987" s="2">
        <v>29</v>
      </c>
      <c r="F987" s="3">
        <v>64217.376788057802</v>
      </c>
      <c r="G987" s="2" t="s">
        <v>25</v>
      </c>
      <c r="H987" s="2" t="s">
        <v>29</v>
      </c>
    </row>
    <row r="988" spans="1:8">
      <c r="A988" s="2">
        <v>987</v>
      </c>
      <c r="B988" s="2" t="s">
        <v>111</v>
      </c>
      <c r="C988" s="2" t="s">
        <v>133</v>
      </c>
      <c r="D988" s="2" t="s">
        <v>8</v>
      </c>
      <c r="E988" s="2">
        <v>5</v>
      </c>
      <c r="F988" s="3">
        <v>64219.523264290998</v>
      </c>
      <c r="G988" s="2" t="s">
        <v>9</v>
      </c>
      <c r="H988" s="2" t="s">
        <v>14</v>
      </c>
    </row>
    <row r="989" spans="1:8">
      <c r="A989" s="2">
        <v>988</v>
      </c>
      <c r="B989" s="2" t="s">
        <v>109</v>
      </c>
      <c r="C989" s="2" t="s">
        <v>131</v>
      </c>
      <c r="D989" s="2" t="s">
        <v>22</v>
      </c>
      <c r="E989" s="2">
        <v>3</v>
      </c>
      <c r="F989" s="3">
        <v>64221.669740524201</v>
      </c>
      <c r="G989" s="2" t="s">
        <v>9</v>
      </c>
      <c r="H989" s="2" t="s">
        <v>18</v>
      </c>
    </row>
    <row r="990" spans="1:8">
      <c r="A990" s="2">
        <v>989</v>
      </c>
      <c r="B990" s="2" t="s">
        <v>105</v>
      </c>
      <c r="C990" s="2" t="s">
        <v>129</v>
      </c>
      <c r="D990" s="2" t="s">
        <v>8</v>
      </c>
      <c r="E990" s="2">
        <v>19</v>
      </c>
      <c r="F990" s="3">
        <v>64223.816216757397</v>
      </c>
      <c r="G990" s="2" t="s">
        <v>9</v>
      </c>
      <c r="H990" s="2" t="s">
        <v>29</v>
      </c>
    </row>
    <row r="991" spans="1:8">
      <c r="A991" s="2">
        <v>990</v>
      </c>
      <c r="B991" s="2" t="s">
        <v>112</v>
      </c>
      <c r="C991" s="2" t="s">
        <v>132</v>
      </c>
      <c r="D991" s="2" t="s">
        <v>22</v>
      </c>
      <c r="E991" s="2">
        <v>2</v>
      </c>
      <c r="F991" s="3">
        <v>64225.962692990601</v>
      </c>
      <c r="G991" s="2" t="s">
        <v>25</v>
      </c>
      <c r="H991" s="2" t="s">
        <v>14</v>
      </c>
    </row>
    <row r="992" spans="1:8">
      <c r="A992" s="2">
        <v>991</v>
      </c>
      <c r="B992" s="2" t="s">
        <v>114</v>
      </c>
      <c r="C992" s="2" t="s">
        <v>135</v>
      </c>
      <c r="D992" s="2" t="s">
        <v>22</v>
      </c>
      <c r="E992" s="2">
        <v>21</v>
      </c>
      <c r="F992" s="3">
        <v>64228.109169223797</v>
      </c>
      <c r="G992" s="2" t="s">
        <v>32</v>
      </c>
      <c r="H992" s="2" t="s">
        <v>29</v>
      </c>
    </row>
    <row r="993" spans="1:8">
      <c r="A993" s="2">
        <v>992</v>
      </c>
      <c r="B993" s="2" t="s">
        <v>111</v>
      </c>
      <c r="C993" s="2" t="s">
        <v>130</v>
      </c>
      <c r="D993" s="2" t="s">
        <v>22</v>
      </c>
      <c r="E993" s="2">
        <v>17</v>
      </c>
      <c r="F993" s="3">
        <v>64230.255645457</v>
      </c>
      <c r="G993" s="2" t="s">
        <v>28</v>
      </c>
      <c r="H993" s="2" t="s">
        <v>26</v>
      </c>
    </row>
    <row r="994" spans="1:8">
      <c r="A994" s="2">
        <v>993</v>
      </c>
      <c r="B994" s="2" t="s">
        <v>109</v>
      </c>
      <c r="C994" s="2" t="s">
        <v>131</v>
      </c>
      <c r="D994" s="2" t="s">
        <v>8</v>
      </c>
      <c r="E994" s="2">
        <v>7</v>
      </c>
      <c r="F994" s="3">
        <v>64232.402121690197</v>
      </c>
      <c r="G994" s="2" t="s">
        <v>32</v>
      </c>
      <c r="H994" s="2" t="s">
        <v>10</v>
      </c>
    </row>
    <row r="995" spans="1:8">
      <c r="A995" s="2">
        <v>994</v>
      </c>
      <c r="B995" s="2" t="s">
        <v>108</v>
      </c>
      <c r="C995" s="2" t="s">
        <v>132</v>
      </c>
      <c r="D995" s="2" t="s">
        <v>22</v>
      </c>
      <c r="E995" s="2">
        <v>5</v>
      </c>
      <c r="F995" s="3">
        <v>64234.5485979234</v>
      </c>
      <c r="G995" s="2" t="s">
        <v>38</v>
      </c>
      <c r="H995" s="2" t="s">
        <v>29</v>
      </c>
    </row>
    <row r="996" spans="1:8">
      <c r="A996" s="2">
        <v>995</v>
      </c>
      <c r="B996" s="2" t="s">
        <v>107</v>
      </c>
      <c r="C996" s="2" t="s">
        <v>131</v>
      </c>
      <c r="D996" s="2" t="s">
        <v>16</v>
      </c>
      <c r="E996" s="2">
        <v>22</v>
      </c>
      <c r="F996" s="3">
        <v>64236.695074156603</v>
      </c>
      <c r="G996" s="2" t="s">
        <v>20</v>
      </c>
      <c r="H996" s="2" t="s">
        <v>10</v>
      </c>
    </row>
    <row r="997" spans="1:8">
      <c r="A997" s="2">
        <v>996</v>
      </c>
      <c r="B997" s="2" t="s">
        <v>105</v>
      </c>
      <c r="C997" s="2" t="s">
        <v>135</v>
      </c>
      <c r="D997" s="2" t="s">
        <v>16</v>
      </c>
      <c r="E997" s="2">
        <v>11</v>
      </c>
      <c r="F997" s="3">
        <v>64238.841550389901</v>
      </c>
      <c r="G997" s="2" t="s">
        <v>38</v>
      </c>
      <c r="H997" s="2" t="s">
        <v>29</v>
      </c>
    </row>
    <row r="998" spans="1:8">
      <c r="A998" s="2">
        <v>997</v>
      </c>
      <c r="B998" s="2" t="s">
        <v>106</v>
      </c>
      <c r="C998" s="2" t="s">
        <v>129</v>
      </c>
      <c r="D998" s="2" t="s">
        <v>16</v>
      </c>
      <c r="E998" s="2">
        <v>25</v>
      </c>
      <c r="F998" s="3">
        <v>64240.988026623098</v>
      </c>
      <c r="G998" s="2" t="s">
        <v>9</v>
      </c>
      <c r="H998" s="2" t="s">
        <v>14</v>
      </c>
    </row>
    <row r="999" spans="1:8">
      <c r="A999" s="2">
        <v>998</v>
      </c>
      <c r="B999" s="2" t="s">
        <v>111</v>
      </c>
      <c r="C999" s="2" t="s">
        <v>135</v>
      </c>
      <c r="D999" s="2" t="s">
        <v>16</v>
      </c>
      <c r="E999" s="2">
        <v>11</v>
      </c>
      <c r="F999" s="3">
        <v>64243.134502856301</v>
      </c>
      <c r="G999" s="2" t="s">
        <v>20</v>
      </c>
      <c r="H999" s="2" t="s">
        <v>10</v>
      </c>
    </row>
    <row r="1000" spans="1:8">
      <c r="A1000" s="2">
        <v>999</v>
      </c>
      <c r="B1000" s="2" t="s">
        <v>107</v>
      </c>
      <c r="C1000" s="2" t="s">
        <v>131</v>
      </c>
      <c r="D1000" s="2" t="s">
        <v>8</v>
      </c>
      <c r="E1000" s="2">
        <v>47</v>
      </c>
      <c r="F1000" s="3">
        <v>64245.280979089497</v>
      </c>
      <c r="G1000" s="2" t="s">
        <v>32</v>
      </c>
      <c r="H1000" s="2" t="s">
        <v>23</v>
      </c>
    </row>
    <row r="1001" spans="1:8">
      <c r="A1001" s="2">
        <v>1000</v>
      </c>
      <c r="B1001" s="2" t="s">
        <v>113</v>
      </c>
      <c r="C1001" s="2" t="s">
        <v>134</v>
      </c>
      <c r="D1001" s="2" t="s">
        <v>12</v>
      </c>
      <c r="E1001" s="2">
        <v>5</v>
      </c>
      <c r="F1001" s="3">
        <v>64247.427455322701</v>
      </c>
      <c r="G1001" s="2" t="s">
        <v>13</v>
      </c>
      <c r="H1001" s="2" t="s">
        <v>10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E26BE-A961-4071-AA14-3B5BE20E158A}">
  <dimension ref="A1:F48"/>
  <sheetViews>
    <sheetView topLeftCell="A21" workbookViewId="0">
      <selection activeCell="M22" sqref="M22"/>
    </sheetView>
  </sheetViews>
  <sheetFormatPr defaultRowHeight="15"/>
  <cols>
    <col min="1" max="1" width="12" bestFit="1" customWidth="1"/>
    <col min="2" max="2" width="20" bestFit="1" customWidth="1"/>
    <col min="5" max="5" width="11.85546875" bestFit="1" customWidth="1"/>
    <col min="6" max="6" width="13.42578125" bestFit="1" customWidth="1"/>
  </cols>
  <sheetData>
    <row r="1" spans="1:6">
      <c r="A1" s="32" t="s">
        <v>101</v>
      </c>
      <c r="B1" t="s">
        <v>136</v>
      </c>
      <c r="E1" s="32" t="s">
        <v>101</v>
      </c>
      <c r="F1" t="s">
        <v>137</v>
      </c>
    </row>
    <row r="2" spans="1:6">
      <c r="A2" s="33" t="s">
        <v>105</v>
      </c>
      <c r="B2" s="34">
        <v>2421</v>
      </c>
      <c r="E2" s="33" t="s">
        <v>105</v>
      </c>
      <c r="F2" s="35">
        <v>102</v>
      </c>
    </row>
    <row r="3" spans="1:6">
      <c r="A3" s="33" t="s">
        <v>106</v>
      </c>
      <c r="B3" s="34">
        <v>1985</v>
      </c>
      <c r="E3" s="33" t="s">
        <v>106</v>
      </c>
      <c r="F3" s="35">
        <v>82</v>
      </c>
    </row>
    <row r="4" spans="1:6">
      <c r="A4" s="33" t="s">
        <v>107</v>
      </c>
      <c r="B4" s="34">
        <v>3060</v>
      </c>
      <c r="E4" s="33" t="s">
        <v>107</v>
      </c>
      <c r="F4" s="35">
        <v>113</v>
      </c>
    </row>
    <row r="5" spans="1:6">
      <c r="A5" s="33" t="s">
        <v>108</v>
      </c>
      <c r="B5" s="34">
        <v>2598</v>
      </c>
      <c r="E5" s="33" t="s">
        <v>108</v>
      </c>
      <c r="F5" s="35">
        <v>108</v>
      </c>
    </row>
    <row r="6" spans="1:6">
      <c r="A6" s="33" t="s">
        <v>109</v>
      </c>
      <c r="B6" s="34">
        <v>2045</v>
      </c>
      <c r="E6" s="33" t="s">
        <v>109</v>
      </c>
      <c r="F6" s="35">
        <v>85</v>
      </c>
    </row>
    <row r="7" spans="1:6">
      <c r="A7" s="33" t="s">
        <v>110</v>
      </c>
      <c r="B7" s="34">
        <v>2660</v>
      </c>
      <c r="E7" s="33" t="s">
        <v>110</v>
      </c>
      <c r="F7" s="35">
        <v>105</v>
      </c>
    </row>
    <row r="8" spans="1:6">
      <c r="A8" s="33" t="s">
        <v>111</v>
      </c>
      <c r="B8" s="34">
        <v>2651</v>
      </c>
      <c r="E8" s="33" t="s">
        <v>111</v>
      </c>
      <c r="F8" s="35">
        <v>103</v>
      </c>
    </row>
    <row r="9" spans="1:6">
      <c r="A9" s="33" t="s">
        <v>112</v>
      </c>
      <c r="B9" s="34">
        <v>2985</v>
      </c>
      <c r="E9" s="33" t="s">
        <v>112</v>
      </c>
      <c r="F9" s="35">
        <v>116</v>
      </c>
    </row>
    <row r="10" spans="1:6">
      <c r="A10" s="33" t="s">
        <v>113</v>
      </c>
      <c r="B10" s="34">
        <v>2337</v>
      </c>
      <c r="E10" s="33" t="s">
        <v>113</v>
      </c>
      <c r="F10" s="35">
        <v>91</v>
      </c>
    </row>
    <row r="11" spans="1:6">
      <c r="A11" s="33" t="s">
        <v>114</v>
      </c>
      <c r="B11" s="34">
        <v>2415</v>
      </c>
      <c r="E11" s="33" t="s">
        <v>114</v>
      </c>
      <c r="F11" s="35">
        <v>95</v>
      </c>
    </row>
    <row r="12" spans="1:6">
      <c r="A12" s="33" t="s">
        <v>115</v>
      </c>
      <c r="B12" s="34">
        <v>25157</v>
      </c>
      <c r="E12" s="33" t="s">
        <v>115</v>
      </c>
      <c r="F12" s="35">
        <v>1000</v>
      </c>
    </row>
    <row r="15" spans="1:6">
      <c r="A15" s="32" t="s">
        <v>5</v>
      </c>
      <c r="B15" t="s">
        <v>137</v>
      </c>
      <c r="E15" s="32" t="s">
        <v>2</v>
      </c>
      <c r="F15" t="s">
        <v>138</v>
      </c>
    </row>
    <row r="16" spans="1:6">
      <c r="A16" s="33" t="s">
        <v>38</v>
      </c>
      <c r="B16" s="35">
        <v>119</v>
      </c>
      <c r="E16" s="33" t="s">
        <v>16</v>
      </c>
      <c r="F16" s="34">
        <v>6243</v>
      </c>
    </row>
    <row r="17" spans="1:6">
      <c r="A17" s="33" t="s">
        <v>20</v>
      </c>
      <c r="B17" s="35">
        <v>115</v>
      </c>
      <c r="E17" s="33" t="s">
        <v>8</v>
      </c>
      <c r="F17" s="34">
        <v>6958</v>
      </c>
    </row>
    <row r="18" spans="1:6">
      <c r="A18" s="33" t="s">
        <v>25</v>
      </c>
      <c r="B18" s="35">
        <v>130</v>
      </c>
      <c r="E18" s="33" t="s">
        <v>22</v>
      </c>
      <c r="F18" s="34">
        <v>5255</v>
      </c>
    </row>
    <row r="19" spans="1:6">
      <c r="A19" s="33" t="s">
        <v>32</v>
      </c>
      <c r="B19" s="35">
        <v>129</v>
      </c>
      <c r="E19" s="33" t="s">
        <v>12</v>
      </c>
      <c r="F19" s="34">
        <v>6701</v>
      </c>
    </row>
    <row r="20" spans="1:6">
      <c r="A20" s="33" t="s">
        <v>28</v>
      </c>
      <c r="B20" s="35">
        <v>127</v>
      </c>
      <c r="E20" s="33" t="s">
        <v>115</v>
      </c>
      <c r="F20" s="34">
        <v>25157</v>
      </c>
    </row>
    <row r="21" spans="1:6">
      <c r="A21" s="33" t="s">
        <v>17</v>
      </c>
      <c r="B21" s="35">
        <v>125</v>
      </c>
    </row>
    <row r="22" spans="1:6">
      <c r="A22" s="33" t="s">
        <v>13</v>
      </c>
      <c r="B22" s="35">
        <v>127</v>
      </c>
    </row>
    <row r="23" spans="1:6">
      <c r="A23" s="33" t="s">
        <v>9</v>
      </c>
      <c r="B23" s="35">
        <v>128</v>
      </c>
      <c r="E23" s="32" t="s">
        <v>102</v>
      </c>
      <c r="F23" t="s">
        <v>138</v>
      </c>
    </row>
    <row r="24" spans="1:6">
      <c r="A24" s="33" t="s">
        <v>115</v>
      </c>
      <c r="B24" s="35">
        <v>1000</v>
      </c>
      <c r="E24" s="33" t="s">
        <v>132</v>
      </c>
      <c r="F24" s="34">
        <v>3475</v>
      </c>
    </row>
    <row r="25" spans="1:6">
      <c r="E25" s="33" t="s">
        <v>133</v>
      </c>
      <c r="F25" s="34">
        <v>3732</v>
      </c>
    </row>
    <row r="26" spans="1:6">
      <c r="E26" s="33" t="s">
        <v>130</v>
      </c>
      <c r="F26" s="34">
        <v>3938</v>
      </c>
    </row>
    <row r="27" spans="1:6">
      <c r="A27" s="32" t="s">
        <v>6</v>
      </c>
      <c r="B27" t="s">
        <v>138</v>
      </c>
      <c r="E27" s="33" t="s">
        <v>131</v>
      </c>
      <c r="F27" s="34">
        <v>3991</v>
      </c>
    </row>
    <row r="28" spans="1:6">
      <c r="A28" s="33" t="s">
        <v>14</v>
      </c>
      <c r="B28" s="34">
        <v>4519</v>
      </c>
      <c r="E28" s="33" t="s">
        <v>135</v>
      </c>
      <c r="F28" s="34">
        <v>3700</v>
      </c>
    </row>
    <row r="29" spans="1:6">
      <c r="A29" s="33" t="s">
        <v>26</v>
      </c>
      <c r="B29" s="34">
        <v>4518</v>
      </c>
      <c r="E29" s="33" t="s">
        <v>134</v>
      </c>
      <c r="F29" s="34">
        <v>2916</v>
      </c>
    </row>
    <row r="30" spans="1:6">
      <c r="A30" s="33" t="s">
        <v>18</v>
      </c>
      <c r="B30" s="34">
        <v>4285</v>
      </c>
      <c r="E30" s="33" t="s">
        <v>129</v>
      </c>
      <c r="F30" s="34">
        <v>3405</v>
      </c>
    </row>
    <row r="31" spans="1:6">
      <c r="A31" s="33" t="s">
        <v>10</v>
      </c>
      <c r="B31" s="34">
        <v>3999</v>
      </c>
      <c r="E31" s="33" t="s">
        <v>115</v>
      </c>
      <c r="F31" s="34">
        <v>25157</v>
      </c>
    </row>
    <row r="32" spans="1:6">
      <c r="A32" s="33" t="s">
        <v>23</v>
      </c>
      <c r="B32" s="34">
        <v>3944</v>
      </c>
    </row>
    <row r="33" spans="1:2">
      <c r="A33" s="33" t="s">
        <v>29</v>
      </c>
      <c r="B33" s="34">
        <v>3892</v>
      </c>
    </row>
    <row r="34" spans="1:2">
      <c r="A34" s="33" t="s">
        <v>115</v>
      </c>
      <c r="B34" s="34">
        <v>25157</v>
      </c>
    </row>
    <row r="37" spans="1:2">
      <c r="A37" s="32" t="s">
        <v>101</v>
      </c>
      <c r="B37" t="s">
        <v>125</v>
      </c>
    </row>
    <row r="38" spans="1:2">
      <c r="A38" s="33" t="s">
        <v>105</v>
      </c>
      <c r="B38" s="35">
        <v>62665.350905955573</v>
      </c>
    </row>
    <row r="39" spans="1:2">
      <c r="A39" s="33" t="s">
        <v>106</v>
      </c>
      <c r="B39" s="35">
        <v>63251.039176049482</v>
      </c>
    </row>
    <row r="40" spans="1:2">
      <c r="A40" s="33" t="s">
        <v>107</v>
      </c>
      <c r="B40" s="35">
        <v>63227.412733366888</v>
      </c>
    </row>
    <row r="41" spans="1:2">
      <c r="A41" s="33" t="s">
        <v>108</v>
      </c>
      <c r="B41" s="35">
        <v>64302.231511236081</v>
      </c>
    </row>
    <row r="42" spans="1:2">
      <c r="A42" s="33" t="s">
        <v>109</v>
      </c>
      <c r="B42" s="35">
        <v>64730.128637832655</v>
      </c>
    </row>
    <row r="43" spans="1:2">
      <c r="A43" s="33" t="s">
        <v>110</v>
      </c>
      <c r="B43" s="35">
        <v>64427.029893663428</v>
      </c>
    </row>
    <row r="44" spans="1:2">
      <c r="A44" s="33" t="s">
        <v>111</v>
      </c>
      <c r="B44" s="35">
        <v>62990.2719898504</v>
      </c>
    </row>
    <row r="45" spans="1:2">
      <c r="A45" s="33" t="s">
        <v>112</v>
      </c>
      <c r="B45" s="35">
        <v>62601.399191552351</v>
      </c>
    </row>
    <row r="46" spans="1:2">
      <c r="A46" s="33" t="s">
        <v>113</v>
      </c>
      <c r="B46" s="35">
        <v>63888.752640368184</v>
      </c>
    </row>
    <row r="47" spans="1:2">
      <c r="A47" s="33" t="s">
        <v>114</v>
      </c>
      <c r="B47" s="35">
        <v>62534.073909971245</v>
      </c>
    </row>
    <row r="48" spans="1:2">
      <c r="A48" s="33" t="s">
        <v>115</v>
      </c>
      <c r="B48" s="35">
        <v>63438.757620137047</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B964-A0FF-41C5-8313-CB698F4FC54E}">
  <dimension ref="A1:L9"/>
  <sheetViews>
    <sheetView showGridLines="0" tabSelected="1" zoomScale="80" zoomScaleNormal="80" workbookViewId="0">
      <selection activeCell="S54" sqref="S54"/>
    </sheetView>
  </sheetViews>
  <sheetFormatPr defaultRowHeight="15"/>
  <cols>
    <col min="4" max="4" width="12.5703125" customWidth="1"/>
    <col min="6" max="6" width="11.85546875" customWidth="1"/>
    <col min="8" max="8" width="19" customWidth="1"/>
    <col min="9" max="9" width="16" customWidth="1"/>
  </cols>
  <sheetData>
    <row r="1" spans="1:12">
      <c r="A1" s="36" t="s">
        <v>139</v>
      </c>
      <c r="B1" s="37"/>
      <c r="C1" s="37"/>
      <c r="D1" s="37"/>
      <c r="E1" s="37"/>
      <c r="F1" s="37"/>
      <c r="G1" s="37"/>
      <c r="H1" s="37"/>
    </row>
    <row r="2" spans="1:12">
      <c r="A2" s="37"/>
      <c r="B2" s="37"/>
      <c r="C2" s="37"/>
      <c r="D2" s="37"/>
      <c r="E2" s="37"/>
      <c r="F2" s="37"/>
      <c r="G2" s="37"/>
      <c r="H2" s="37"/>
    </row>
    <row r="3" spans="1:12">
      <c r="A3" s="38" t="s">
        <v>140</v>
      </c>
      <c r="B3" s="38"/>
      <c r="C3" s="38"/>
    </row>
    <row r="4" spans="1:12">
      <c r="A4" s="38" t="s">
        <v>141</v>
      </c>
      <c r="B4" s="38"/>
      <c r="C4" s="38"/>
    </row>
    <row r="6" spans="1:12">
      <c r="A6" s="42" t="s">
        <v>142</v>
      </c>
      <c r="B6" s="43"/>
      <c r="C6" s="39" t="s">
        <v>143</v>
      </c>
      <c r="D6" s="37"/>
      <c r="E6" s="40" t="s">
        <v>144</v>
      </c>
      <c r="F6" s="41"/>
      <c r="G6" s="39" t="s">
        <v>145</v>
      </c>
      <c r="H6" s="37"/>
      <c r="I6" s="39" t="s">
        <v>146</v>
      </c>
      <c r="J6" s="37"/>
      <c r="K6" s="39" t="s">
        <v>147</v>
      </c>
      <c r="L6" s="37"/>
    </row>
    <row r="7" spans="1:12">
      <c r="A7" s="43"/>
      <c r="B7" s="43"/>
      <c r="C7" s="37"/>
      <c r="D7" s="37"/>
      <c r="E7" s="41"/>
      <c r="F7" s="41"/>
      <c r="G7" s="37"/>
      <c r="H7" s="37"/>
      <c r="I7" s="37"/>
      <c r="J7" s="37"/>
      <c r="K7" s="37"/>
      <c r="L7" s="37"/>
    </row>
    <row r="8" spans="1:12">
      <c r="A8" s="43"/>
      <c r="B8" s="43"/>
      <c r="C8" s="37"/>
      <c r="D8" s="37"/>
      <c r="E8" s="41"/>
      <c r="F8" s="41"/>
      <c r="G8" s="37"/>
      <c r="H8" s="37"/>
      <c r="I8" s="37"/>
      <c r="J8" s="37"/>
      <c r="K8" s="37"/>
      <c r="L8" s="37"/>
    </row>
    <row r="9" spans="1:12">
      <c r="A9" s="43"/>
      <c r="B9" s="43"/>
      <c r="C9" s="37"/>
      <c r="D9" s="37"/>
      <c r="E9" s="41"/>
      <c r="F9" s="41"/>
      <c r="G9" s="37"/>
      <c r="H9" s="37"/>
      <c r="I9" s="37"/>
      <c r="J9" s="37"/>
      <c r="K9" s="37"/>
      <c r="L9" s="37"/>
    </row>
  </sheetData>
  <mergeCells count="9">
    <mergeCell ref="I6:J9"/>
    <mergeCell ref="K6:L9"/>
    <mergeCell ref="A1:H2"/>
    <mergeCell ref="A6:B9"/>
    <mergeCell ref="A3:C3"/>
    <mergeCell ref="A4:C4"/>
    <mergeCell ref="C6:D9"/>
    <mergeCell ref="E6:F9"/>
    <mergeCell ref="G6:H9"/>
  </mergeCells>
  <phoneticPr fontId="6"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FE45-4E0E-44FA-A0CD-F6684CE6E948}">
  <sheetPr>
    <tabColor theme="9" tint="-0.499984740745262"/>
  </sheetPr>
  <dimension ref="A1:G1004"/>
  <sheetViews>
    <sheetView workbookViewId="0">
      <selection activeCell="J10" sqref="J10"/>
    </sheetView>
  </sheetViews>
  <sheetFormatPr defaultRowHeight="15"/>
  <cols>
    <col min="2" max="2" width="24.5703125" customWidth="1"/>
    <col min="3" max="3" width="13.140625" customWidth="1"/>
    <col min="4" max="4" width="26.85546875" customWidth="1"/>
    <col min="5" max="5" width="23.42578125" customWidth="1"/>
    <col min="6" max="6" width="16" customWidth="1"/>
    <col min="7" max="7" width="14.5703125" customWidth="1"/>
  </cols>
  <sheetData>
    <row r="1" spans="1:7">
      <c r="A1" s="1" t="s">
        <v>0</v>
      </c>
      <c r="B1" s="1" t="s">
        <v>1</v>
      </c>
      <c r="C1" s="1" t="s">
        <v>2</v>
      </c>
      <c r="D1" s="1" t="s">
        <v>3</v>
      </c>
      <c r="E1" s="1" t="s">
        <v>4</v>
      </c>
      <c r="F1" s="1" t="s">
        <v>5</v>
      </c>
      <c r="G1" s="1" t="s">
        <v>6</v>
      </c>
    </row>
    <row r="2" spans="1:7">
      <c r="A2" s="2">
        <v>1</v>
      </c>
      <c r="B2" s="2" t="s">
        <v>7</v>
      </c>
      <c r="C2" s="2" t="s">
        <v>8</v>
      </c>
      <c r="D2" s="2">
        <v>30</v>
      </c>
      <c r="E2" s="3">
        <v>77024</v>
      </c>
      <c r="F2" s="2" t="s">
        <v>9</v>
      </c>
      <c r="G2" s="2" t="s">
        <v>10</v>
      </c>
    </row>
    <row r="3" spans="1:7">
      <c r="A3" s="2">
        <v>2</v>
      </c>
      <c r="B3" s="2" t="s">
        <v>11</v>
      </c>
      <c r="C3" s="2" t="s">
        <v>12</v>
      </c>
      <c r="D3" s="2">
        <v>15</v>
      </c>
      <c r="E3" s="3">
        <v>37515</v>
      </c>
      <c r="F3" s="2" t="s">
        <v>13</v>
      </c>
      <c r="G3" s="2" t="s">
        <v>14</v>
      </c>
    </row>
    <row r="4" spans="1:7">
      <c r="A4" s="2">
        <v>3</v>
      </c>
      <c r="B4" s="2" t="s">
        <v>15</v>
      </c>
      <c r="C4" s="2" t="s">
        <v>16</v>
      </c>
      <c r="D4" s="2">
        <v>26</v>
      </c>
      <c r="E4" s="3">
        <v>93173</v>
      </c>
      <c r="F4" s="2" t="s">
        <v>17</v>
      </c>
      <c r="G4" s="2" t="s">
        <v>18</v>
      </c>
    </row>
    <row r="5" spans="1:7">
      <c r="A5" s="2">
        <v>4</v>
      </c>
      <c r="B5" s="2" t="s">
        <v>19</v>
      </c>
      <c r="C5" s="2" t="s">
        <v>12</v>
      </c>
      <c r="D5" s="2">
        <v>41</v>
      </c>
      <c r="E5" s="3">
        <v>79996</v>
      </c>
      <c r="F5" s="2" t="s">
        <v>20</v>
      </c>
      <c r="G5" s="2" t="s">
        <v>18</v>
      </c>
    </row>
    <row r="6" spans="1:7">
      <c r="A6" s="2">
        <v>5</v>
      </c>
      <c r="B6" s="2" t="s">
        <v>21</v>
      </c>
      <c r="C6" s="2" t="s">
        <v>22</v>
      </c>
      <c r="D6" s="2">
        <v>12</v>
      </c>
      <c r="E6" s="3">
        <v>31822</v>
      </c>
      <c r="F6" s="2" t="s">
        <v>13</v>
      </c>
      <c r="G6" s="2" t="s">
        <v>23</v>
      </c>
    </row>
    <row r="7" spans="1:7">
      <c r="A7" s="2">
        <v>6</v>
      </c>
      <c r="B7" s="2" t="s">
        <v>24</v>
      </c>
      <c r="C7" s="2" t="s">
        <v>16</v>
      </c>
      <c r="D7" s="2">
        <v>12</v>
      </c>
      <c r="E7" s="3">
        <v>49529.1</v>
      </c>
      <c r="F7" s="2" t="s">
        <v>25</v>
      </c>
      <c r="G7" s="2" t="s">
        <v>26</v>
      </c>
    </row>
    <row r="8" spans="1:7">
      <c r="A8" s="2">
        <v>7</v>
      </c>
      <c r="B8" s="2" t="s">
        <v>27</v>
      </c>
      <c r="C8" s="2" t="s">
        <v>12</v>
      </c>
      <c r="D8" s="2">
        <v>41</v>
      </c>
      <c r="E8" s="3">
        <v>44736.800000000003</v>
      </c>
      <c r="F8" s="2" t="s">
        <v>28</v>
      </c>
      <c r="G8" s="2" t="s">
        <v>29</v>
      </c>
    </row>
    <row r="9" spans="1:7">
      <c r="A9" s="2">
        <v>8</v>
      </c>
      <c r="B9" s="2" t="s">
        <v>30</v>
      </c>
      <c r="C9" s="2" t="s">
        <v>8</v>
      </c>
      <c r="D9" s="2">
        <v>43</v>
      </c>
      <c r="E9" s="3">
        <v>39944.5</v>
      </c>
      <c r="F9" s="2" t="s">
        <v>9</v>
      </c>
      <c r="G9" s="2" t="s">
        <v>14</v>
      </c>
    </row>
    <row r="10" spans="1:7">
      <c r="A10" s="2">
        <v>9</v>
      </c>
      <c r="B10" s="2" t="s">
        <v>31</v>
      </c>
      <c r="C10" s="2" t="s">
        <v>22</v>
      </c>
      <c r="D10" s="2">
        <v>28</v>
      </c>
      <c r="E10" s="3">
        <v>35152.199999999997</v>
      </c>
      <c r="F10" s="2" t="s">
        <v>32</v>
      </c>
      <c r="G10" s="2" t="s">
        <v>26</v>
      </c>
    </row>
    <row r="11" spans="1:7">
      <c r="A11" s="2">
        <v>10</v>
      </c>
      <c r="B11" s="2" t="s">
        <v>33</v>
      </c>
      <c r="C11" s="2" t="s">
        <v>12</v>
      </c>
      <c r="D11" s="2">
        <v>26</v>
      </c>
      <c r="E11" s="3">
        <v>30359.9</v>
      </c>
      <c r="F11" s="2" t="s">
        <v>20</v>
      </c>
      <c r="G11" s="2" t="s">
        <v>29</v>
      </c>
    </row>
    <row r="12" spans="1:7">
      <c r="A12" s="2">
        <v>11</v>
      </c>
      <c r="B12" s="2" t="s">
        <v>34</v>
      </c>
      <c r="C12" s="2" t="s">
        <v>22</v>
      </c>
      <c r="D12" s="2">
        <v>2</v>
      </c>
      <c r="E12" s="3">
        <v>25567.599999999999</v>
      </c>
      <c r="F12" s="2" t="s">
        <v>28</v>
      </c>
      <c r="G12" s="2" t="s">
        <v>26</v>
      </c>
    </row>
    <row r="13" spans="1:7">
      <c r="A13" s="2">
        <v>12</v>
      </c>
      <c r="B13" s="2" t="s">
        <v>35</v>
      </c>
      <c r="C13" s="2" t="s">
        <v>12</v>
      </c>
      <c r="D13" s="2">
        <v>48</v>
      </c>
      <c r="E13" s="3">
        <v>20775.3</v>
      </c>
      <c r="F13" s="2" t="s">
        <v>13</v>
      </c>
      <c r="G13" s="2" t="s">
        <v>18</v>
      </c>
    </row>
    <row r="14" spans="1:7">
      <c r="A14" s="2">
        <v>13</v>
      </c>
      <c r="B14" s="2" t="s">
        <v>36</v>
      </c>
      <c r="C14" s="2" t="s">
        <v>8</v>
      </c>
      <c r="D14" s="2">
        <v>40</v>
      </c>
      <c r="E14" s="3">
        <v>15983</v>
      </c>
      <c r="F14" s="2" t="s">
        <v>28</v>
      </c>
      <c r="G14" s="2" t="s">
        <v>18</v>
      </c>
    </row>
    <row r="15" spans="1:7">
      <c r="A15" s="2">
        <v>14</v>
      </c>
      <c r="B15" s="2" t="s">
        <v>7</v>
      </c>
      <c r="C15" s="2" t="s">
        <v>16</v>
      </c>
      <c r="D15" s="2">
        <v>13</v>
      </c>
      <c r="E15" s="3">
        <v>11190.7</v>
      </c>
      <c r="F15" s="2" t="s">
        <v>32</v>
      </c>
      <c r="G15" s="2" t="s">
        <v>14</v>
      </c>
    </row>
    <row r="16" spans="1:7">
      <c r="A16" s="2">
        <v>15</v>
      </c>
      <c r="B16" s="2" t="s">
        <v>37</v>
      </c>
      <c r="C16" s="2" t="s">
        <v>12</v>
      </c>
      <c r="D16" s="2">
        <v>29</v>
      </c>
      <c r="E16" s="3">
        <v>6398.3999999999896</v>
      </c>
      <c r="F16" s="2" t="s">
        <v>38</v>
      </c>
      <c r="G16" s="2" t="s">
        <v>18</v>
      </c>
    </row>
    <row r="17" spans="1:7">
      <c r="A17" s="2">
        <v>16</v>
      </c>
      <c r="B17" s="2" t="s">
        <v>21</v>
      </c>
      <c r="C17" s="2" t="s">
        <v>22</v>
      </c>
      <c r="D17" s="2">
        <v>38</v>
      </c>
      <c r="E17" s="3">
        <v>1606.0999999999899</v>
      </c>
      <c r="F17" s="2" t="s">
        <v>38</v>
      </c>
      <c r="G17" s="2" t="s">
        <v>18</v>
      </c>
    </row>
    <row r="18" spans="1:7">
      <c r="A18" s="2">
        <v>17</v>
      </c>
      <c r="B18" s="2" t="s">
        <v>39</v>
      </c>
      <c r="C18" s="2" t="s">
        <v>8</v>
      </c>
      <c r="D18" s="2">
        <v>28</v>
      </c>
      <c r="E18" s="3">
        <v>-3186.2000000000098</v>
      </c>
      <c r="F18" s="2" t="s">
        <v>20</v>
      </c>
      <c r="G18" s="2" t="s">
        <v>23</v>
      </c>
    </row>
    <row r="19" spans="1:7">
      <c r="A19" s="2">
        <v>18</v>
      </c>
      <c r="B19" s="2" t="s">
        <v>40</v>
      </c>
      <c r="C19" s="2" t="s">
        <v>16</v>
      </c>
      <c r="D19" s="2">
        <v>25</v>
      </c>
      <c r="E19" s="3">
        <v>-7978.50000000001</v>
      </c>
      <c r="F19" s="2" t="s">
        <v>38</v>
      </c>
      <c r="G19" s="2" t="s">
        <v>23</v>
      </c>
    </row>
    <row r="20" spans="1:7">
      <c r="A20" s="2">
        <v>19</v>
      </c>
      <c r="B20" s="2" t="s">
        <v>36</v>
      </c>
      <c r="C20" s="2" t="s">
        <v>22</v>
      </c>
      <c r="D20" s="2">
        <v>1</v>
      </c>
      <c r="E20" s="3">
        <v>-12770.8</v>
      </c>
      <c r="F20" s="2" t="s">
        <v>13</v>
      </c>
      <c r="G20" s="2" t="s">
        <v>18</v>
      </c>
    </row>
    <row r="21" spans="1:7">
      <c r="A21" s="2">
        <v>20</v>
      </c>
      <c r="B21" s="2" t="s">
        <v>30</v>
      </c>
      <c r="C21" s="2" t="s">
        <v>8</v>
      </c>
      <c r="D21" s="2">
        <v>46</v>
      </c>
      <c r="E21" s="3">
        <v>-17563.099999999999</v>
      </c>
      <c r="F21" s="2" t="s">
        <v>32</v>
      </c>
      <c r="G21" s="2" t="s">
        <v>14</v>
      </c>
    </row>
    <row r="22" spans="1:7">
      <c r="A22" s="2">
        <v>21</v>
      </c>
      <c r="B22" s="2" t="s">
        <v>37</v>
      </c>
      <c r="C22" s="2" t="s">
        <v>22</v>
      </c>
      <c r="D22" s="2">
        <v>14</v>
      </c>
      <c r="E22" s="3">
        <v>-22355.4</v>
      </c>
      <c r="F22" s="2" t="s">
        <v>17</v>
      </c>
      <c r="G22" s="2" t="s">
        <v>14</v>
      </c>
    </row>
    <row r="23" spans="1:7">
      <c r="A23" s="2">
        <v>22</v>
      </c>
      <c r="B23" s="2" t="s">
        <v>39</v>
      </c>
      <c r="C23" s="2" t="s">
        <v>8</v>
      </c>
      <c r="D23" s="2">
        <v>14</v>
      </c>
      <c r="E23" s="3">
        <v>-27147.7</v>
      </c>
      <c r="F23" s="2" t="s">
        <v>13</v>
      </c>
      <c r="G23" s="2" t="s">
        <v>26</v>
      </c>
    </row>
    <row r="24" spans="1:7">
      <c r="A24" s="2">
        <v>23</v>
      </c>
      <c r="B24" s="2" t="s">
        <v>41</v>
      </c>
      <c r="C24" s="2" t="s">
        <v>16</v>
      </c>
      <c r="D24" s="2">
        <v>18</v>
      </c>
      <c r="E24" s="3">
        <v>-31940</v>
      </c>
      <c r="F24" s="2" t="s">
        <v>17</v>
      </c>
      <c r="G24" s="2" t="s">
        <v>18</v>
      </c>
    </row>
    <row r="25" spans="1:7">
      <c r="A25" s="2">
        <v>24</v>
      </c>
      <c r="B25" s="2" t="s">
        <v>42</v>
      </c>
      <c r="C25" s="2" t="s">
        <v>16</v>
      </c>
      <c r="D25" s="2">
        <v>49</v>
      </c>
      <c r="E25" s="3">
        <v>-36732.300000000003</v>
      </c>
      <c r="F25" s="2" t="s">
        <v>20</v>
      </c>
      <c r="G25" s="2" t="s">
        <v>18</v>
      </c>
    </row>
    <row r="26" spans="1:7">
      <c r="A26" s="2">
        <v>25</v>
      </c>
      <c r="B26" s="2" t="s">
        <v>43</v>
      </c>
      <c r="C26" s="2" t="s">
        <v>22</v>
      </c>
      <c r="D26" s="2">
        <v>46</v>
      </c>
      <c r="E26" s="3">
        <v>-41524.6</v>
      </c>
      <c r="F26" s="2" t="s">
        <v>25</v>
      </c>
      <c r="G26" s="2" t="s">
        <v>10</v>
      </c>
    </row>
    <row r="27" spans="1:7">
      <c r="A27" s="2">
        <v>26</v>
      </c>
      <c r="B27" s="2" t="s">
        <v>40</v>
      </c>
      <c r="C27" s="2" t="s">
        <v>8</v>
      </c>
      <c r="D27" s="2">
        <v>5</v>
      </c>
      <c r="E27" s="3">
        <v>-46316.9</v>
      </c>
      <c r="F27" s="2" t="s">
        <v>13</v>
      </c>
      <c r="G27" s="2" t="s">
        <v>26</v>
      </c>
    </row>
    <row r="28" spans="1:7">
      <c r="A28" s="2">
        <v>27</v>
      </c>
      <c r="B28" s="2" t="s">
        <v>44</v>
      </c>
      <c r="C28" s="2" t="s">
        <v>12</v>
      </c>
      <c r="D28" s="2">
        <v>37</v>
      </c>
      <c r="E28" s="3">
        <v>-51109.2</v>
      </c>
      <c r="F28" s="2" t="s">
        <v>28</v>
      </c>
      <c r="G28" s="2" t="s">
        <v>23</v>
      </c>
    </row>
    <row r="29" spans="1:7">
      <c r="A29" s="2">
        <v>28</v>
      </c>
      <c r="B29" s="2" t="s">
        <v>45</v>
      </c>
      <c r="C29" s="2" t="s">
        <v>16</v>
      </c>
      <c r="D29" s="2">
        <v>7</v>
      </c>
      <c r="E29" s="3">
        <v>-55901.5</v>
      </c>
      <c r="F29" s="2" t="s">
        <v>28</v>
      </c>
      <c r="G29" s="2" t="s">
        <v>23</v>
      </c>
    </row>
    <row r="30" spans="1:7">
      <c r="A30" s="2">
        <v>29</v>
      </c>
      <c r="B30" s="2" t="s">
        <v>46</v>
      </c>
      <c r="C30" s="2" t="s">
        <v>12</v>
      </c>
      <c r="D30" s="2">
        <v>35</v>
      </c>
      <c r="E30" s="3">
        <v>-60693.8</v>
      </c>
      <c r="F30" s="2" t="s">
        <v>13</v>
      </c>
      <c r="G30" s="2" t="s">
        <v>14</v>
      </c>
    </row>
    <row r="31" spans="1:7">
      <c r="A31" s="2">
        <v>30</v>
      </c>
      <c r="B31" s="2" t="s">
        <v>47</v>
      </c>
      <c r="C31" s="2" t="s">
        <v>12</v>
      </c>
      <c r="D31" s="2">
        <v>12</v>
      </c>
      <c r="E31" s="3">
        <v>-65486.1</v>
      </c>
      <c r="F31" s="2" t="s">
        <v>17</v>
      </c>
      <c r="G31" s="2" t="s">
        <v>29</v>
      </c>
    </row>
    <row r="32" spans="1:7">
      <c r="A32" s="2">
        <v>31</v>
      </c>
      <c r="B32" s="2" t="s">
        <v>48</v>
      </c>
      <c r="C32" s="2" t="s">
        <v>22</v>
      </c>
      <c r="D32" s="2">
        <v>24</v>
      </c>
      <c r="E32" s="3">
        <v>-70278.399999999994</v>
      </c>
      <c r="F32" s="2" t="s">
        <v>28</v>
      </c>
      <c r="G32" s="2" t="s">
        <v>29</v>
      </c>
    </row>
    <row r="33" spans="1:7">
      <c r="A33" s="2">
        <v>32</v>
      </c>
      <c r="B33" s="2" t="s">
        <v>49</v>
      </c>
      <c r="C33" s="2" t="s">
        <v>22</v>
      </c>
      <c r="D33" s="2">
        <v>21</v>
      </c>
      <c r="E33" s="3">
        <v>-75070.7</v>
      </c>
      <c r="F33" s="2" t="s">
        <v>13</v>
      </c>
      <c r="G33" s="2" t="s">
        <v>18</v>
      </c>
    </row>
    <row r="34" spans="1:7">
      <c r="A34" s="2">
        <v>33</v>
      </c>
      <c r="B34" s="2" t="s">
        <v>50</v>
      </c>
      <c r="C34" s="2" t="s">
        <v>22</v>
      </c>
      <c r="D34" s="2">
        <v>13</v>
      </c>
      <c r="E34" s="3">
        <v>-79863</v>
      </c>
      <c r="F34" s="2" t="s">
        <v>32</v>
      </c>
      <c r="G34" s="2" t="s">
        <v>18</v>
      </c>
    </row>
    <row r="35" spans="1:7">
      <c r="A35" s="2">
        <v>34</v>
      </c>
      <c r="B35" s="2" t="s">
        <v>42</v>
      </c>
      <c r="C35" s="2" t="s">
        <v>8</v>
      </c>
      <c r="D35" s="2">
        <v>30</v>
      </c>
      <c r="E35" s="3">
        <v>-84655.3</v>
      </c>
      <c r="F35" s="2" t="s">
        <v>13</v>
      </c>
      <c r="G35" s="2" t="s">
        <v>26</v>
      </c>
    </row>
    <row r="36" spans="1:7">
      <c r="A36" s="2">
        <v>35</v>
      </c>
      <c r="B36" s="2" t="s">
        <v>48</v>
      </c>
      <c r="C36" s="2" t="s">
        <v>16</v>
      </c>
      <c r="D36" s="2">
        <v>8</v>
      </c>
      <c r="E36" s="3">
        <v>-89447.6</v>
      </c>
      <c r="F36" s="2" t="s">
        <v>9</v>
      </c>
      <c r="G36" s="2" t="s">
        <v>10</v>
      </c>
    </row>
    <row r="37" spans="1:7">
      <c r="A37" s="2">
        <v>36</v>
      </c>
      <c r="B37" s="2" t="s">
        <v>27</v>
      </c>
      <c r="C37" s="2" t="s">
        <v>16</v>
      </c>
      <c r="D37" s="2">
        <v>17</v>
      </c>
      <c r="E37" s="3">
        <v>-94239.9</v>
      </c>
      <c r="F37" s="2" t="s">
        <v>25</v>
      </c>
      <c r="G37" s="2" t="s">
        <v>10</v>
      </c>
    </row>
    <row r="38" spans="1:7">
      <c r="A38" s="2">
        <v>37</v>
      </c>
      <c r="B38" s="2" t="s">
        <v>31</v>
      </c>
      <c r="C38" s="2" t="s">
        <v>12</v>
      </c>
      <c r="D38" s="2">
        <v>43</v>
      </c>
      <c r="E38" s="3">
        <v>-99032.2</v>
      </c>
      <c r="F38" s="2" t="s">
        <v>17</v>
      </c>
      <c r="G38" s="2" t="s">
        <v>14</v>
      </c>
    </row>
    <row r="39" spans="1:7">
      <c r="A39" s="2">
        <v>38</v>
      </c>
      <c r="B39" s="2" t="s">
        <v>34</v>
      </c>
      <c r="C39" s="2" t="s">
        <v>22</v>
      </c>
      <c r="D39" s="2">
        <v>32</v>
      </c>
      <c r="E39" s="3">
        <v>-103824.5</v>
      </c>
      <c r="F39" s="2" t="s">
        <v>9</v>
      </c>
      <c r="G39" s="2" t="s">
        <v>26</v>
      </c>
    </row>
    <row r="40" spans="1:7">
      <c r="A40" s="2">
        <v>39</v>
      </c>
      <c r="B40" s="2" t="s">
        <v>51</v>
      </c>
      <c r="C40" s="2" t="s">
        <v>8</v>
      </c>
      <c r="D40" s="2">
        <v>34</v>
      </c>
      <c r="E40" s="3">
        <v>-108616.8</v>
      </c>
      <c r="F40" s="2" t="s">
        <v>28</v>
      </c>
      <c r="G40" s="2" t="s">
        <v>29</v>
      </c>
    </row>
    <row r="41" spans="1:7">
      <c r="A41" s="2">
        <v>40</v>
      </c>
      <c r="B41" s="2" t="s">
        <v>52</v>
      </c>
      <c r="C41" s="2" t="s">
        <v>16</v>
      </c>
      <c r="D41" s="2">
        <v>41</v>
      </c>
      <c r="E41" s="3">
        <v>-113409.1</v>
      </c>
      <c r="F41" s="2" t="s">
        <v>28</v>
      </c>
      <c r="G41" s="2" t="s">
        <v>10</v>
      </c>
    </row>
    <row r="42" spans="1:7">
      <c r="A42" s="2">
        <v>41</v>
      </c>
      <c r="B42" s="2" t="s">
        <v>53</v>
      </c>
      <c r="C42" s="2" t="s">
        <v>8</v>
      </c>
      <c r="D42" s="2">
        <v>21</v>
      </c>
      <c r="E42" s="3">
        <v>-118201.4</v>
      </c>
      <c r="F42" s="2" t="s">
        <v>17</v>
      </c>
      <c r="G42" s="2" t="s">
        <v>29</v>
      </c>
    </row>
    <row r="43" spans="1:7">
      <c r="A43" s="2">
        <v>42</v>
      </c>
      <c r="B43" s="2" t="s">
        <v>54</v>
      </c>
      <c r="C43" s="2" t="s">
        <v>22</v>
      </c>
      <c r="D43" s="2">
        <v>39</v>
      </c>
      <c r="E43" s="3">
        <v>-122993.7</v>
      </c>
      <c r="F43" s="2" t="s">
        <v>13</v>
      </c>
      <c r="G43" s="2" t="s">
        <v>26</v>
      </c>
    </row>
    <row r="44" spans="1:7">
      <c r="A44" s="2">
        <v>43</v>
      </c>
      <c r="B44" s="2" t="s">
        <v>55</v>
      </c>
      <c r="C44" s="2" t="s">
        <v>22</v>
      </c>
      <c r="D44" s="2">
        <v>25</v>
      </c>
      <c r="E44" s="3">
        <v>-127786</v>
      </c>
      <c r="F44" s="2" t="s">
        <v>25</v>
      </c>
      <c r="G44" s="2" t="s">
        <v>10</v>
      </c>
    </row>
    <row r="45" spans="1:7">
      <c r="A45" s="2">
        <v>44</v>
      </c>
      <c r="B45" s="2" t="s">
        <v>45</v>
      </c>
      <c r="C45" s="2" t="s">
        <v>16</v>
      </c>
      <c r="D45" s="2">
        <v>40</v>
      </c>
      <c r="E45" s="3">
        <v>-132578.29999999999</v>
      </c>
      <c r="F45" s="2" t="s">
        <v>20</v>
      </c>
      <c r="G45" s="2" t="s">
        <v>23</v>
      </c>
    </row>
    <row r="46" spans="1:7">
      <c r="A46" s="2">
        <v>45</v>
      </c>
      <c r="B46" s="2" t="s">
        <v>56</v>
      </c>
      <c r="C46" s="2" t="s">
        <v>12</v>
      </c>
      <c r="D46" s="2">
        <v>26</v>
      </c>
      <c r="E46" s="3">
        <v>-137370.6</v>
      </c>
      <c r="F46" s="2" t="s">
        <v>32</v>
      </c>
      <c r="G46" s="2" t="s">
        <v>18</v>
      </c>
    </row>
    <row r="47" spans="1:7">
      <c r="A47" s="2">
        <v>46</v>
      </c>
      <c r="B47" s="2" t="s">
        <v>57</v>
      </c>
      <c r="C47" s="2" t="s">
        <v>12</v>
      </c>
      <c r="D47" s="2">
        <v>38</v>
      </c>
      <c r="E47" s="3">
        <v>-142162.9</v>
      </c>
      <c r="F47" s="2" t="s">
        <v>9</v>
      </c>
      <c r="G47" s="2" t="s">
        <v>10</v>
      </c>
    </row>
    <row r="48" spans="1:7">
      <c r="A48" s="2">
        <v>47</v>
      </c>
      <c r="B48" s="2" t="s">
        <v>58</v>
      </c>
      <c r="C48" s="2" t="s">
        <v>22</v>
      </c>
      <c r="D48" s="2">
        <v>8</v>
      </c>
      <c r="E48" s="3">
        <v>-146955.20000000001</v>
      </c>
      <c r="F48" s="2" t="s">
        <v>25</v>
      </c>
      <c r="G48" s="2" t="s">
        <v>10</v>
      </c>
    </row>
    <row r="49" spans="1:7">
      <c r="A49" s="2">
        <v>48</v>
      </c>
      <c r="B49" s="2" t="s">
        <v>59</v>
      </c>
      <c r="C49" s="2" t="s">
        <v>22</v>
      </c>
      <c r="D49" s="2">
        <v>23</v>
      </c>
      <c r="E49" s="3">
        <v>-151747.5</v>
      </c>
      <c r="F49" s="2" t="s">
        <v>20</v>
      </c>
      <c r="G49" s="2" t="s">
        <v>26</v>
      </c>
    </row>
    <row r="50" spans="1:7">
      <c r="A50" s="2">
        <v>49</v>
      </c>
      <c r="B50" s="2" t="s">
        <v>60</v>
      </c>
      <c r="C50" s="2" t="s">
        <v>12</v>
      </c>
      <c r="D50" s="2">
        <v>23</v>
      </c>
      <c r="E50" s="3">
        <v>-156539.79999999999</v>
      </c>
      <c r="F50" s="2" t="s">
        <v>32</v>
      </c>
      <c r="G50" s="2" t="s">
        <v>14</v>
      </c>
    </row>
    <row r="51" spans="1:7">
      <c r="A51" s="2">
        <v>50</v>
      </c>
      <c r="B51" s="2" t="s">
        <v>61</v>
      </c>
      <c r="C51" s="2" t="s">
        <v>22</v>
      </c>
      <c r="D51" s="2">
        <v>30</v>
      </c>
      <c r="E51" s="3">
        <v>-161332.1</v>
      </c>
      <c r="F51" s="2" t="s">
        <v>13</v>
      </c>
      <c r="G51" s="2" t="s">
        <v>23</v>
      </c>
    </row>
    <row r="52" spans="1:7">
      <c r="A52" s="2">
        <v>51</v>
      </c>
      <c r="B52" s="2" t="s">
        <v>62</v>
      </c>
      <c r="C52" s="2" t="s">
        <v>16</v>
      </c>
      <c r="D52" s="2">
        <v>40</v>
      </c>
      <c r="E52" s="3">
        <v>-166124.4</v>
      </c>
      <c r="F52" s="2" t="s">
        <v>17</v>
      </c>
      <c r="G52" s="2" t="s">
        <v>18</v>
      </c>
    </row>
    <row r="53" spans="1:7">
      <c r="A53" s="2">
        <v>52</v>
      </c>
      <c r="B53" s="2" t="s">
        <v>63</v>
      </c>
      <c r="C53" s="2" t="s">
        <v>16</v>
      </c>
      <c r="D53" s="2">
        <v>12</v>
      </c>
      <c r="E53" s="3">
        <v>-170916.7</v>
      </c>
      <c r="F53" s="2" t="s">
        <v>38</v>
      </c>
      <c r="G53" s="2" t="s">
        <v>23</v>
      </c>
    </row>
    <row r="54" spans="1:7">
      <c r="A54" s="2">
        <v>53</v>
      </c>
      <c r="B54" s="2" t="s">
        <v>53</v>
      </c>
      <c r="C54" s="2" t="s">
        <v>8</v>
      </c>
      <c r="D54" s="2">
        <v>44</v>
      </c>
      <c r="E54" s="3">
        <v>-175709</v>
      </c>
      <c r="F54" s="2" t="s">
        <v>25</v>
      </c>
      <c r="G54" s="2" t="s">
        <v>26</v>
      </c>
    </row>
    <row r="55" spans="1:7">
      <c r="A55" s="2">
        <v>54</v>
      </c>
      <c r="B55" s="2" t="s">
        <v>54</v>
      </c>
      <c r="C55" s="2" t="s">
        <v>12</v>
      </c>
      <c r="D55" s="2">
        <v>46</v>
      </c>
      <c r="E55" s="3">
        <v>-180501.3</v>
      </c>
      <c r="F55" s="2" t="s">
        <v>13</v>
      </c>
      <c r="G55" s="2" t="s">
        <v>26</v>
      </c>
    </row>
    <row r="56" spans="1:7">
      <c r="A56" s="2">
        <v>55</v>
      </c>
      <c r="B56" s="2" t="s">
        <v>64</v>
      </c>
      <c r="C56" s="2" t="s">
        <v>22</v>
      </c>
      <c r="D56" s="2">
        <v>20</v>
      </c>
      <c r="E56" s="3">
        <v>-185293.6</v>
      </c>
      <c r="F56" s="2" t="s">
        <v>38</v>
      </c>
      <c r="G56" s="2" t="s">
        <v>18</v>
      </c>
    </row>
    <row r="57" spans="1:7">
      <c r="A57" s="2">
        <v>56</v>
      </c>
      <c r="B57" s="2" t="s">
        <v>65</v>
      </c>
      <c r="C57" s="2" t="s">
        <v>8</v>
      </c>
      <c r="D57" s="2">
        <v>40</v>
      </c>
      <c r="E57" s="3">
        <v>-190085.9</v>
      </c>
      <c r="F57" s="2" t="s">
        <v>20</v>
      </c>
      <c r="G57" s="2" t="s">
        <v>23</v>
      </c>
    </row>
    <row r="58" spans="1:7">
      <c r="A58" s="2">
        <v>57</v>
      </c>
      <c r="B58" s="2" t="s">
        <v>35</v>
      </c>
      <c r="C58" s="2" t="s">
        <v>16</v>
      </c>
      <c r="D58" s="2">
        <v>38</v>
      </c>
      <c r="E58" s="3">
        <v>-194878.2</v>
      </c>
      <c r="F58" s="2" t="s">
        <v>25</v>
      </c>
      <c r="G58" s="2" t="s">
        <v>23</v>
      </c>
    </row>
    <row r="59" spans="1:7">
      <c r="A59" s="2">
        <v>58</v>
      </c>
      <c r="B59" s="2" t="s">
        <v>64</v>
      </c>
      <c r="C59" s="2" t="s">
        <v>12</v>
      </c>
      <c r="D59" s="2">
        <v>6</v>
      </c>
      <c r="E59" s="3">
        <v>-199670.5</v>
      </c>
      <c r="F59" s="2" t="s">
        <v>9</v>
      </c>
      <c r="G59" s="2" t="s">
        <v>14</v>
      </c>
    </row>
    <row r="60" spans="1:7">
      <c r="A60" s="2">
        <v>59</v>
      </c>
      <c r="B60" s="2" t="s">
        <v>49</v>
      </c>
      <c r="C60" s="2" t="s">
        <v>16</v>
      </c>
      <c r="D60" s="2">
        <v>44</v>
      </c>
      <c r="E60" s="3">
        <v>-204462.8</v>
      </c>
      <c r="F60" s="2" t="s">
        <v>13</v>
      </c>
      <c r="G60" s="2" t="s">
        <v>29</v>
      </c>
    </row>
    <row r="61" spans="1:7">
      <c r="A61" s="2">
        <v>60</v>
      </c>
      <c r="B61" s="2" t="s">
        <v>27</v>
      </c>
      <c r="C61" s="2" t="s">
        <v>22</v>
      </c>
      <c r="D61" s="2">
        <v>9</v>
      </c>
      <c r="E61" s="3">
        <v>-209255.1</v>
      </c>
      <c r="F61" s="2" t="s">
        <v>20</v>
      </c>
      <c r="G61" s="2" t="s">
        <v>23</v>
      </c>
    </row>
    <row r="62" spans="1:7">
      <c r="A62" s="2">
        <v>61</v>
      </c>
      <c r="B62" s="2" t="s">
        <v>66</v>
      </c>
      <c r="C62" s="2" t="s">
        <v>8</v>
      </c>
      <c r="D62" s="2">
        <v>21</v>
      </c>
      <c r="E62" s="3">
        <v>-214047.4</v>
      </c>
      <c r="F62" s="2" t="s">
        <v>20</v>
      </c>
      <c r="G62" s="2" t="s">
        <v>26</v>
      </c>
    </row>
    <row r="63" spans="1:7">
      <c r="A63" s="2">
        <v>62</v>
      </c>
      <c r="B63" s="2" t="s">
        <v>51</v>
      </c>
      <c r="C63" s="2" t="s">
        <v>22</v>
      </c>
      <c r="D63" s="2">
        <v>8</v>
      </c>
      <c r="E63" s="3">
        <v>-218839.7</v>
      </c>
      <c r="F63" s="2" t="s">
        <v>28</v>
      </c>
      <c r="G63" s="2" t="s">
        <v>18</v>
      </c>
    </row>
    <row r="64" spans="1:7">
      <c r="A64" s="2">
        <v>63</v>
      </c>
      <c r="B64" s="2" t="s">
        <v>47</v>
      </c>
      <c r="C64" s="2" t="s">
        <v>22</v>
      </c>
      <c r="D64" s="2">
        <v>16</v>
      </c>
      <c r="E64" s="3">
        <v>-223632</v>
      </c>
      <c r="F64" s="2" t="s">
        <v>32</v>
      </c>
      <c r="G64" s="2" t="s">
        <v>18</v>
      </c>
    </row>
    <row r="65" spans="1:7">
      <c r="A65" s="2">
        <v>64</v>
      </c>
      <c r="B65" s="2" t="s">
        <v>55</v>
      </c>
      <c r="C65" s="2" t="s">
        <v>12</v>
      </c>
      <c r="D65" s="2">
        <v>20</v>
      </c>
      <c r="E65" s="3">
        <v>-228424.3</v>
      </c>
      <c r="F65" s="2" t="s">
        <v>17</v>
      </c>
      <c r="G65" s="2" t="s">
        <v>14</v>
      </c>
    </row>
    <row r="66" spans="1:7">
      <c r="A66" s="2">
        <v>65</v>
      </c>
      <c r="B66" s="2" t="s">
        <v>43</v>
      </c>
      <c r="C66" s="2" t="s">
        <v>12</v>
      </c>
      <c r="D66" s="2">
        <v>8</v>
      </c>
      <c r="E66" s="3">
        <v>-233216.6</v>
      </c>
      <c r="F66" s="2" t="s">
        <v>20</v>
      </c>
      <c r="G66" s="2" t="s">
        <v>29</v>
      </c>
    </row>
    <row r="67" spans="1:7">
      <c r="A67" s="2">
        <v>66</v>
      </c>
      <c r="B67" s="2" t="s">
        <v>67</v>
      </c>
      <c r="C67" s="2" t="s">
        <v>22</v>
      </c>
      <c r="D67" s="2">
        <v>12</v>
      </c>
      <c r="E67" s="3">
        <v>-238008.9</v>
      </c>
      <c r="F67" s="2" t="s">
        <v>38</v>
      </c>
      <c r="G67" s="2" t="s">
        <v>18</v>
      </c>
    </row>
    <row r="68" spans="1:7">
      <c r="A68" s="2">
        <v>67</v>
      </c>
      <c r="B68" s="2" t="s">
        <v>68</v>
      </c>
      <c r="C68" s="2" t="s">
        <v>12</v>
      </c>
      <c r="D68" s="2">
        <v>24</v>
      </c>
      <c r="E68" s="3">
        <v>-242801.2</v>
      </c>
      <c r="F68" s="2" t="s">
        <v>13</v>
      </c>
      <c r="G68" s="2" t="s">
        <v>14</v>
      </c>
    </row>
    <row r="69" spans="1:7">
      <c r="A69" s="2">
        <v>68</v>
      </c>
      <c r="B69" s="2" t="s">
        <v>53</v>
      </c>
      <c r="C69" s="2" t="s">
        <v>8</v>
      </c>
      <c r="D69" s="2">
        <v>45</v>
      </c>
      <c r="E69" s="3">
        <v>-247593.5</v>
      </c>
      <c r="F69" s="2" t="s">
        <v>13</v>
      </c>
      <c r="G69" s="2" t="s">
        <v>18</v>
      </c>
    </row>
    <row r="70" spans="1:7">
      <c r="A70" s="2">
        <v>69</v>
      </c>
      <c r="B70" s="2" t="s">
        <v>69</v>
      </c>
      <c r="C70" s="2" t="s">
        <v>8</v>
      </c>
      <c r="D70" s="2">
        <v>10</v>
      </c>
      <c r="E70" s="3">
        <v>-252385.8</v>
      </c>
      <c r="F70" s="2" t="s">
        <v>28</v>
      </c>
      <c r="G70" s="2" t="s">
        <v>10</v>
      </c>
    </row>
    <row r="71" spans="1:7">
      <c r="A71" s="2">
        <v>70</v>
      </c>
      <c r="B71" s="2" t="s">
        <v>37</v>
      </c>
      <c r="C71" s="2" t="s">
        <v>22</v>
      </c>
      <c r="D71" s="2">
        <v>33</v>
      </c>
      <c r="E71" s="3">
        <v>-257178.1</v>
      </c>
      <c r="F71" s="2" t="s">
        <v>38</v>
      </c>
      <c r="G71" s="2" t="s">
        <v>26</v>
      </c>
    </row>
    <row r="72" spans="1:7">
      <c r="A72" s="2">
        <v>71</v>
      </c>
      <c r="B72" s="2" t="s">
        <v>70</v>
      </c>
      <c r="C72" s="2" t="s">
        <v>8</v>
      </c>
      <c r="D72" s="2">
        <v>25</v>
      </c>
      <c r="E72" s="3">
        <v>-261970.4</v>
      </c>
      <c r="F72" s="2" t="s">
        <v>25</v>
      </c>
      <c r="G72" s="2" t="s">
        <v>23</v>
      </c>
    </row>
    <row r="73" spans="1:7">
      <c r="A73" s="2">
        <v>72</v>
      </c>
      <c r="B73" s="2" t="s">
        <v>27</v>
      </c>
      <c r="C73" s="2" t="s">
        <v>22</v>
      </c>
      <c r="D73" s="2">
        <v>27</v>
      </c>
      <c r="E73" s="3">
        <v>-266762.7</v>
      </c>
      <c r="F73" s="2" t="s">
        <v>9</v>
      </c>
      <c r="G73" s="2" t="s">
        <v>29</v>
      </c>
    </row>
    <row r="74" spans="1:7">
      <c r="A74" s="2">
        <v>73</v>
      </c>
      <c r="B74" s="2" t="s">
        <v>71</v>
      </c>
      <c r="C74" s="2" t="s">
        <v>8</v>
      </c>
      <c r="D74" s="2">
        <v>39</v>
      </c>
      <c r="E74" s="3">
        <v>-271555</v>
      </c>
      <c r="F74" s="2" t="s">
        <v>9</v>
      </c>
      <c r="G74" s="2" t="s">
        <v>23</v>
      </c>
    </row>
    <row r="75" spans="1:7">
      <c r="A75" s="2">
        <v>74</v>
      </c>
      <c r="B75" s="2" t="s">
        <v>72</v>
      </c>
      <c r="C75" s="2" t="s">
        <v>16</v>
      </c>
      <c r="D75" s="2">
        <v>9</v>
      </c>
      <c r="E75" s="3">
        <v>-276347.3</v>
      </c>
      <c r="F75" s="2" t="s">
        <v>38</v>
      </c>
      <c r="G75" s="2" t="s">
        <v>23</v>
      </c>
    </row>
    <row r="76" spans="1:7">
      <c r="A76" s="2">
        <v>75</v>
      </c>
      <c r="B76" s="2" t="s">
        <v>57</v>
      </c>
      <c r="C76" s="2" t="s">
        <v>22</v>
      </c>
      <c r="D76" s="2">
        <v>37</v>
      </c>
      <c r="E76" s="3">
        <v>-281139.59999999998</v>
      </c>
      <c r="F76" s="2" t="s">
        <v>32</v>
      </c>
      <c r="G76" s="2" t="s">
        <v>10</v>
      </c>
    </row>
    <row r="77" spans="1:7">
      <c r="A77" s="2">
        <v>76</v>
      </c>
      <c r="B77" s="2" t="s">
        <v>19</v>
      </c>
      <c r="C77" s="2" t="s">
        <v>8</v>
      </c>
      <c r="D77" s="2">
        <v>25</v>
      </c>
      <c r="E77" s="3">
        <v>-285931.90000000002</v>
      </c>
      <c r="F77" s="2" t="s">
        <v>28</v>
      </c>
      <c r="G77" s="2" t="s">
        <v>29</v>
      </c>
    </row>
    <row r="78" spans="1:7">
      <c r="A78" s="2">
        <v>77</v>
      </c>
      <c r="B78" s="2" t="s">
        <v>50</v>
      </c>
      <c r="C78" s="2" t="s">
        <v>16</v>
      </c>
      <c r="D78" s="2">
        <v>28</v>
      </c>
      <c r="E78" s="3">
        <v>-290724.2</v>
      </c>
      <c r="F78" s="2" t="s">
        <v>32</v>
      </c>
      <c r="G78" s="2" t="s">
        <v>23</v>
      </c>
    </row>
    <row r="79" spans="1:7">
      <c r="A79" s="2">
        <v>78</v>
      </c>
      <c r="B79" s="2" t="s">
        <v>73</v>
      </c>
      <c r="C79" s="2" t="s">
        <v>22</v>
      </c>
      <c r="D79" s="2">
        <v>12</v>
      </c>
      <c r="E79" s="3">
        <v>-295516.5</v>
      </c>
      <c r="F79" s="2" t="s">
        <v>38</v>
      </c>
      <c r="G79" s="2" t="s">
        <v>14</v>
      </c>
    </row>
    <row r="80" spans="1:7">
      <c r="A80" s="2">
        <v>79</v>
      </c>
      <c r="B80" s="2" t="s">
        <v>74</v>
      </c>
      <c r="C80" s="2" t="s">
        <v>8</v>
      </c>
      <c r="D80" s="2">
        <v>32</v>
      </c>
      <c r="E80" s="3">
        <v>-300308.8</v>
      </c>
      <c r="F80" s="2" t="s">
        <v>32</v>
      </c>
      <c r="G80" s="2" t="s">
        <v>18</v>
      </c>
    </row>
    <row r="81" spans="1:7">
      <c r="A81" s="2">
        <v>80</v>
      </c>
      <c r="B81" s="2" t="s">
        <v>62</v>
      </c>
      <c r="C81" s="2" t="s">
        <v>8</v>
      </c>
      <c r="D81" s="2">
        <v>41</v>
      </c>
      <c r="E81" s="3">
        <v>-305101.09999999998</v>
      </c>
      <c r="F81" s="2" t="s">
        <v>25</v>
      </c>
      <c r="G81" s="2" t="s">
        <v>26</v>
      </c>
    </row>
    <row r="82" spans="1:7">
      <c r="A82" s="2">
        <v>81</v>
      </c>
      <c r="B82" s="2" t="s">
        <v>75</v>
      </c>
      <c r="C82" s="2" t="s">
        <v>16</v>
      </c>
      <c r="D82" s="2">
        <v>35</v>
      </c>
      <c r="E82" s="3">
        <v>-309893.40000000002</v>
      </c>
      <c r="F82" s="2" t="s">
        <v>38</v>
      </c>
      <c r="G82" s="2" t="s">
        <v>18</v>
      </c>
    </row>
    <row r="83" spans="1:7">
      <c r="A83" s="2">
        <v>82</v>
      </c>
      <c r="B83" s="2" t="s">
        <v>64</v>
      </c>
      <c r="C83" s="2" t="s">
        <v>12</v>
      </c>
      <c r="D83" s="2">
        <v>45</v>
      </c>
      <c r="E83" s="3">
        <v>-314685.7</v>
      </c>
      <c r="F83" s="2" t="s">
        <v>17</v>
      </c>
      <c r="G83" s="2" t="s">
        <v>26</v>
      </c>
    </row>
    <row r="84" spans="1:7">
      <c r="A84" s="2">
        <v>83</v>
      </c>
      <c r="B84" s="2" t="s">
        <v>69</v>
      </c>
      <c r="C84" s="2" t="s">
        <v>12</v>
      </c>
      <c r="D84" s="2">
        <v>42</v>
      </c>
      <c r="E84" s="3">
        <v>-319478</v>
      </c>
      <c r="F84" s="2" t="s">
        <v>32</v>
      </c>
      <c r="G84" s="2" t="s">
        <v>14</v>
      </c>
    </row>
    <row r="85" spans="1:7">
      <c r="A85" s="2">
        <v>84</v>
      </c>
      <c r="B85" s="2" t="s">
        <v>11</v>
      </c>
      <c r="C85" s="2" t="s">
        <v>16</v>
      </c>
      <c r="D85" s="2">
        <v>12</v>
      </c>
      <c r="E85" s="3">
        <v>-324270.3</v>
      </c>
      <c r="F85" s="2" t="s">
        <v>38</v>
      </c>
      <c r="G85" s="2" t="s">
        <v>18</v>
      </c>
    </row>
    <row r="86" spans="1:7">
      <c r="A86" s="2">
        <v>85</v>
      </c>
      <c r="B86" s="2" t="s">
        <v>42</v>
      </c>
      <c r="C86" s="2" t="s">
        <v>16</v>
      </c>
      <c r="D86" s="2">
        <v>36</v>
      </c>
      <c r="E86" s="3">
        <v>-329062.59999999998</v>
      </c>
      <c r="F86" s="2" t="s">
        <v>25</v>
      </c>
      <c r="G86" s="2" t="s">
        <v>10</v>
      </c>
    </row>
    <row r="87" spans="1:7">
      <c r="A87" s="2">
        <v>86</v>
      </c>
      <c r="B87" s="2" t="s">
        <v>76</v>
      </c>
      <c r="C87" s="2" t="s">
        <v>22</v>
      </c>
      <c r="D87" s="2">
        <v>11</v>
      </c>
      <c r="E87" s="3">
        <v>-333854.90000000002</v>
      </c>
      <c r="F87" s="2" t="s">
        <v>20</v>
      </c>
      <c r="G87" s="2" t="s">
        <v>14</v>
      </c>
    </row>
    <row r="88" spans="1:7">
      <c r="A88" s="2">
        <v>87</v>
      </c>
      <c r="B88" s="2" t="s">
        <v>48</v>
      </c>
      <c r="C88" s="2" t="s">
        <v>12</v>
      </c>
      <c r="D88" s="2">
        <v>32</v>
      </c>
      <c r="E88" s="3">
        <v>-338647.2</v>
      </c>
      <c r="F88" s="2" t="s">
        <v>28</v>
      </c>
      <c r="G88" s="2" t="s">
        <v>10</v>
      </c>
    </row>
    <row r="89" spans="1:7">
      <c r="A89" s="2">
        <v>88</v>
      </c>
      <c r="B89" s="2" t="s">
        <v>47</v>
      </c>
      <c r="C89" s="2" t="s">
        <v>22</v>
      </c>
      <c r="D89" s="2">
        <v>19</v>
      </c>
      <c r="E89" s="3">
        <v>-343439.5</v>
      </c>
      <c r="F89" s="2" t="s">
        <v>13</v>
      </c>
      <c r="G89" s="2" t="s">
        <v>29</v>
      </c>
    </row>
    <row r="90" spans="1:7">
      <c r="A90" s="2">
        <v>89</v>
      </c>
      <c r="B90" s="2" t="s">
        <v>70</v>
      </c>
      <c r="C90" s="2" t="s">
        <v>8</v>
      </c>
      <c r="D90" s="2">
        <v>9</v>
      </c>
      <c r="E90" s="3">
        <v>-348231.8</v>
      </c>
      <c r="F90" s="2" t="s">
        <v>17</v>
      </c>
      <c r="G90" s="2" t="s">
        <v>18</v>
      </c>
    </row>
    <row r="91" spans="1:7">
      <c r="A91" s="2">
        <v>90</v>
      </c>
      <c r="B91" s="2" t="s">
        <v>65</v>
      </c>
      <c r="C91" s="2" t="s">
        <v>16</v>
      </c>
      <c r="D91" s="2">
        <v>12</v>
      </c>
      <c r="E91" s="3">
        <v>-353024.1</v>
      </c>
      <c r="F91" s="2" t="s">
        <v>13</v>
      </c>
      <c r="G91" s="2" t="s">
        <v>10</v>
      </c>
    </row>
    <row r="92" spans="1:7">
      <c r="A92" s="2">
        <v>91</v>
      </c>
      <c r="B92" s="2" t="s">
        <v>21</v>
      </c>
      <c r="C92" s="2" t="s">
        <v>22</v>
      </c>
      <c r="D92" s="2">
        <v>21</v>
      </c>
      <c r="E92" s="3">
        <v>-357816.4</v>
      </c>
      <c r="F92" s="2" t="s">
        <v>13</v>
      </c>
      <c r="G92" s="2" t="s">
        <v>18</v>
      </c>
    </row>
    <row r="93" spans="1:7">
      <c r="A93" s="2">
        <v>92</v>
      </c>
      <c r="B93" s="2" t="s">
        <v>63</v>
      </c>
      <c r="C93" s="2" t="s">
        <v>16</v>
      </c>
      <c r="D93" s="2">
        <v>29</v>
      </c>
      <c r="E93" s="3">
        <v>-362608.7</v>
      </c>
      <c r="F93" s="2" t="s">
        <v>32</v>
      </c>
      <c r="G93" s="2" t="s">
        <v>29</v>
      </c>
    </row>
    <row r="94" spans="1:7">
      <c r="A94" s="2">
        <v>93</v>
      </c>
      <c r="B94" s="2" t="s">
        <v>77</v>
      </c>
      <c r="C94" s="2" t="s">
        <v>22</v>
      </c>
      <c r="D94" s="2">
        <v>40</v>
      </c>
      <c r="E94" s="3">
        <v>-367401</v>
      </c>
      <c r="F94" s="2" t="s">
        <v>38</v>
      </c>
      <c r="G94" s="2" t="s">
        <v>23</v>
      </c>
    </row>
    <row r="95" spans="1:7">
      <c r="A95" s="2">
        <v>94</v>
      </c>
      <c r="B95" s="2" t="s">
        <v>42</v>
      </c>
      <c r="C95" s="2" t="s">
        <v>8</v>
      </c>
      <c r="D95" s="2">
        <v>4</v>
      </c>
      <c r="E95" s="3">
        <v>-372193.3</v>
      </c>
      <c r="F95" s="2" t="s">
        <v>20</v>
      </c>
      <c r="G95" s="2" t="s">
        <v>18</v>
      </c>
    </row>
    <row r="96" spans="1:7">
      <c r="A96" s="2">
        <v>95</v>
      </c>
      <c r="B96" s="2" t="s">
        <v>78</v>
      </c>
      <c r="C96" s="2" t="s">
        <v>8</v>
      </c>
      <c r="D96" s="2">
        <v>23</v>
      </c>
      <c r="E96" s="3">
        <v>-376985.59999999998</v>
      </c>
      <c r="F96" s="2" t="s">
        <v>20</v>
      </c>
      <c r="G96" s="2" t="s">
        <v>29</v>
      </c>
    </row>
    <row r="97" spans="1:7">
      <c r="A97" s="2">
        <v>96</v>
      </c>
      <c r="B97" s="2" t="s">
        <v>79</v>
      </c>
      <c r="C97" s="2" t="s">
        <v>12</v>
      </c>
      <c r="D97" s="2">
        <v>1</v>
      </c>
      <c r="E97" s="3">
        <v>-381777.9</v>
      </c>
      <c r="F97" s="2" t="s">
        <v>28</v>
      </c>
      <c r="G97" s="2" t="s">
        <v>14</v>
      </c>
    </row>
    <row r="98" spans="1:7">
      <c r="A98" s="2">
        <v>97</v>
      </c>
      <c r="B98" s="2" t="s">
        <v>43</v>
      </c>
      <c r="C98" s="2" t="s">
        <v>12</v>
      </c>
      <c r="D98" s="2">
        <v>32</v>
      </c>
      <c r="E98" s="3">
        <v>-386570.2</v>
      </c>
      <c r="F98" s="2" t="s">
        <v>17</v>
      </c>
      <c r="G98" s="2" t="s">
        <v>18</v>
      </c>
    </row>
    <row r="99" spans="1:7">
      <c r="A99" s="2">
        <v>98</v>
      </c>
      <c r="B99" s="2" t="s">
        <v>72</v>
      </c>
      <c r="C99" s="2" t="s">
        <v>8</v>
      </c>
      <c r="D99" s="2">
        <v>9</v>
      </c>
      <c r="E99" s="3">
        <v>-391362.5</v>
      </c>
      <c r="F99" s="2" t="s">
        <v>17</v>
      </c>
      <c r="G99" s="2" t="s">
        <v>14</v>
      </c>
    </row>
    <row r="100" spans="1:7">
      <c r="A100" s="2">
        <v>99</v>
      </c>
      <c r="B100" s="2" t="s">
        <v>49</v>
      </c>
      <c r="C100" s="2" t="s">
        <v>22</v>
      </c>
      <c r="D100" s="2">
        <v>13</v>
      </c>
      <c r="E100" s="3">
        <v>-396154.8</v>
      </c>
      <c r="F100" s="2" t="s">
        <v>28</v>
      </c>
      <c r="G100" s="2" t="s">
        <v>29</v>
      </c>
    </row>
    <row r="101" spans="1:7">
      <c r="A101" s="2">
        <v>100</v>
      </c>
      <c r="B101" s="2" t="s">
        <v>68</v>
      </c>
      <c r="C101" s="2" t="s">
        <v>16</v>
      </c>
      <c r="D101" s="2">
        <v>25</v>
      </c>
      <c r="E101" s="3">
        <v>-400947.1</v>
      </c>
      <c r="F101" s="2" t="s">
        <v>32</v>
      </c>
      <c r="G101" s="2" t="s">
        <v>14</v>
      </c>
    </row>
    <row r="102" spans="1:7">
      <c r="A102" s="2">
        <v>101</v>
      </c>
      <c r="B102" s="2" t="s">
        <v>80</v>
      </c>
      <c r="C102" s="2" t="s">
        <v>8</v>
      </c>
      <c r="D102" s="2">
        <v>36</v>
      </c>
      <c r="E102" s="3">
        <v>-405739.4</v>
      </c>
      <c r="F102" s="2" t="s">
        <v>32</v>
      </c>
      <c r="G102" s="2" t="s">
        <v>10</v>
      </c>
    </row>
    <row r="103" spans="1:7">
      <c r="A103" s="2">
        <v>102</v>
      </c>
      <c r="B103" s="2" t="s">
        <v>39</v>
      </c>
      <c r="C103" s="2" t="s">
        <v>8</v>
      </c>
      <c r="D103" s="2">
        <v>33</v>
      </c>
      <c r="E103" s="3">
        <v>-410531.7</v>
      </c>
      <c r="F103" s="2" t="s">
        <v>9</v>
      </c>
      <c r="G103" s="2" t="s">
        <v>23</v>
      </c>
    </row>
    <row r="104" spans="1:7">
      <c r="A104" s="2">
        <v>103</v>
      </c>
      <c r="B104" s="2" t="s">
        <v>81</v>
      </c>
      <c r="C104" s="2" t="s">
        <v>22</v>
      </c>
      <c r="D104" s="2">
        <v>42</v>
      </c>
      <c r="E104" s="3">
        <v>-415324</v>
      </c>
      <c r="F104" s="2" t="s">
        <v>13</v>
      </c>
      <c r="G104" s="2" t="s">
        <v>14</v>
      </c>
    </row>
    <row r="105" spans="1:7">
      <c r="A105" s="2">
        <v>104</v>
      </c>
      <c r="B105" s="2" t="s">
        <v>55</v>
      </c>
      <c r="C105" s="2" t="s">
        <v>8</v>
      </c>
      <c r="D105" s="2">
        <v>32</v>
      </c>
      <c r="E105" s="3">
        <v>-420116.3</v>
      </c>
      <c r="F105" s="2" t="s">
        <v>38</v>
      </c>
      <c r="G105" s="2" t="s">
        <v>10</v>
      </c>
    </row>
    <row r="106" spans="1:7">
      <c r="A106" s="2">
        <v>105</v>
      </c>
      <c r="B106" s="2" t="s">
        <v>54</v>
      </c>
      <c r="C106" s="2" t="s">
        <v>8</v>
      </c>
      <c r="D106" s="2">
        <v>27</v>
      </c>
      <c r="E106" s="3">
        <v>-424908.6</v>
      </c>
      <c r="F106" s="2" t="s">
        <v>28</v>
      </c>
      <c r="G106" s="2" t="s">
        <v>23</v>
      </c>
    </row>
    <row r="107" spans="1:7">
      <c r="A107" s="2">
        <v>106</v>
      </c>
      <c r="B107" s="2" t="s">
        <v>82</v>
      </c>
      <c r="C107" s="2" t="s">
        <v>22</v>
      </c>
      <c r="D107" s="2">
        <v>44</v>
      </c>
      <c r="E107" s="3">
        <v>-429700.9</v>
      </c>
      <c r="F107" s="2" t="s">
        <v>25</v>
      </c>
      <c r="G107" s="2" t="s">
        <v>29</v>
      </c>
    </row>
    <row r="108" spans="1:7">
      <c r="A108" s="2">
        <v>107</v>
      </c>
      <c r="B108" s="2" t="s">
        <v>71</v>
      </c>
      <c r="C108" s="2" t="s">
        <v>8</v>
      </c>
      <c r="D108" s="2">
        <v>32</v>
      </c>
      <c r="E108" s="3">
        <v>-434493.2</v>
      </c>
      <c r="F108" s="2" t="s">
        <v>13</v>
      </c>
      <c r="G108" s="2" t="s">
        <v>29</v>
      </c>
    </row>
    <row r="109" spans="1:7">
      <c r="A109" s="2">
        <v>108</v>
      </c>
      <c r="B109" s="2" t="s">
        <v>41</v>
      </c>
      <c r="C109" s="2" t="s">
        <v>12</v>
      </c>
      <c r="D109" s="2">
        <v>27</v>
      </c>
      <c r="E109" s="3">
        <v>-439285.5</v>
      </c>
      <c r="F109" s="2" t="s">
        <v>20</v>
      </c>
      <c r="G109" s="2" t="s">
        <v>18</v>
      </c>
    </row>
    <row r="110" spans="1:7">
      <c r="A110" s="2">
        <v>109</v>
      </c>
      <c r="B110" s="2" t="s">
        <v>52</v>
      </c>
      <c r="C110" s="2" t="s">
        <v>12</v>
      </c>
      <c r="D110" s="2">
        <v>46</v>
      </c>
      <c r="E110" s="3">
        <v>-444077.8</v>
      </c>
      <c r="F110" s="2" t="s">
        <v>20</v>
      </c>
      <c r="G110" s="2" t="s">
        <v>10</v>
      </c>
    </row>
    <row r="111" spans="1:7">
      <c r="A111" s="2">
        <v>110</v>
      </c>
      <c r="B111" s="2" t="s">
        <v>37</v>
      </c>
      <c r="C111" s="2" t="s">
        <v>12</v>
      </c>
      <c r="D111" s="2">
        <v>29</v>
      </c>
      <c r="E111" s="3">
        <v>-448870.1</v>
      </c>
      <c r="F111" s="2" t="s">
        <v>28</v>
      </c>
      <c r="G111" s="2" t="s">
        <v>26</v>
      </c>
    </row>
    <row r="112" spans="1:7">
      <c r="A112" s="2">
        <v>111</v>
      </c>
      <c r="B112" s="2" t="s">
        <v>83</v>
      </c>
      <c r="C112" s="2" t="s">
        <v>12</v>
      </c>
      <c r="D112" s="2">
        <v>32</v>
      </c>
      <c r="E112" s="3">
        <v>-453662.4</v>
      </c>
      <c r="F112" s="2" t="s">
        <v>17</v>
      </c>
      <c r="G112" s="2" t="s">
        <v>23</v>
      </c>
    </row>
    <row r="113" spans="1:7">
      <c r="A113" s="2">
        <v>112</v>
      </c>
      <c r="B113" s="2" t="s">
        <v>57</v>
      </c>
      <c r="C113" s="2" t="s">
        <v>8</v>
      </c>
      <c r="D113" s="2">
        <v>11</v>
      </c>
      <c r="E113" s="3">
        <v>-458454.7</v>
      </c>
      <c r="F113" s="2" t="s">
        <v>20</v>
      </c>
      <c r="G113" s="2" t="s">
        <v>18</v>
      </c>
    </row>
    <row r="114" spans="1:7">
      <c r="A114" s="2">
        <v>113</v>
      </c>
      <c r="B114" s="2" t="s">
        <v>84</v>
      </c>
      <c r="C114" s="2" t="s">
        <v>16</v>
      </c>
      <c r="D114" s="2">
        <v>6</v>
      </c>
      <c r="E114" s="3">
        <v>-463247</v>
      </c>
      <c r="F114" s="2" t="s">
        <v>28</v>
      </c>
      <c r="G114" s="2" t="s">
        <v>18</v>
      </c>
    </row>
    <row r="115" spans="1:7">
      <c r="A115" s="2">
        <v>114</v>
      </c>
      <c r="B115" s="2" t="s">
        <v>31</v>
      </c>
      <c r="C115" s="2" t="s">
        <v>12</v>
      </c>
      <c r="D115" s="2">
        <v>37</v>
      </c>
      <c r="E115" s="3">
        <v>-468039.3</v>
      </c>
      <c r="F115" s="2" t="s">
        <v>28</v>
      </c>
      <c r="G115" s="2" t="s">
        <v>29</v>
      </c>
    </row>
    <row r="116" spans="1:7">
      <c r="A116" s="2">
        <v>115</v>
      </c>
      <c r="B116" s="2" t="s">
        <v>85</v>
      </c>
      <c r="C116" s="2" t="s">
        <v>12</v>
      </c>
      <c r="D116" s="2">
        <v>2</v>
      </c>
      <c r="E116" s="3">
        <v>-472831.6</v>
      </c>
      <c r="F116" s="2" t="s">
        <v>9</v>
      </c>
      <c r="G116" s="2" t="s">
        <v>14</v>
      </c>
    </row>
    <row r="117" spans="1:7">
      <c r="A117" s="2">
        <v>116</v>
      </c>
      <c r="B117" s="2" t="s">
        <v>7</v>
      </c>
      <c r="C117" s="2" t="s">
        <v>8</v>
      </c>
      <c r="D117" s="2">
        <v>49</v>
      </c>
      <c r="E117" s="3">
        <v>-477623.9</v>
      </c>
      <c r="F117" s="2" t="s">
        <v>13</v>
      </c>
      <c r="G117" s="2" t="s">
        <v>23</v>
      </c>
    </row>
    <row r="118" spans="1:7">
      <c r="A118" s="2">
        <v>117</v>
      </c>
      <c r="B118" s="2" t="s">
        <v>50</v>
      </c>
      <c r="C118" s="2" t="s">
        <v>8</v>
      </c>
      <c r="D118" s="2">
        <v>15</v>
      </c>
      <c r="E118" s="3">
        <v>-482416.2</v>
      </c>
      <c r="F118" s="2" t="s">
        <v>9</v>
      </c>
      <c r="G118" s="2" t="s">
        <v>26</v>
      </c>
    </row>
    <row r="119" spans="1:7">
      <c r="A119" s="2">
        <v>118</v>
      </c>
      <c r="B119" s="2" t="s">
        <v>50</v>
      </c>
      <c r="C119" s="2" t="s">
        <v>22</v>
      </c>
      <c r="D119" s="2">
        <v>19</v>
      </c>
      <c r="E119" s="3">
        <v>-487208.5</v>
      </c>
      <c r="F119" s="2" t="s">
        <v>32</v>
      </c>
      <c r="G119" s="2" t="s">
        <v>29</v>
      </c>
    </row>
    <row r="120" spans="1:7">
      <c r="A120" s="2">
        <v>119</v>
      </c>
      <c r="B120" s="2" t="s">
        <v>34</v>
      </c>
      <c r="C120" s="2" t="s">
        <v>12</v>
      </c>
      <c r="D120" s="2">
        <v>3</v>
      </c>
      <c r="E120" s="3">
        <v>-492000.8</v>
      </c>
      <c r="F120" s="2" t="s">
        <v>17</v>
      </c>
      <c r="G120" s="2" t="s">
        <v>29</v>
      </c>
    </row>
    <row r="121" spans="1:7">
      <c r="A121" s="2">
        <v>120</v>
      </c>
      <c r="B121" s="2" t="s">
        <v>33</v>
      </c>
      <c r="C121" s="2" t="s">
        <v>22</v>
      </c>
      <c r="D121" s="2">
        <v>18</v>
      </c>
      <c r="E121" s="3">
        <v>-496793.1</v>
      </c>
      <c r="F121" s="2" t="s">
        <v>9</v>
      </c>
      <c r="G121" s="2" t="s">
        <v>26</v>
      </c>
    </row>
    <row r="122" spans="1:7">
      <c r="A122" s="2">
        <v>121</v>
      </c>
      <c r="B122" s="2" t="s">
        <v>58</v>
      </c>
      <c r="C122" s="2" t="s">
        <v>12</v>
      </c>
      <c r="D122" s="2">
        <v>15</v>
      </c>
      <c r="E122" s="3">
        <v>-501585.4</v>
      </c>
      <c r="F122" s="2" t="s">
        <v>9</v>
      </c>
      <c r="G122" s="2" t="s">
        <v>14</v>
      </c>
    </row>
    <row r="123" spans="1:7">
      <c r="A123" s="2">
        <v>122</v>
      </c>
      <c r="B123" s="2" t="s">
        <v>59</v>
      </c>
      <c r="C123" s="2" t="s">
        <v>16</v>
      </c>
      <c r="D123" s="2">
        <v>35</v>
      </c>
      <c r="E123" s="3">
        <v>-506377.7</v>
      </c>
      <c r="F123" s="2" t="s">
        <v>38</v>
      </c>
      <c r="G123" s="2" t="s">
        <v>10</v>
      </c>
    </row>
    <row r="124" spans="1:7">
      <c r="A124" s="2">
        <v>123</v>
      </c>
      <c r="B124" s="2" t="s">
        <v>34</v>
      </c>
      <c r="C124" s="2" t="s">
        <v>8</v>
      </c>
      <c r="D124" s="2">
        <v>19</v>
      </c>
      <c r="E124" s="3">
        <v>-511170</v>
      </c>
      <c r="F124" s="2" t="s">
        <v>9</v>
      </c>
      <c r="G124" s="2" t="s">
        <v>10</v>
      </c>
    </row>
    <row r="125" spans="1:7">
      <c r="A125" s="2">
        <v>124</v>
      </c>
      <c r="B125" s="2" t="s">
        <v>40</v>
      </c>
      <c r="C125" s="2" t="s">
        <v>8</v>
      </c>
      <c r="D125" s="2">
        <v>11</v>
      </c>
      <c r="E125" s="3">
        <v>-515962.3</v>
      </c>
      <c r="F125" s="2" t="s">
        <v>20</v>
      </c>
      <c r="G125" s="2" t="s">
        <v>26</v>
      </c>
    </row>
    <row r="126" spans="1:7">
      <c r="A126" s="2">
        <v>125</v>
      </c>
      <c r="B126" s="2" t="s">
        <v>78</v>
      </c>
      <c r="C126" s="2" t="s">
        <v>22</v>
      </c>
      <c r="D126" s="2">
        <v>50</v>
      </c>
      <c r="E126" s="3">
        <v>-520754.6</v>
      </c>
      <c r="F126" s="2" t="s">
        <v>28</v>
      </c>
      <c r="G126" s="2" t="s">
        <v>23</v>
      </c>
    </row>
    <row r="127" spans="1:7">
      <c r="A127" s="2">
        <v>126</v>
      </c>
      <c r="B127" s="2" t="s">
        <v>39</v>
      </c>
      <c r="C127" s="2" t="s">
        <v>22</v>
      </c>
      <c r="D127" s="2">
        <v>30</v>
      </c>
      <c r="E127" s="3">
        <v>-525546.9</v>
      </c>
      <c r="F127" s="2" t="s">
        <v>20</v>
      </c>
      <c r="G127" s="2" t="s">
        <v>14</v>
      </c>
    </row>
    <row r="128" spans="1:7">
      <c r="A128" s="2">
        <v>127</v>
      </c>
      <c r="B128" s="2" t="s">
        <v>86</v>
      </c>
      <c r="C128" s="2" t="s">
        <v>8</v>
      </c>
      <c r="D128" s="2">
        <v>37</v>
      </c>
      <c r="E128" s="3">
        <v>-530339.19999999995</v>
      </c>
      <c r="F128" s="2" t="s">
        <v>13</v>
      </c>
      <c r="G128" s="2" t="s">
        <v>14</v>
      </c>
    </row>
    <row r="129" spans="1:7">
      <c r="A129" s="2">
        <v>128</v>
      </c>
      <c r="B129" s="2" t="s">
        <v>87</v>
      </c>
      <c r="C129" s="2" t="s">
        <v>8</v>
      </c>
      <c r="D129" s="2">
        <v>48</v>
      </c>
      <c r="E129" s="3">
        <v>-535131.5</v>
      </c>
      <c r="F129" s="2" t="s">
        <v>32</v>
      </c>
      <c r="G129" s="2" t="s">
        <v>18</v>
      </c>
    </row>
    <row r="130" spans="1:7">
      <c r="A130" s="2">
        <v>129</v>
      </c>
      <c r="B130" s="2" t="s">
        <v>45</v>
      </c>
      <c r="C130" s="2" t="s">
        <v>8</v>
      </c>
      <c r="D130" s="2">
        <v>50</v>
      </c>
      <c r="E130" s="3">
        <v>-539923.80000000005</v>
      </c>
      <c r="F130" s="2" t="s">
        <v>32</v>
      </c>
      <c r="G130" s="2" t="s">
        <v>14</v>
      </c>
    </row>
    <row r="131" spans="1:7">
      <c r="A131" s="2">
        <v>130</v>
      </c>
      <c r="B131" s="2" t="s">
        <v>65</v>
      </c>
      <c r="C131" s="2" t="s">
        <v>12</v>
      </c>
      <c r="D131" s="2">
        <v>50</v>
      </c>
      <c r="E131" s="3">
        <v>-544716.1</v>
      </c>
      <c r="F131" s="2" t="s">
        <v>17</v>
      </c>
      <c r="G131" s="2" t="s">
        <v>26</v>
      </c>
    </row>
    <row r="132" spans="1:7">
      <c r="A132" s="2">
        <v>131</v>
      </c>
      <c r="B132" s="2" t="s">
        <v>75</v>
      </c>
      <c r="C132" s="2" t="s">
        <v>12</v>
      </c>
      <c r="D132" s="2">
        <v>32</v>
      </c>
      <c r="E132" s="3">
        <v>-549508.4</v>
      </c>
      <c r="F132" s="2" t="s">
        <v>13</v>
      </c>
      <c r="G132" s="2" t="s">
        <v>23</v>
      </c>
    </row>
    <row r="133" spans="1:7">
      <c r="A133" s="2">
        <v>132</v>
      </c>
      <c r="B133" s="2" t="s">
        <v>62</v>
      </c>
      <c r="C133" s="2" t="s">
        <v>16</v>
      </c>
      <c r="D133" s="2">
        <v>36</v>
      </c>
      <c r="E133" s="3">
        <v>-554300.69999999995</v>
      </c>
      <c r="F133" s="2" t="s">
        <v>17</v>
      </c>
      <c r="G133" s="2" t="s">
        <v>14</v>
      </c>
    </row>
    <row r="134" spans="1:7">
      <c r="A134" s="2">
        <v>133</v>
      </c>
      <c r="B134" s="2" t="s">
        <v>48</v>
      </c>
      <c r="C134" s="2" t="s">
        <v>12</v>
      </c>
      <c r="D134" s="2">
        <v>33</v>
      </c>
      <c r="E134" s="3">
        <v>-559093</v>
      </c>
      <c r="F134" s="2" t="s">
        <v>38</v>
      </c>
      <c r="G134" s="2" t="s">
        <v>18</v>
      </c>
    </row>
    <row r="135" spans="1:7">
      <c r="A135" s="2">
        <v>134</v>
      </c>
      <c r="B135" s="2" t="s">
        <v>60</v>
      </c>
      <c r="C135" s="2" t="s">
        <v>8</v>
      </c>
      <c r="D135" s="2">
        <v>8</v>
      </c>
      <c r="E135" s="3">
        <v>-563885.30000000005</v>
      </c>
      <c r="F135" s="2" t="s">
        <v>28</v>
      </c>
      <c r="G135" s="2" t="s">
        <v>10</v>
      </c>
    </row>
    <row r="136" spans="1:7">
      <c r="A136" s="2">
        <v>135</v>
      </c>
      <c r="B136" s="2" t="s">
        <v>55</v>
      </c>
      <c r="C136" s="2" t="s">
        <v>12</v>
      </c>
      <c r="D136" s="2">
        <v>37</v>
      </c>
      <c r="E136" s="3">
        <v>-568677.6</v>
      </c>
      <c r="F136" s="2" t="s">
        <v>32</v>
      </c>
      <c r="G136" s="2" t="s">
        <v>14</v>
      </c>
    </row>
    <row r="137" spans="1:7">
      <c r="A137" s="2">
        <v>136</v>
      </c>
      <c r="B137" s="2" t="s">
        <v>41</v>
      </c>
      <c r="C137" s="2" t="s">
        <v>22</v>
      </c>
      <c r="D137" s="2">
        <v>8</v>
      </c>
      <c r="E137" s="3">
        <v>-573469.9</v>
      </c>
      <c r="F137" s="2" t="s">
        <v>28</v>
      </c>
      <c r="G137" s="2" t="s">
        <v>14</v>
      </c>
    </row>
    <row r="138" spans="1:7">
      <c r="A138" s="2">
        <v>137</v>
      </c>
      <c r="B138" s="2" t="s">
        <v>68</v>
      </c>
      <c r="C138" s="2" t="s">
        <v>8</v>
      </c>
      <c r="D138" s="2">
        <v>18</v>
      </c>
      <c r="E138" s="3">
        <v>-578262.19999999995</v>
      </c>
      <c r="F138" s="2" t="s">
        <v>20</v>
      </c>
      <c r="G138" s="2" t="s">
        <v>23</v>
      </c>
    </row>
    <row r="139" spans="1:7">
      <c r="A139" s="2">
        <v>138</v>
      </c>
      <c r="B139" s="2" t="s">
        <v>88</v>
      </c>
      <c r="C139" s="2" t="s">
        <v>12</v>
      </c>
      <c r="D139" s="2">
        <v>50</v>
      </c>
      <c r="E139" s="3">
        <v>-583054.5</v>
      </c>
      <c r="F139" s="2" t="s">
        <v>13</v>
      </c>
      <c r="G139" s="2" t="s">
        <v>26</v>
      </c>
    </row>
    <row r="140" spans="1:7">
      <c r="A140" s="2">
        <v>139</v>
      </c>
      <c r="B140" s="2" t="s">
        <v>45</v>
      </c>
      <c r="C140" s="2" t="s">
        <v>8</v>
      </c>
      <c r="D140" s="2">
        <v>35</v>
      </c>
      <c r="E140" s="3">
        <v>-587846.80000000005</v>
      </c>
      <c r="F140" s="2" t="s">
        <v>17</v>
      </c>
      <c r="G140" s="2" t="s">
        <v>26</v>
      </c>
    </row>
    <row r="141" spans="1:7">
      <c r="A141" s="2">
        <v>140</v>
      </c>
      <c r="B141" s="2" t="s">
        <v>86</v>
      </c>
      <c r="C141" s="2" t="s">
        <v>22</v>
      </c>
      <c r="D141" s="2">
        <v>24</v>
      </c>
      <c r="E141" s="3">
        <v>-592639.1</v>
      </c>
      <c r="F141" s="2" t="s">
        <v>20</v>
      </c>
      <c r="G141" s="2" t="s">
        <v>18</v>
      </c>
    </row>
    <row r="142" spans="1:7">
      <c r="A142" s="2">
        <v>141</v>
      </c>
      <c r="B142" s="2" t="s">
        <v>30</v>
      </c>
      <c r="C142" s="2" t="s">
        <v>22</v>
      </c>
      <c r="D142" s="2">
        <v>35</v>
      </c>
      <c r="E142" s="3">
        <v>-597431.4</v>
      </c>
      <c r="F142" s="2" t="s">
        <v>25</v>
      </c>
      <c r="G142" s="2" t="s">
        <v>14</v>
      </c>
    </row>
    <row r="143" spans="1:7">
      <c r="A143" s="2">
        <v>142</v>
      </c>
      <c r="B143" s="2" t="s">
        <v>72</v>
      </c>
      <c r="C143" s="2" t="s">
        <v>12</v>
      </c>
      <c r="D143" s="2">
        <v>49</v>
      </c>
      <c r="E143" s="3">
        <v>-602223.69999999995</v>
      </c>
      <c r="F143" s="2" t="s">
        <v>9</v>
      </c>
      <c r="G143" s="2" t="s">
        <v>23</v>
      </c>
    </row>
    <row r="144" spans="1:7">
      <c r="A144" s="2">
        <v>143</v>
      </c>
      <c r="B144" s="2" t="s">
        <v>61</v>
      </c>
      <c r="C144" s="2" t="s">
        <v>8</v>
      </c>
      <c r="D144" s="2">
        <v>3</v>
      </c>
      <c r="E144" s="3">
        <v>-607016</v>
      </c>
      <c r="F144" s="2" t="s">
        <v>17</v>
      </c>
      <c r="G144" s="2" t="s">
        <v>18</v>
      </c>
    </row>
    <row r="145" spans="1:7">
      <c r="A145" s="2">
        <v>144</v>
      </c>
      <c r="B145" s="2" t="s">
        <v>51</v>
      </c>
      <c r="C145" s="2" t="s">
        <v>16</v>
      </c>
      <c r="D145" s="2">
        <v>49</v>
      </c>
      <c r="E145" s="3">
        <v>-611808.30000000005</v>
      </c>
      <c r="F145" s="2" t="s">
        <v>17</v>
      </c>
      <c r="G145" s="2" t="s">
        <v>26</v>
      </c>
    </row>
    <row r="146" spans="1:7">
      <c r="A146" s="2">
        <v>145</v>
      </c>
      <c r="B146" s="2" t="s">
        <v>15</v>
      </c>
      <c r="C146" s="2" t="s">
        <v>22</v>
      </c>
      <c r="D146" s="2">
        <v>47</v>
      </c>
      <c r="E146" s="3">
        <v>-616600.6</v>
      </c>
      <c r="F146" s="2" t="s">
        <v>32</v>
      </c>
      <c r="G146" s="2" t="s">
        <v>29</v>
      </c>
    </row>
    <row r="147" spans="1:7">
      <c r="A147" s="2">
        <v>146</v>
      </c>
      <c r="B147" s="2" t="s">
        <v>81</v>
      </c>
      <c r="C147" s="2" t="s">
        <v>16</v>
      </c>
      <c r="D147" s="2">
        <v>29</v>
      </c>
      <c r="E147" s="3">
        <v>-621392.9</v>
      </c>
      <c r="F147" s="2" t="s">
        <v>28</v>
      </c>
      <c r="G147" s="2" t="s">
        <v>18</v>
      </c>
    </row>
    <row r="148" spans="1:7">
      <c r="A148" s="2">
        <v>147</v>
      </c>
      <c r="B148" s="2" t="s">
        <v>63</v>
      </c>
      <c r="C148" s="2" t="s">
        <v>12</v>
      </c>
      <c r="D148" s="2">
        <v>35</v>
      </c>
      <c r="E148" s="3">
        <v>-626185.19999999995</v>
      </c>
      <c r="F148" s="2" t="s">
        <v>25</v>
      </c>
      <c r="G148" s="2" t="s">
        <v>29</v>
      </c>
    </row>
    <row r="149" spans="1:7">
      <c r="A149" s="2">
        <v>148</v>
      </c>
      <c r="B149" s="2" t="s">
        <v>19</v>
      </c>
      <c r="C149" s="2" t="s">
        <v>22</v>
      </c>
      <c r="D149" s="2">
        <v>14</v>
      </c>
      <c r="E149" s="3">
        <v>-630977.5</v>
      </c>
      <c r="F149" s="2" t="s">
        <v>32</v>
      </c>
      <c r="G149" s="2" t="s">
        <v>29</v>
      </c>
    </row>
    <row r="150" spans="1:7">
      <c r="A150" s="2">
        <v>149</v>
      </c>
      <c r="B150" s="2" t="s">
        <v>68</v>
      </c>
      <c r="C150" s="2" t="s">
        <v>16</v>
      </c>
      <c r="D150" s="2">
        <v>28</v>
      </c>
      <c r="E150" s="3">
        <v>-635769.80000000005</v>
      </c>
      <c r="F150" s="2" t="s">
        <v>9</v>
      </c>
      <c r="G150" s="2" t="s">
        <v>18</v>
      </c>
    </row>
    <row r="151" spans="1:7">
      <c r="A151" s="2">
        <v>150</v>
      </c>
      <c r="B151" s="2" t="s">
        <v>69</v>
      </c>
      <c r="C151" s="2" t="s">
        <v>22</v>
      </c>
      <c r="D151" s="2">
        <v>7</v>
      </c>
      <c r="E151" s="3">
        <v>-640562.1</v>
      </c>
      <c r="F151" s="2" t="s">
        <v>32</v>
      </c>
      <c r="G151" s="2" t="s">
        <v>18</v>
      </c>
    </row>
    <row r="152" spans="1:7">
      <c r="A152" s="2">
        <v>151</v>
      </c>
      <c r="B152" s="2" t="s">
        <v>72</v>
      </c>
      <c r="C152" s="2" t="s">
        <v>16</v>
      </c>
      <c r="D152" s="2">
        <v>48</v>
      </c>
      <c r="E152" s="3">
        <v>-645354.4</v>
      </c>
      <c r="F152" s="2" t="s">
        <v>32</v>
      </c>
      <c r="G152" s="2" t="s">
        <v>23</v>
      </c>
    </row>
    <row r="153" spans="1:7">
      <c r="A153" s="2">
        <v>152</v>
      </c>
      <c r="B153" s="2" t="s">
        <v>75</v>
      </c>
      <c r="C153" s="2" t="s">
        <v>8</v>
      </c>
      <c r="D153" s="2">
        <v>42</v>
      </c>
      <c r="E153" s="3">
        <v>-650146.69999999995</v>
      </c>
      <c r="F153" s="2" t="s">
        <v>32</v>
      </c>
      <c r="G153" s="2" t="s">
        <v>18</v>
      </c>
    </row>
    <row r="154" spans="1:7">
      <c r="A154" s="2">
        <v>153</v>
      </c>
      <c r="B154" s="2" t="s">
        <v>87</v>
      </c>
      <c r="C154" s="2" t="s">
        <v>8</v>
      </c>
      <c r="D154" s="2">
        <v>49</v>
      </c>
      <c r="E154" s="3">
        <v>-654939</v>
      </c>
      <c r="F154" s="2" t="s">
        <v>28</v>
      </c>
      <c r="G154" s="2" t="s">
        <v>10</v>
      </c>
    </row>
    <row r="155" spans="1:7">
      <c r="A155" s="2">
        <v>154</v>
      </c>
      <c r="B155" s="2" t="s">
        <v>85</v>
      </c>
      <c r="C155" s="2" t="s">
        <v>12</v>
      </c>
      <c r="D155" s="2">
        <v>16</v>
      </c>
      <c r="E155" s="3">
        <v>-659731.30000000005</v>
      </c>
      <c r="F155" s="2" t="s">
        <v>32</v>
      </c>
      <c r="G155" s="2" t="s">
        <v>26</v>
      </c>
    </row>
    <row r="156" spans="1:7">
      <c r="A156" s="2">
        <v>155</v>
      </c>
      <c r="B156" s="2" t="s">
        <v>71</v>
      </c>
      <c r="C156" s="2" t="s">
        <v>22</v>
      </c>
      <c r="D156" s="2">
        <v>20</v>
      </c>
      <c r="E156" s="3">
        <v>-664523.6</v>
      </c>
      <c r="F156" s="2" t="s">
        <v>32</v>
      </c>
      <c r="G156" s="2" t="s">
        <v>14</v>
      </c>
    </row>
    <row r="157" spans="1:7">
      <c r="A157" s="2">
        <v>156</v>
      </c>
      <c r="B157" s="2" t="s">
        <v>69</v>
      </c>
      <c r="C157" s="2" t="s">
        <v>16</v>
      </c>
      <c r="D157" s="2">
        <v>3</v>
      </c>
      <c r="E157" s="3">
        <v>-669315.9</v>
      </c>
      <c r="F157" s="2" t="s">
        <v>32</v>
      </c>
      <c r="G157" s="2" t="s">
        <v>18</v>
      </c>
    </row>
    <row r="158" spans="1:7">
      <c r="A158" s="2">
        <v>157</v>
      </c>
      <c r="B158" s="2" t="s">
        <v>88</v>
      </c>
      <c r="C158" s="2" t="s">
        <v>12</v>
      </c>
      <c r="D158" s="2">
        <v>29</v>
      </c>
      <c r="E158" s="3">
        <v>-674108.2</v>
      </c>
      <c r="F158" s="2" t="s">
        <v>32</v>
      </c>
      <c r="G158" s="2" t="s">
        <v>29</v>
      </c>
    </row>
    <row r="159" spans="1:7">
      <c r="A159" s="2">
        <v>158</v>
      </c>
      <c r="B159" s="2" t="s">
        <v>89</v>
      </c>
      <c r="C159" s="2" t="s">
        <v>8</v>
      </c>
      <c r="D159" s="2">
        <v>17</v>
      </c>
      <c r="E159" s="3">
        <v>-678900.5</v>
      </c>
      <c r="F159" s="2" t="s">
        <v>17</v>
      </c>
      <c r="G159" s="2" t="s">
        <v>29</v>
      </c>
    </row>
    <row r="160" spans="1:7">
      <c r="A160" s="2">
        <v>159</v>
      </c>
      <c r="B160" s="2" t="s">
        <v>27</v>
      </c>
      <c r="C160" s="2" t="s">
        <v>8</v>
      </c>
      <c r="D160" s="2">
        <v>23</v>
      </c>
      <c r="E160" s="3">
        <v>-683692.8</v>
      </c>
      <c r="F160" s="2" t="s">
        <v>25</v>
      </c>
      <c r="G160" s="2" t="s">
        <v>18</v>
      </c>
    </row>
    <row r="161" spans="1:7">
      <c r="A161" s="2">
        <v>160</v>
      </c>
      <c r="B161" s="2" t="s">
        <v>48</v>
      </c>
      <c r="C161" s="2" t="s">
        <v>12</v>
      </c>
      <c r="D161" s="2">
        <v>6</v>
      </c>
      <c r="E161" s="3">
        <v>-688485.1</v>
      </c>
      <c r="F161" s="2" t="s">
        <v>20</v>
      </c>
      <c r="G161" s="2" t="s">
        <v>14</v>
      </c>
    </row>
    <row r="162" spans="1:7">
      <c r="A162" s="2">
        <v>161</v>
      </c>
      <c r="B162" s="2" t="s">
        <v>55</v>
      </c>
      <c r="C162" s="2" t="s">
        <v>22</v>
      </c>
      <c r="D162" s="2">
        <v>29</v>
      </c>
      <c r="E162" s="3">
        <v>-693277.4</v>
      </c>
      <c r="F162" s="2" t="s">
        <v>20</v>
      </c>
      <c r="G162" s="2" t="s">
        <v>14</v>
      </c>
    </row>
    <row r="163" spans="1:7">
      <c r="A163" s="2">
        <v>162</v>
      </c>
      <c r="B163" s="2" t="s">
        <v>37</v>
      </c>
      <c r="C163" s="2" t="s">
        <v>16</v>
      </c>
      <c r="D163" s="2">
        <v>8</v>
      </c>
      <c r="E163" s="3">
        <v>-698069.7</v>
      </c>
      <c r="F163" s="2" t="s">
        <v>20</v>
      </c>
      <c r="G163" s="2" t="s">
        <v>23</v>
      </c>
    </row>
    <row r="164" spans="1:7">
      <c r="A164" s="2">
        <v>163</v>
      </c>
      <c r="B164" s="2" t="s">
        <v>36</v>
      </c>
      <c r="C164" s="2" t="s">
        <v>8</v>
      </c>
      <c r="D164" s="2">
        <v>50</v>
      </c>
      <c r="E164" s="3">
        <v>-702862</v>
      </c>
      <c r="F164" s="2" t="s">
        <v>9</v>
      </c>
      <c r="G164" s="2" t="s">
        <v>23</v>
      </c>
    </row>
    <row r="165" spans="1:7">
      <c r="A165" s="2">
        <v>164</v>
      </c>
      <c r="B165" s="2" t="s">
        <v>19</v>
      </c>
      <c r="C165" s="2" t="s">
        <v>12</v>
      </c>
      <c r="D165" s="2">
        <v>16</v>
      </c>
      <c r="E165" s="3">
        <v>-707654.3</v>
      </c>
      <c r="F165" s="2" t="s">
        <v>38</v>
      </c>
      <c r="G165" s="2" t="s">
        <v>23</v>
      </c>
    </row>
    <row r="166" spans="1:7">
      <c r="A166" s="2">
        <v>165</v>
      </c>
      <c r="B166" s="2" t="s">
        <v>90</v>
      </c>
      <c r="C166" s="2" t="s">
        <v>8</v>
      </c>
      <c r="D166" s="2">
        <v>14</v>
      </c>
      <c r="E166" s="3">
        <v>-712446.6</v>
      </c>
      <c r="F166" s="2" t="s">
        <v>38</v>
      </c>
      <c r="G166" s="2" t="s">
        <v>14</v>
      </c>
    </row>
    <row r="167" spans="1:7">
      <c r="A167" s="2">
        <v>166</v>
      </c>
      <c r="B167" s="2" t="s">
        <v>58</v>
      </c>
      <c r="C167" s="2" t="s">
        <v>8</v>
      </c>
      <c r="D167" s="2">
        <v>48</v>
      </c>
      <c r="E167" s="3">
        <v>-717238.9</v>
      </c>
      <c r="F167" s="2" t="s">
        <v>9</v>
      </c>
      <c r="G167" s="2" t="s">
        <v>29</v>
      </c>
    </row>
    <row r="168" spans="1:7">
      <c r="A168" s="2">
        <v>167</v>
      </c>
      <c r="B168" s="2" t="s">
        <v>51</v>
      </c>
      <c r="C168" s="2" t="s">
        <v>16</v>
      </c>
      <c r="D168" s="2">
        <v>38</v>
      </c>
      <c r="E168" s="3">
        <v>-722031.2</v>
      </c>
      <c r="F168" s="2" t="s">
        <v>17</v>
      </c>
      <c r="G168" s="2" t="s">
        <v>23</v>
      </c>
    </row>
    <row r="169" spans="1:7">
      <c r="A169" s="2">
        <v>168</v>
      </c>
      <c r="B169" s="2" t="s">
        <v>73</v>
      </c>
      <c r="C169" s="2" t="s">
        <v>22</v>
      </c>
      <c r="D169" s="2">
        <v>45</v>
      </c>
      <c r="E169" s="3">
        <v>-726823.5</v>
      </c>
      <c r="F169" s="2" t="s">
        <v>17</v>
      </c>
      <c r="G169" s="2" t="s">
        <v>18</v>
      </c>
    </row>
    <row r="170" spans="1:7">
      <c r="A170" s="2">
        <v>169</v>
      </c>
      <c r="B170" s="2" t="s">
        <v>51</v>
      </c>
      <c r="C170" s="2" t="s">
        <v>22</v>
      </c>
      <c r="D170" s="2">
        <v>23</v>
      </c>
      <c r="E170" s="3">
        <v>-731615.8</v>
      </c>
      <c r="F170" s="2" t="s">
        <v>9</v>
      </c>
      <c r="G170" s="2" t="s">
        <v>23</v>
      </c>
    </row>
    <row r="171" spans="1:7">
      <c r="A171" s="2">
        <v>170</v>
      </c>
      <c r="B171" s="2" t="s">
        <v>57</v>
      </c>
      <c r="C171" s="2" t="s">
        <v>16</v>
      </c>
      <c r="D171" s="2">
        <v>46</v>
      </c>
      <c r="E171" s="3">
        <v>-736408.1</v>
      </c>
      <c r="F171" s="2" t="s">
        <v>28</v>
      </c>
      <c r="G171" s="2" t="s">
        <v>18</v>
      </c>
    </row>
    <row r="172" spans="1:7">
      <c r="A172" s="2">
        <v>171</v>
      </c>
      <c r="B172" s="2" t="s">
        <v>91</v>
      </c>
      <c r="C172" s="2" t="s">
        <v>12</v>
      </c>
      <c r="D172" s="2">
        <v>40</v>
      </c>
      <c r="E172" s="3">
        <v>-741200.4</v>
      </c>
      <c r="F172" s="2" t="s">
        <v>9</v>
      </c>
      <c r="G172" s="2" t="s">
        <v>18</v>
      </c>
    </row>
    <row r="173" spans="1:7">
      <c r="A173" s="2">
        <v>172</v>
      </c>
      <c r="B173" s="2" t="s">
        <v>68</v>
      </c>
      <c r="C173" s="2" t="s">
        <v>12</v>
      </c>
      <c r="D173" s="2">
        <v>41</v>
      </c>
      <c r="E173" s="3">
        <v>-745992.7</v>
      </c>
      <c r="F173" s="2" t="s">
        <v>25</v>
      </c>
      <c r="G173" s="2" t="s">
        <v>29</v>
      </c>
    </row>
    <row r="174" spans="1:7">
      <c r="A174" s="2">
        <v>173</v>
      </c>
      <c r="B174" s="2" t="s">
        <v>88</v>
      </c>
      <c r="C174" s="2" t="s">
        <v>22</v>
      </c>
      <c r="D174" s="2">
        <v>28</v>
      </c>
      <c r="E174" s="3">
        <v>-750785</v>
      </c>
      <c r="F174" s="2" t="s">
        <v>28</v>
      </c>
      <c r="G174" s="2" t="s">
        <v>26</v>
      </c>
    </row>
    <row r="175" spans="1:7">
      <c r="A175" s="2">
        <v>174</v>
      </c>
      <c r="B175" s="2" t="s">
        <v>61</v>
      </c>
      <c r="C175" s="2" t="s">
        <v>8</v>
      </c>
      <c r="D175" s="2">
        <v>11</v>
      </c>
      <c r="E175" s="3">
        <v>-755577.3</v>
      </c>
      <c r="F175" s="2" t="s">
        <v>13</v>
      </c>
      <c r="G175" s="2" t="s">
        <v>18</v>
      </c>
    </row>
    <row r="176" spans="1:7">
      <c r="A176" s="2">
        <v>175</v>
      </c>
      <c r="B176" s="2" t="s">
        <v>24</v>
      </c>
      <c r="C176" s="2" t="s">
        <v>8</v>
      </c>
      <c r="D176" s="2">
        <v>40</v>
      </c>
      <c r="E176" s="3">
        <v>-760369.6</v>
      </c>
      <c r="F176" s="2" t="s">
        <v>32</v>
      </c>
      <c r="G176" s="2" t="s">
        <v>23</v>
      </c>
    </row>
    <row r="177" spans="1:7">
      <c r="A177" s="2">
        <v>176</v>
      </c>
      <c r="B177" s="2" t="s">
        <v>15</v>
      </c>
      <c r="C177" s="2" t="s">
        <v>12</v>
      </c>
      <c r="D177" s="2">
        <v>9</v>
      </c>
      <c r="E177" s="3">
        <v>-765161.9</v>
      </c>
      <c r="F177" s="2" t="s">
        <v>25</v>
      </c>
      <c r="G177" s="2" t="s">
        <v>29</v>
      </c>
    </row>
    <row r="178" spans="1:7">
      <c r="A178" s="2">
        <v>177</v>
      </c>
      <c r="B178" s="2" t="s">
        <v>81</v>
      </c>
      <c r="C178" s="2" t="s">
        <v>16</v>
      </c>
      <c r="D178" s="2">
        <v>14</v>
      </c>
      <c r="E178" s="3">
        <v>-769954.2</v>
      </c>
      <c r="F178" s="2" t="s">
        <v>38</v>
      </c>
      <c r="G178" s="2" t="s">
        <v>29</v>
      </c>
    </row>
    <row r="179" spans="1:7">
      <c r="A179" s="2">
        <v>178</v>
      </c>
      <c r="B179" s="2" t="s">
        <v>90</v>
      </c>
      <c r="C179" s="2" t="s">
        <v>8</v>
      </c>
      <c r="D179" s="2">
        <v>14</v>
      </c>
      <c r="E179" s="3">
        <v>-774746.5</v>
      </c>
      <c r="F179" s="2" t="s">
        <v>13</v>
      </c>
      <c r="G179" s="2" t="s">
        <v>14</v>
      </c>
    </row>
    <row r="180" spans="1:7">
      <c r="A180" s="2">
        <v>179</v>
      </c>
      <c r="B180" s="2" t="s">
        <v>82</v>
      </c>
      <c r="C180" s="2" t="s">
        <v>12</v>
      </c>
      <c r="D180" s="2">
        <v>4</v>
      </c>
      <c r="E180" s="3">
        <v>-779538.8</v>
      </c>
      <c r="F180" s="2" t="s">
        <v>9</v>
      </c>
      <c r="G180" s="2" t="s">
        <v>18</v>
      </c>
    </row>
    <row r="181" spans="1:7">
      <c r="A181" s="2">
        <v>180</v>
      </c>
      <c r="B181" s="2" t="s">
        <v>19</v>
      </c>
      <c r="C181" s="2" t="s">
        <v>16</v>
      </c>
      <c r="D181" s="2">
        <v>37</v>
      </c>
      <c r="E181" s="3">
        <v>-784331.1</v>
      </c>
      <c r="F181" s="2" t="s">
        <v>38</v>
      </c>
      <c r="G181" s="2" t="s">
        <v>23</v>
      </c>
    </row>
    <row r="182" spans="1:7">
      <c r="A182" s="2">
        <v>181</v>
      </c>
      <c r="B182" s="2" t="s">
        <v>81</v>
      </c>
      <c r="C182" s="2" t="s">
        <v>22</v>
      </c>
      <c r="D182" s="2">
        <v>23</v>
      </c>
      <c r="E182" s="3">
        <v>-789123.4</v>
      </c>
      <c r="F182" s="2" t="s">
        <v>17</v>
      </c>
      <c r="G182" s="2" t="s">
        <v>18</v>
      </c>
    </row>
    <row r="183" spans="1:7">
      <c r="A183" s="2">
        <v>182</v>
      </c>
      <c r="B183" s="2" t="s">
        <v>64</v>
      </c>
      <c r="C183" s="2" t="s">
        <v>16</v>
      </c>
      <c r="D183" s="2">
        <v>35</v>
      </c>
      <c r="E183" s="3">
        <v>-793915.7</v>
      </c>
      <c r="F183" s="2" t="s">
        <v>13</v>
      </c>
      <c r="G183" s="2" t="s">
        <v>23</v>
      </c>
    </row>
    <row r="184" spans="1:7">
      <c r="A184" s="2">
        <v>183</v>
      </c>
      <c r="B184" s="2" t="s">
        <v>15</v>
      </c>
      <c r="C184" s="2" t="s">
        <v>22</v>
      </c>
      <c r="D184" s="2">
        <v>18</v>
      </c>
      <c r="E184" s="3">
        <v>-798708</v>
      </c>
      <c r="F184" s="2" t="s">
        <v>25</v>
      </c>
      <c r="G184" s="2" t="s">
        <v>10</v>
      </c>
    </row>
    <row r="185" spans="1:7">
      <c r="A185" s="2">
        <v>184</v>
      </c>
      <c r="B185" s="2" t="s">
        <v>82</v>
      </c>
      <c r="C185" s="2" t="s">
        <v>12</v>
      </c>
      <c r="D185" s="2">
        <v>39</v>
      </c>
      <c r="E185" s="3">
        <v>-803500.3</v>
      </c>
      <c r="F185" s="2" t="s">
        <v>9</v>
      </c>
      <c r="G185" s="2" t="s">
        <v>14</v>
      </c>
    </row>
    <row r="186" spans="1:7">
      <c r="A186" s="2">
        <v>185</v>
      </c>
      <c r="B186" s="2" t="s">
        <v>92</v>
      </c>
      <c r="C186" s="2" t="s">
        <v>16</v>
      </c>
      <c r="D186" s="2">
        <v>35</v>
      </c>
      <c r="E186" s="3">
        <v>-808292.6</v>
      </c>
      <c r="F186" s="2" t="s">
        <v>20</v>
      </c>
      <c r="G186" s="2" t="s">
        <v>29</v>
      </c>
    </row>
    <row r="187" spans="1:7">
      <c r="A187" s="2">
        <v>186</v>
      </c>
      <c r="B187" s="2" t="s">
        <v>73</v>
      </c>
      <c r="C187" s="2" t="s">
        <v>12</v>
      </c>
      <c r="D187" s="2">
        <v>11</v>
      </c>
      <c r="E187" s="3">
        <v>-813084.9</v>
      </c>
      <c r="F187" s="2" t="s">
        <v>9</v>
      </c>
      <c r="G187" s="2" t="s">
        <v>14</v>
      </c>
    </row>
    <row r="188" spans="1:7">
      <c r="A188" s="2">
        <v>187</v>
      </c>
      <c r="B188" s="2" t="s">
        <v>81</v>
      </c>
      <c r="C188" s="2" t="s">
        <v>22</v>
      </c>
      <c r="D188" s="2">
        <v>21</v>
      </c>
      <c r="E188" s="3">
        <v>-817877.2</v>
      </c>
      <c r="F188" s="2" t="s">
        <v>17</v>
      </c>
      <c r="G188" s="2" t="s">
        <v>10</v>
      </c>
    </row>
    <row r="189" spans="1:7">
      <c r="A189" s="2">
        <v>188</v>
      </c>
      <c r="B189" s="2" t="s">
        <v>73</v>
      </c>
      <c r="C189" s="2" t="s">
        <v>8</v>
      </c>
      <c r="D189" s="2">
        <v>46</v>
      </c>
      <c r="E189" s="3">
        <v>-822669.5</v>
      </c>
      <c r="F189" s="2" t="s">
        <v>38</v>
      </c>
      <c r="G189" s="2" t="s">
        <v>26</v>
      </c>
    </row>
    <row r="190" spans="1:7">
      <c r="A190" s="2">
        <v>189</v>
      </c>
      <c r="B190" s="2" t="s">
        <v>27</v>
      </c>
      <c r="C190" s="2" t="s">
        <v>8</v>
      </c>
      <c r="D190" s="2">
        <v>19</v>
      </c>
      <c r="E190" s="3">
        <v>-827461.8</v>
      </c>
      <c r="F190" s="2" t="s">
        <v>38</v>
      </c>
      <c r="G190" s="2" t="s">
        <v>14</v>
      </c>
    </row>
    <row r="191" spans="1:7">
      <c r="A191" s="2">
        <v>190</v>
      </c>
      <c r="B191" s="2" t="s">
        <v>80</v>
      </c>
      <c r="C191" s="2" t="s">
        <v>22</v>
      </c>
      <c r="D191" s="2">
        <v>19</v>
      </c>
      <c r="E191" s="3">
        <v>-832254.1</v>
      </c>
      <c r="F191" s="2" t="s">
        <v>32</v>
      </c>
      <c r="G191" s="2" t="s">
        <v>14</v>
      </c>
    </row>
    <row r="192" spans="1:7">
      <c r="A192" s="2">
        <v>191</v>
      </c>
      <c r="B192" s="2" t="s">
        <v>21</v>
      </c>
      <c r="C192" s="2" t="s">
        <v>8</v>
      </c>
      <c r="D192" s="2">
        <v>37</v>
      </c>
      <c r="E192" s="3">
        <v>-837046.4</v>
      </c>
      <c r="F192" s="2" t="s">
        <v>13</v>
      </c>
      <c r="G192" s="2" t="s">
        <v>10</v>
      </c>
    </row>
    <row r="193" spans="1:7">
      <c r="A193" s="2">
        <v>192</v>
      </c>
      <c r="B193" s="2" t="s">
        <v>27</v>
      </c>
      <c r="C193" s="2" t="s">
        <v>8</v>
      </c>
      <c r="D193" s="2">
        <v>18</v>
      </c>
      <c r="E193" s="3">
        <v>-841838.7</v>
      </c>
      <c r="F193" s="2" t="s">
        <v>20</v>
      </c>
      <c r="G193" s="2" t="s">
        <v>14</v>
      </c>
    </row>
    <row r="194" spans="1:7">
      <c r="A194" s="2">
        <v>193</v>
      </c>
      <c r="B194" s="2" t="s">
        <v>48</v>
      </c>
      <c r="C194" s="2" t="s">
        <v>16</v>
      </c>
      <c r="D194" s="2">
        <v>33</v>
      </c>
      <c r="E194" s="3">
        <v>-846631</v>
      </c>
      <c r="F194" s="2" t="s">
        <v>17</v>
      </c>
      <c r="G194" s="2" t="s">
        <v>14</v>
      </c>
    </row>
    <row r="195" spans="1:7">
      <c r="A195" s="2">
        <v>194</v>
      </c>
      <c r="B195" s="2" t="s">
        <v>76</v>
      </c>
      <c r="C195" s="2" t="s">
        <v>16</v>
      </c>
      <c r="D195" s="2">
        <v>44</v>
      </c>
      <c r="E195" s="3">
        <v>-851423.3</v>
      </c>
      <c r="F195" s="2" t="s">
        <v>17</v>
      </c>
      <c r="G195" s="2" t="s">
        <v>10</v>
      </c>
    </row>
    <row r="196" spans="1:7">
      <c r="A196" s="2">
        <v>195</v>
      </c>
      <c r="B196" s="2" t="s">
        <v>90</v>
      </c>
      <c r="C196" s="2" t="s">
        <v>8</v>
      </c>
      <c r="D196" s="2">
        <v>7</v>
      </c>
      <c r="E196" s="3">
        <v>-856215.6</v>
      </c>
      <c r="F196" s="2" t="s">
        <v>28</v>
      </c>
      <c r="G196" s="2" t="s">
        <v>10</v>
      </c>
    </row>
    <row r="197" spans="1:7">
      <c r="A197" s="2">
        <v>196</v>
      </c>
      <c r="B197" s="2" t="s">
        <v>39</v>
      </c>
      <c r="C197" s="2" t="s">
        <v>16</v>
      </c>
      <c r="D197" s="2">
        <v>9</v>
      </c>
      <c r="E197" s="3">
        <v>-861007.9</v>
      </c>
      <c r="F197" s="2" t="s">
        <v>25</v>
      </c>
      <c r="G197" s="2" t="s">
        <v>29</v>
      </c>
    </row>
    <row r="198" spans="1:7">
      <c r="A198" s="2">
        <v>197</v>
      </c>
      <c r="B198" s="2" t="s">
        <v>19</v>
      </c>
      <c r="C198" s="2" t="s">
        <v>22</v>
      </c>
      <c r="D198" s="2">
        <v>49</v>
      </c>
      <c r="E198" s="3">
        <v>-865800.2</v>
      </c>
      <c r="F198" s="2" t="s">
        <v>28</v>
      </c>
      <c r="G198" s="2" t="s">
        <v>26</v>
      </c>
    </row>
    <row r="199" spans="1:7">
      <c r="A199" s="2">
        <v>198</v>
      </c>
      <c r="B199" s="2" t="s">
        <v>33</v>
      </c>
      <c r="C199" s="2" t="s">
        <v>16</v>
      </c>
      <c r="D199" s="2">
        <v>27</v>
      </c>
      <c r="E199" s="3">
        <v>-870592.5</v>
      </c>
      <c r="F199" s="2" t="s">
        <v>32</v>
      </c>
      <c r="G199" s="2" t="s">
        <v>23</v>
      </c>
    </row>
    <row r="200" spans="1:7">
      <c r="A200" s="2">
        <v>199</v>
      </c>
      <c r="B200" s="2" t="s">
        <v>21</v>
      </c>
      <c r="C200" s="2" t="s">
        <v>16</v>
      </c>
      <c r="D200" s="2">
        <v>4</v>
      </c>
      <c r="E200" s="3">
        <v>-875384.8</v>
      </c>
      <c r="F200" s="2" t="s">
        <v>28</v>
      </c>
      <c r="G200" s="2" t="s">
        <v>23</v>
      </c>
    </row>
    <row r="201" spans="1:7">
      <c r="A201" s="2">
        <v>200</v>
      </c>
      <c r="B201" s="2" t="s">
        <v>76</v>
      </c>
      <c r="C201" s="2" t="s">
        <v>16</v>
      </c>
      <c r="D201" s="2">
        <v>18</v>
      </c>
      <c r="E201" s="3">
        <v>-880177.1</v>
      </c>
      <c r="F201" s="2" t="s">
        <v>9</v>
      </c>
      <c r="G201" s="2" t="s">
        <v>26</v>
      </c>
    </row>
    <row r="202" spans="1:7">
      <c r="A202" s="2">
        <v>201</v>
      </c>
      <c r="B202" s="2" t="s">
        <v>7</v>
      </c>
      <c r="C202" s="2" t="s">
        <v>12</v>
      </c>
      <c r="D202" s="2">
        <v>42</v>
      </c>
      <c r="E202" s="3">
        <v>-884969.4</v>
      </c>
      <c r="F202" s="2" t="s">
        <v>17</v>
      </c>
      <c r="G202" s="2" t="s">
        <v>26</v>
      </c>
    </row>
    <row r="203" spans="1:7">
      <c r="A203" s="2">
        <v>202</v>
      </c>
      <c r="B203" s="2" t="s">
        <v>45</v>
      </c>
      <c r="C203" s="2" t="s">
        <v>22</v>
      </c>
      <c r="D203" s="2">
        <v>9</v>
      </c>
      <c r="E203" s="3">
        <v>-889761.7</v>
      </c>
      <c r="F203" s="2" t="s">
        <v>17</v>
      </c>
      <c r="G203" s="2" t="s">
        <v>26</v>
      </c>
    </row>
    <row r="204" spans="1:7">
      <c r="A204" s="2">
        <v>203</v>
      </c>
      <c r="B204" s="2" t="s">
        <v>42</v>
      </c>
      <c r="C204" s="2" t="s">
        <v>8</v>
      </c>
      <c r="D204" s="2">
        <v>45</v>
      </c>
      <c r="E204" s="3">
        <v>-894554</v>
      </c>
      <c r="F204" s="2" t="s">
        <v>25</v>
      </c>
      <c r="G204" s="2" t="s">
        <v>10</v>
      </c>
    </row>
    <row r="205" spans="1:7">
      <c r="A205" s="2">
        <v>204</v>
      </c>
      <c r="B205" s="2" t="s">
        <v>58</v>
      </c>
      <c r="C205" s="2" t="s">
        <v>8</v>
      </c>
      <c r="D205" s="2">
        <v>9</v>
      </c>
      <c r="E205" s="3">
        <v>-899346.3</v>
      </c>
      <c r="F205" s="2" t="s">
        <v>9</v>
      </c>
      <c r="G205" s="2" t="s">
        <v>23</v>
      </c>
    </row>
    <row r="206" spans="1:7">
      <c r="A206" s="2">
        <v>205</v>
      </c>
      <c r="B206" s="2" t="s">
        <v>35</v>
      </c>
      <c r="C206" s="2" t="s">
        <v>12</v>
      </c>
      <c r="D206" s="2">
        <v>16</v>
      </c>
      <c r="E206" s="3">
        <v>-904138.6</v>
      </c>
      <c r="F206" s="2" t="s">
        <v>13</v>
      </c>
      <c r="G206" s="2" t="s">
        <v>18</v>
      </c>
    </row>
    <row r="207" spans="1:7">
      <c r="A207" s="2">
        <v>206</v>
      </c>
      <c r="B207" s="2" t="s">
        <v>69</v>
      </c>
      <c r="C207" s="2" t="s">
        <v>16</v>
      </c>
      <c r="D207" s="2">
        <v>10</v>
      </c>
      <c r="E207" s="3">
        <v>-908930.9</v>
      </c>
      <c r="F207" s="2" t="s">
        <v>32</v>
      </c>
      <c r="G207" s="2" t="s">
        <v>18</v>
      </c>
    </row>
    <row r="208" spans="1:7">
      <c r="A208" s="2">
        <v>207</v>
      </c>
      <c r="B208" s="2" t="s">
        <v>27</v>
      </c>
      <c r="C208" s="2" t="s">
        <v>22</v>
      </c>
      <c r="D208" s="2">
        <v>46</v>
      </c>
      <c r="E208" s="3">
        <v>-913723.2</v>
      </c>
      <c r="F208" s="2" t="s">
        <v>13</v>
      </c>
      <c r="G208" s="2" t="s">
        <v>18</v>
      </c>
    </row>
    <row r="209" spans="1:7">
      <c r="A209" s="2">
        <v>208</v>
      </c>
      <c r="B209" s="2" t="s">
        <v>39</v>
      </c>
      <c r="C209" s="2" t="s">
        <v>22</v>
      </c>
      <c r="D209" s="2">
        <v>21</v>
      </c>
      <c r="E209" s="3">
        <v>-918515.5</v>
      </c>
      <c r="F209" s="2" t="s">
        <v>17</v>
      </c>
      <c r="G209" s="2" t="s">
        <v>29</v>
      </c>
    </row>
    <row r="210" spans="1:7">
      <c r="A210" s="2">
        <v>209</v>
      </c>
      <c r="B210" s="2" t="s">
        <v>42</v>
      </c>
      <c r="C210" s="2" t="s">
        <v>8</v>
      </c>
      <c r="D210" s="2">
        <v>16</v>
      </c>
      <c r="E210" s="3">
        <v>-923307.8</v>
      </c>
      <c r="F210" s="2" t="s">
        <v>17</v>
      </c>
      <c r="G210" s="2" t="s">
        <v>26</v>
      </c>
    </row>
    <row r="211" spans="1:7">
      <c r="A211" s="2">
        <v>210</v>
      </c>
      <c r="B211" s="2" t="s">
        <v>62</v>
      </c>
      <c r="C211" s="2" t="s">
        <v>12</v>
      </c>
      <c r="D211" s="2">
        <v>49</v>
      </c>
      <c r="E211" s="3">
        <v>-928100.1</v>
      </c>
      <c r="F211" s="2" t="s">
        <v>13</v>
      </c>
      <c r="G211" s="2" t="s">
        <v>26</v>
      </c>
    </row>
    <row r="212" spans="1:7">
      <c r="A212" s="2">
        <v>211</v>
      </c>
      <c r="B212" s="2" t="s">
        <v>78</v>
      </c>
      <c r="C212" s="2" t="s">
        <v>12</v>
      </c>
      <c r="D212" s="2">
        <v>44</v>
      </c>
      <c r="E212" s="3">
        <v>-932892.4</v>
      </c>
      <c r="F212" s="2" t="s">
        <v>28</v>
      </c>
      <c r="G212" s="2" t="s">
        <v>23</v>
      </c>
    </row>
    <row r="213" spans="1:7">
      <c r="A213" s="2">
        <v>212</v>
      </c>
      <c r="B213" s="2" t="s">
        <v>42</v>
      </c>
      <c r="C213" s="2" t="s">
        <v>12</v>
      </c>
      <c r="D213" s="2">
        <v>26</v>
      </c>
      <c r="E213" s="3">
        <v>-937684.7</v>
      </c>
      <c r="F213" s="2" t="s">
        <v>9</v>
      </c>
      <c r="G213" s="2" t="s">
        <v>14</v>
      </c>
    </row>
    <row r="214" spans="1:7">
      <c r="A214" s="2">
        <v>213</v>
      </c>
      <c r="B214" s="2" t="s">
        <v>39</v>
      </c>
      <c r="C214" s="2" t="s">
        <v>12</v>
      </c>
      <c r="D214" s="2">
        <v>32</v>
      </c>
      <c r="E214" s="3">
        <v>-942477</v>
      </c>
      <c r="F214" s="2" t="s">
        <v>25</v>
      </c>
      <c r="G214" s="2" t="s">
        <v>10</v>
      </c>
    </row>
    <row r="215" spans="1:7">
      <c r="A215" s="2">
        <v>214</v>
      </c>
      <c r="B215" s="2" t="s">
        <v>91</v>
      </c>
      <c r="C215" s="2" t="s">
        <v>22</v>
      </c>
      <c r="D215" s="2">
        <v>10</v>
      </c>
      <c r="E215" s="3">
        <v>-947269.3</v>
      </c>
      <c r="F215" s="2" t="s">
        <v>25</v>
      </c>
      <c r="G215" s="2" t="s">
        <v>23</v>
      </c>
    </row>
    <row r="216" spans="1:7">
      <c r="A216" s="2">
        <v>215</v>
      </c>
      <c r="B216" s="2" t="s">
        <v>93</v>
      </c>
      <c r="C216" s="2" t="s">
        <v>16</v>
      </c>
      <c r="D216" s="2">
        <v>37</v>
      </c>
      <c r="E216" s="3">
        <v>-952061.6</v>
      </c>
      <c r="F216" s="2" t="s">
        <v>32</v>
      </c>
      <c r="G216" s="2" t="s">
        <v>29</v>
      </c>
    </row>
    <row r="217" spans="1:7">
      <c r="A217" s="2">
        <v>216</v>
      </c>
      <c r="B217" s="2" t="s">
        <v>63</v>
      </c>
      <c r="C217" s="2" t="s">
        <v>8</v>
      </c>
      <c r="D217" s="2">
        <v>41</v>
      </c>
      <c r="E217" s="3">
        <v>-956853.9</v>
      </c>
      <c r="F217" s="2" t="s">
        <v>20</v>
      </c>
      <c r="G217" s="2" t="s">
        <v>14</v>
      </c>
    </row>
    <row r="218" spans="1:7">
      <c r="A218" s="2">
        <v>217</v>
      </c>
      <c r="B218" s="2" t="s">
        <v>78</v>
      </c>
      <c r="C218" s="2" t="s">
        <v>22</v>
      </c>
      <c r="D218" s="2">
        <v>18</v>
      </c>
      <c r="E218" s="3">
        <v>-961646.2</v>
      </c>
      <c r="F218" s="2" t="s">
        <v>28</v>
      </c>
      <c r="G218" s="2" t="s">
        <v>26</v>
      </c>
    </row>
    <row r="219" spans="1:7">
      <c r="A219" s="2">
        <v>218</v>
      </c>
      <c r="B219" s="2" t="s">
        <v>42</v>
      </c>
      <c r="C219" s="2" t="s">
        <v>12</v>
      </c>
      <c r="D219" s="2">
        <v>41</v>
      </c>
      <c r="E219" s="3">
        <v>-966438.5</v>
      </c>
      <c r="F219" s="2" t="s">
        <v>32</v>
      </c>
      <c r="G219" s="2" t="s">
        <v>10</v>
      </c>
    </row>
    <row r="220" spans="1:7">
      <c r="A220" s="2">
        <v>219</v>
      </c>
      <c r="B220" s="2" t="s">
        <v>94</v>
      </c>
      <c r="C220" s="2" t="s">
        <v>12</v>
      </c>
      <c r="D220" s="2">
        <v>27</v>
      </c>
      <c r="E220" s="3">
        <v>-971230.8</v>
      </c>
      <c r="F220" s="2" t="s">
        <v>13</v>
      </c>
      <c r="G220" s="2" t="s">
        <v>14</v>
      </c>
    </row>
    <row r="221" spans="1:7">
      <c r="A221" s="2">
        <v>220</v>
      </c>
      <c r="B221" s="2" t="s">
        <v>79</v>
      </c>
      <c r="C221" s="2" t="s">
        <v>8</v>
      </c>
      <c r="D221" s="2">
        <v>25</v>
      </c>
      <c r="E221" s="3">
        <v>-976023.1</v>
      </c>
      <c r="F221" s="2" t="s">
        <v>13</v>
      </c>
      <c r="G221" s="2" t="s">
        <v>10</v>
      </c>
    </row>
    <row r="222" spans="1:7">
      <c r="A222" s="2">
        <v>221</v>
      </c>
      <c r="B222" s="2" t="s">
        <v>19</v>
      </c>
      <c r="C222" s="2" t="s">
        <v>16</v>
      </c>
      <c r="D222" s="2">
        <v>29</v>
      </c>
      <c r="E222" s="3">
        <v>-980815.4</v>
      </c>
      <c r="F222" s="2" t="s">
        <v>32</v>
      </c>
      <c r="G222" s="2" t="s">
        <v>18</v>
      </c>
    </row>
    <row r="223" spans="1:7">
      <c r="A223" s="2">
        <v>222</v>
      </c>
      <c r="B223" s="2" t="s">
        <v>51</v>
      </c>
      <c r="C223" s="2" t="s">
        <v>16</v>
      </c>
      <c r="D223" s="2">
        <v>5</v>
      </c>
      <c r="E223" s="3">
        <v>-985607.7</v>
      </c>
      <c r="F223" s="2" t="s">
        <v>25</v>
      </c>
      <c r="G223" s="2" t="s">
        <v>26</v>
      </c>
    </row>
    <row r="224" spans="1:7">
      <c r="A224" s="2">
        <v>223</v>
      </c>
      <c r="B224" s="2" t="s">
        <v>65</v>
      </c>
      <c r="C224" s="2" t="s">
        <v>16</v>
      </c>
      <c r="D224" s="2">
        <v>41</v>
      </c>
      <c r="E224" s="3">
        <v>-990400</v>
      </c>
      <c r="F224" s="2" t="s">
        <v>25</v>
      </c>
      <c r="G224" s="2" t="s">
        <v>26</v>
      </c>
    </row>
    <row r="225" spans="1:7">
      <c r="A225" s="2">
        <v>224</v>
      </c>
      <c r="B225" s="2" t="s">
        <v>59</v>
      </c>
      <c r="C225" s="2" t="s">
        <v>12</v>
      </c>
      <c r="D225" s="2">
        <v>50</v>
      </c>
      <c r="E225" s="3">
        <v>-995192.3</v>
      </c>
      <c r="F225" s="2" t="s">
        <v>9</v>
      </c>
      <c r="G225" s="2" t="s">
        <v>26</v>
      </c>
    </row>
    <row r="226" spans="1:7">
      <c r="A226" s="2">
        <v>225</v>
      </c>
      <c r="B226" s="2" t="s">
        <v>69</v>
      </c>
      <c r="C226" s="2" t="s">
        <v>22</v>
      </c>
      <c r="D226" s="2">
        <v>6</v>
      </c>
      <c r="E226" s="3">
        <v>-999984.6</v>
      </c>
      <c r="F226" s="2" t="s">
        <v>38</v>
      </c>
      <c r="G226" s="2" t="s">
        <v>10</v>
      </c>
    </row>
    <row r="227" spans="1:7">
      <c r="A227" s="2">
        <v>226</v>
      </c>
      <c r="B227" s="2" t="s">
        <v>74</v>
      </c>
      <c r="C227" s="2" t="s">
        <v>22</v>
      </c>
      <c r="D227" s="2">
        <v>26</v>
      </c>
      <c r="E227" s="3">
        <v>-1004776.9</v>
      </c>
      <c r="F227" s="2" t="s">
        <v>25</v>
      </c>
      <c r="G227" s="2" t="s">
        <v>10</v>
      </c>
    </row>
    <row r="228" spans="1:7">
      <c r="A228" s="2">
        <v>227</v>
      </c>
      <c r="B228" s="2" t="s">
        <v>41</v>
      </c>
      <c r="C228" s="2" t="s">
        <v>16</v>
      </c>
      <c r="D228" s="2">
        <v>33</v>
      </c>
      <c r="E228" s="3">
        <v>-1009569.2</v>
      </c>
      <c r="F228" s="2" t="s">
        <v>13</v>
      </c>
      <c r="G228" s="2" t="s">
        <v>29</v>
      </c>
    </row>
    <row r="229" spans="1:7">
      <c r="A229" s="2">
        <v>228</v>
      </c>
      <c r="B229" s="2" t="s">
        <v>94</v>
      </c>
      <c r="C229" s="2" t="s">
        <v>8</v>
      </c>
      <c r="D229" s="2">
        <v>48</v>
      </c>
      <c r="E229" s="3">
        <v>-1014361.5</v>
      </c>
      <c r="F229" s="2" t="s">
        <v>9</v>
      </c>
      <c r="G229" s="2" t="s">
        <v>29</v>
      </c>
    </row>
    <row r="230" spans="1:7">
      <c r="A230" s="2">
        <v>229</v>
      </c>
      <c r="B230" s="2" t="s">
        <v>89</v>
      </c>
      <c r="C230" s="2" t="s">
        <v>16</v>
      </c>
      <c r="D230" s="2">
        <v>18</v>
      </c>
      <c r="E230" s="3">
        <v>-1019153.8</v>
      </c>
      <c r="F230" s="2" t="s">
        <v>25</v>
      </c>
      <c r="G230" s="2" t="s">
        <v>29</v>
      </c>
    </row>
    <row r="231" spans="1:7">
      <c r="A231" s="2">
        <v>230</v>
      </c>
      <c r="B231" s="2" t="s">
        <v>7</v>
      </c>
      <c r="C231" s="2" t="s">
        <v>16</v>
      </c>
      <c r="D231" s="2">
        <v>45</v>
      </c>
      <c r="E231" s="3">
        <v>-1023946.1</v>
      </c>
      <c r="F231" s="2" t="s">
        <v>17</v>
      </c>
      <c r="G231" s="2" t="s">
        <v>23</v>
      </c>
    </row>
    <row r="232" spans="1:7">
      <c r="A232" s="2">
        <v>231</v>
      </c>
      <c r="B232" s="2" t="s">
        <v>11</v>
      </c>
      <c r="C232" s="2" t="s">
        <v>8</v>
      </c>
      <c r="D232" s="2">
        <v>24</v>
      </c>
      <c r="E232" s="3">
        <v>-1028738.4</v>
      </c>
      <c r="F232" s="2" t="s">
        <v>9</v>
      </c>
      <c r="G232" s="2" t="s">
        <v>18</v>
      </c>
    </row>
    <row r="233" spans="1:7">
      <c r="A233" s="2">
        <v>232</v>
      </c>
      <c r="B233" s="2" t="s">
        <v>34</v>
      </c>
      <c r="C233" s="2" t="s">
        <v>16</v>
      </c>
      <c r="D233" s="2">
        <v>30</v>
      </c>
      <c r="E233" s="3">
        <v>-1033530.7</v>
      </c>
      <c r="F233" s="2" t="s">
        <v>28</v>
      </c>
      <c r="G233" s="2" t="s">
        <v>18</v>
      </c>
    </row>
    <row r="234" spans="1:7">
      <c r="A234" s="2">
        <v>233</v>
      </c>
      <c r="B234" s="2" t="s">
        <v>77</v>
      </c>
      <c r="C234" s="2" t="s">
        <v>8</v>
      </c>
      <c r="D234" s="2">
        <v>32</v>
      </c>
      <c r="E234" s="3">
        <v>-1038323</v>
      </c>
      <c r="F234" s="2" t="s">
        <v>28</v>
      </c>
      <c r="G234" s="2" t="s">
        <v>10</v>
      </c>
    </row>
    <row r="235" spans="1:7">
      <c r="A235" s="2">
        <v>234</v>
      </c>
      <c r="B235" s="2" t="s">
        <v>58</v>
      </c>
      <c r="C235" s="2" t="s">
        <v>8</v>
      </c>
      <c r="D235" s="2">
        <v>21</v>
      </c>
      <c r="E235" s="3">
        <v>-1043115.3</v>
      </c>
      <c r="F235" s="2" t="s">
        <v>38</v>
      </c>
      <c r="G235" s="2" t="s">
        <v>29</v>
      </c>
    </row>
    <row r="236" spans="1:7">
      <c r="A236" s="2">
        <v>235</v>
      </c>
      <c r="B236" s="2" t="s">
        <v>66</v>
      </c>
      <c r="C236" s="2" t="s">
        <v>22</v>
      </c>
      <c r="D236" s="2">
        <v>38</v>
      </c>
      <c r="E236" s="3">
        <v>-1047907.6</v>
      </c>
      <c r="F236" s="2" t="s">
        <v>13</v>
      </c>
      <c r="G236" s="2" t="s">
        <v>26</v>
      </c>
    </row>
    <row r="237" spans="1:7">
      <c r="A237" s="2">
        <v>236</v>
      </c>
      <c r="B237" s="2" t="s">
        <v>19</v>
      </c>
      <c r="C237" s="2" t="s">
        <v>8</v>
      </c>
      <c r="D237" s="2">
        <v>1</v>
      </c>
      <c r="E237" s="3">
        <v>-1052699.8999999999</v>
      </c>
      <c r="F237" s="2" t="s">
        <v>20</v>
      </c>
      <c r="G237" s="2" t="s">
        <v>26</v>
      </c>
    </row>
    <row r="238" spans="1:7">
      <c r="A238" s="2">
        <v>237</v>
      </c>
      <c r="B238" s="2" t="s">
        <v>21</v>
      </c>
      <c r="C238" s="2" t="s">
        <v>16</v>
      </c>
      <c r="D238" s="2">
        <v>50</v>
      </c>
      <c r="E238" s="3">
        <v>-1057492.2</v>
      </c>
      <c r="F238" s="2" t="s">
        <v>25</v>
      </c>
      <c r="G238" s="2" t="s">
        <v>18</v>
      </c>
    </row>
    <row r="239" spans="1:7">
      <c r="A239" s="2">
        <v>238</v>
      </c>
      <c r="B239" s="2" t="s">
        <v>61</v>
      </c>
      <c r="C239" s="2" t="s">
        <v>8</v>
      </c>
      <c r="D239" s="2">
        <v>47</v>
      </c>
      <c r="E239" s="3">
        <v>-1062284.5</v>
      </c>
      <c r="F239" s="2" t="s">
        <v>38</v>
      </c>
      <c r="G239" s="2" t="s">
        <v>18</v>
      </c>
    </row>
    <row r="240" spans="1:7">
      <c r="A240" s="2">
        <v>239</v>
      </c>
      <c r="B240" s="2" t="s">
        <v>88</v>
      </c>
      <c r="C240" s="2" t="s">
        <v>16</v>
      </c>
      <c r="D240" s="2">
        <v>6</v>
      </c>
      <c r="E240" s="3">
        <v>-1067076.8</v>
      </c>
      <c r="F240" s="2" t="s">
        <v>32</v>
      </c>
      <c r="G240" s="2" t="s">
        <v>10</v>
      </c>
    </row>
    <row r="241" spans="1:7">
      <c r="A241" s="2">
        <v>240</v>
      </c>
      <c r="B241" s="2" t="s">
        <v>24</v>
      </c>
      <c r="C241" s="2" t="s">
        <v>8</v>
      </c>
      <c r="D241" s="2">
        <v>47</v>
      </c>
      <c r="E241" s="3">
        <v>-1071869.1000000001</v>
      </c>
      <c r="F241" s="2" t="s">
        <v>28</v>
      </c>
      <c r="G241" s="2" t="s">
        <v>10</v>
      </c>
    </row>
    <row r="242" spans="1:7">
      <c r="A242" s="2">
        <v>241</v>
      </c>
      <c r="B242" s="2" t="s">
        <v>79</v>
      </c>
      <c r="C242" s="2" t="s">
        <v>22</v>
      </c>
      <c r="D242" s="2">
        <v>30</v>
      </c>
      <c r="E242" s="3">
        <v>-1076661.3999999999</v>
      </c>
      <c r="F242" s="2" t="s">
        <v>9</v>
      </c>
      <c r="G242" s="2" t="s">
        <v>14</v>
      </c>
    </row>
    <row r="243" spans="1:7">
      <c r="A243" s="2">
        <v>242</v>
      </c>
      <c r="B243" s="2" t="s">
        <v>46</v>
      </c>
      <c r="C243" s="2" t="s">
        <v>16</v>
      </c>
      <c r="D243" s="2">
        <v>41</v>
      </c>
      <c r="E243" s="3">
        <v>-1081453.7</v>
      </c>
      <c r="F243" s="2" t="s">
        <v>20</v>
      </c>
      <c r="G243" s="2" t="s">
        <v>14</v>
      </c>
    </row>
    <row r="244" spans="1:7">
      <c r="A244" s="2">
        <v>243</v>
      </c>
      <c r="B244" s="2" t="s">
        <v>86</v>
      </c>
      <c r="C244" s="2" t="s">
        <v>16</v>
      </c>
      <c r="D244" s="2">
        <v>43</v>
      </c>
      <c r="E244" s="3">
        <v>-1086246</v>
      </c>
      <c r="F244" s="2" t="s">
        <v>9</v>
      </c>
      <c r="G244" s="2" t="s">
        <v>10</v>
      </c>
    </row>
    <row r="245" spans="1:7">
      <c r="A245" s="2">
        <v>244</v>
      </c>
      <c r="B245" s="2" t="s">
        <v>84</v>
      </c>
      <c r="C245" s="2" t="s">
        <v>16</v>
      </c>
      <c r="D245" s="2">
        <v>45</v>
      </c>
      <c r="E245" s="3">
        <v>-1091038.3</v>
      </c>
      <c r="F245" s="2" t="s">
        <v>17</v>
      </c>
      <c r="G245" s="2" t="s">
        <v>14</v>
      </c>
    </row>
    <row r="246" spans="1:7">
      <c r="A246" s="2">
        <v>245</v>
      </c>
      <c r="B246" s="2" t="s">
        <v>19</v>
      </c>
      <c r="C246" s="2" t="s">
        <v>8</v>
      </c>
      <c r="D246" s="2">
        <v>23</v>
      </c>
      <c r="E246" s="3">
        <v>-1095830.6000000001</v>
      </c>
      <c r="F246" s="2" t="s">
        <v>28</v>
      </c>
      <c r="G246" s="2" t="s">
        <v>18</v>
      </c>
    </row>
    <row r="247" spans="1:7">
      <c r="A247" s="2">
        <v>246</v>
      </c>
      <c r="B247" s="2" t="s">
        <v>51</v>
      </c>
      <c r="C247" s="2" t="s">
        <v>22</v>
      </c>
      <c r="D247" s="2">
        <v>5</v>
      </c>
      <c r="E247" s="3">
        <v>-1100622.8999999999</v>
      </c>
      <c r="F247" s="2" t="s">
        <v>17</v>
      </c>
      <c r="G247" s="2" t="s">
        <v>10</v>
      </c>
    </row>
    <row r="248" spans="1:7">
      <c r="A248" s="2">
        <v>247</v>
      </c>
      <c r="B248" s="2" t="s">
        <v>73</v>
      </c>
      <c r="C248" s="2" t="s">
        <v>22</v>
      </c>
      <c r="D248" s="2">
        <v>35</v>
      </c>
      <c r="E248" s="3">
        <v>-1105415.2</v>
      </c>
      <c r="F248" s="2" t="s">
        <v>17</v>
      </c>
      <c r="G248" s="2" t="s">
        <v>10</v>
      </c>
    </row>
    <row r="249" spans="1:7">
      <c r="A249" s="2">
        <v>248</v>
      </c>
      <c r="B249" s="2" t="s">
        <v>61</v>
      </c>
      <c r="C249" s="2" t="s">
        <v>22</v>
      </c>
      <c r="D249" s="2">
        <v>26</v>
      </c>
      <c r="E249" s="3">
        <v>-1110207.5</v>
      </c>
      <c r="F249" s="2" t="s">
        <v>28</v>
      </c>
      <c r="G249" s="2" t="s">
        <v>29</v>
      </c>
    </row>
    <row r="250" spans="1:7">
      <c r="A250" s="2">
        <v>249</v>
      </c>
      <c r="B250" s="2" t="s">
        <v>27</v>
      </c>
      <c r="C250" s="2" t="s">
        <v>22</v>
      </c>
      <c r="D250" s="2">
        <v>14</v>
      </c>
      <c r="E250" s="3">
        <v>-1114999.8</v>
      </c>
      <c r="F250" s="2" t="s">
        <v>17</v>
      </c>
      <c r="G250" s="2" t="s">
        <v>18</v>
      </c>
    </row>
    <row r="251" spans="1:7">
      <c r="A251" s="2">
        <v>250</v>
      </c>
      <c r="B251" s="2" t="s">
        <v>76</v>
      </c>
      <c r="C251" s="2" t="s">
        <v>8</v>
      </c>
      <c r="D251" s="2">
        <v>28</v>
      </c>
      <c r="E251" s="3">
        <v>-1119792.1000000001</v>
      </c>
      <c r="F251" s="2" t="s">
        <v>38</v>
      </c>
      <c r="G251" s="2" t="s">
        <v>18</v>
      </c>
    </row>
    <row r="252" spans="1:7">
      <c r="A252" s="2">
        <v>251</v>
      </c>
      <c r="B252" s="2" t="s">
        <v>61</v>
      </c>
      <c r="C252" s="2" t="s">
        <v>16</v>
      </c>
      <c r="D252" s="2">
        <v>14</v>
      </c>
      <c r="E252" s="3">
        <v>-1124584.3999999999</v>
      </c>
      <c r="F252" s="2" t="s">
        <v>13</v>
      </c>
      <c r="G252" s="2" t="s">
        <v>23</v>
      </c>
    </row>
    <row r="253" spans="1:7">
      <c r="A253" s="2">
        <v>252</v>
      </c>
      <c r="B253" s="2" t="s">
        <v>76</v>
      </c>
      <c r="C253" s="2" t="s">
        <v>12</v>
      </c>
      <c r="D253" s="2">
        <v>32</v>
      </c>
      <c r="E253" s="3">
        <v>-1129376.7</v>
      </c>
      <c r="F253" s="2" t="s">
        <v>20</v>
      </c>
      <c r="G253" s="2" t="s">
        <v>23</v>
      </c>
    </row>
    <row r="254" spans="1:7">
      <c r="A254" s="2">
        <v>253</v>
      </c>
      <c r="B254" s="2" t="s">
        <v>65</v>
      </c>
      <c r="C254" s="2" t="s">
        <v>22</v>
      </c>
      <c r="D254" s="2">
        <v>18</v>
      </c>
      <c r="E254" s="3">
        <v>-1134169</v>
      </c>
      <c r="F254" s="2" t="s">
        <v>17</v>
      </c>
      <c r="G254" s="2" t="s">
        <v>29</v>
      </c>
    </row>
    <row r="255" spans="1:7">
      <c r="A255" s="2">
        <v>254</v>
      </c>
      <c r="B255" s="2" t="s">
        <v>64</v>
      </c>
      <c r="C255" s="2" t="s">
        <v>12</v>
      </c>
      <c r="D255" s="2">
        <v>21</v>
      </c>
      <c r="E255" s="3">
        <v>-1138961.3</v>
      </c>
      <c r="F255" s="2" t="s">
        <v>32</v>
      </c>
      <c r="G255" s="2" t="s">
        <v>23</v>
      </c>
    </row>
    <row r="256" spans="1:7">
      <c r="A256" s="2">
        <v>255</v>
      </c>
      <c r="B256" s="2" t="s">
        <v>83</v>
      </c>
      <c r="C256" s="2" t="s">
        <v>8</v>
      </c>
      <c r="D256" s="2">
        <v>19</v>
      </c>
      <c r="E256" s="3">
        <v>-1143753.6000000001</v>
      </c>
      <c r="F256" s="2" t="s">
        <v>25</v>
      </c>
      <c r="G256" s="2" t="s">
        <v>14</v>
      </c>
    </row>
    <row r="257" spans="1:7">
      <c r="A257" s="2">
        <v>256</v>
      </c>
      <c r="B257" s="2" t="s">
        <v>41</v>
      </c>
      <c r="C257" s="2" t="s">
        <v>8</v>
      </c>
      <c r="D257" s="2">
        <v>22</v>
      </c>
      <c r="E257" s="3">
        <v>-1148545.8999999999</v>
      </c>
      <c r="F257" s="2" t="s">
        <v>28</v>
      </c>
      <c r="G257" s="2" t="s">
        <v>10</v>
      </c>
    </row>
    <row r="258" spans="1:7">
      <c r="A258" s="2">
        <v>257</v>
      </c>
      <c r="B258" s="2" t="s">
        <v>73</v>
      </c>
      <c r="C258" s="2" t="s">
        <v>12</v>
      </c>
      <c r="D258" s="2">
        <v>36</v>
      </c>
      <c r="E258" s="3">
        <v>-1153338.2</v>
      </c>
      <c r="F258" s="2" t="s">
        <v>17</v>
      </c>
      <c r="G258" s="2" t="s">
        <v>26</v>
      </c>
    </row>
    <row r="259" spans="1:7">
      <c r="A259" s="2">
        <v>258</v>
      </c>
      <c r="B259" s="2" t="s">
        <v>43</v>
      </c>
      <c r="C259" s="2" t="s">
        <v>16</v>
      </c>
      <c r="D259" s="2">
        <v>37</v>
      </c>
      <c r="E259" s="3">
        <v>-1158130.5</v>
      </c>
      <c r="F259" s="2" t="s">
        <v>17</v>
      </c>
      <c r="G259" s="2" t="s">
        <v>14</v>
      </c>
    </row>
    <row r="260" spans="1:7">
      <c r="A260" s="2">
        <v>259</v>
      </c>
      <c r="B260" s="2" t="s">
        <v>19</v>
      </c>
      <c r="C260" s="2" t="s">
        <v>12</v>
      </c>
      <c r="D260" s="2">
        <v>9</v>
      </c>
      <c r="E260" s="3">
        <v>-1162922.8</v>
      </c>
      <c r="F260" s="2" t="s">
        <v>9</v>
      </c>
      <c r="G260" s="2" t="s">
        <v>18</v>
      </c>
    </row>
    <row r="261" spans="1:7">
      <c r="A261" s="2">
        <v>260</v>
      </c>
      <c r="B261" s="2" t="s">
        <v>74</v>
      </c>
      <c r="C261" s="2" t="s">
        <v>8</v>
      </c>
      <c r="D261" s="2">
        <v>37</v>
      </c>
      <c r="E261" s="3">
        <v>-1167715.1000000001</v>
      </c>
      <c r="F261" s="2" t="s">
        <v>9</v>
      </c>
      <c r="G261" s="2" t="s">
        <v>23</v>
      </c>
    </row>
    <row r="262" spans="1:7">
      <c r="A262" s="2">
        <v>261</v>
      </c>
      <c r="B262" s="2" t="s">
        <v>11</v>
      </c>
      <c r="C262" s="2" t="s">
        <v>12</v>
      </c>
      <c r="D262" s="2">
        <v>32</v>
      </c>
      <c r="E262" s="3">
        <v>-1172507.3999999999</v>
      </c>
      <c r="F262" s="2" t="s">
        <v>20</v>
      </c>
      <c r="G262" s="2" t="s">
        <v>26</v>
      </c>
    </row>
    <row r="263" spans="1:7">
      <c r="A263" s="2">
        <v>262</v>
      </c>
      <c r="B263" s="2" t="s">
        <v>72</v>
      </c>
      <c r="C263" s="2" t="s">
        <v>22</v>
      </c>
      <c r="D263" s="2">
        <v>22</v>
      </c>
      <c r="E263" s="3">
        <v>-1177299.7</v>
      </c>
      <c r="F263" s="2" t="s">
        <v>13</v>
      </c>
      <c r="G263" s="2" t="s">
        <v>14</v>
      </c>
    </row>
    <row r="264" spans="1:7">
      <c r="A264" s="2">
        <v>263</v>
      </c>
      <c r="B264" s="2" t="s">
        <v>34</v>
      </c>
      <c r="C264" s="2" t="s">
        <v>22</v>
      </c>
      <c r="D264" s="2">
        <v>44</v>
      </c>
      <c r="E264" s="3">
        <v>-1182092</v>
      </c>
      <c r="F264" s="2" t="s">
        <v>28</v>
      </c>
      <c r="G264" s="2" t="s">
        <v>18</v>
      </c>
    </row>
    <row r="265" spans="1:7">
      <c r="A265" s="2">
        <v>264</v>
      </c>
      <c r="B265" s="2" t="s">
        <v>76</v>
      </c>
      <c r="C265" s="2" t="s">
        <v>16</v>
      </c>
      <c r="D265" s="2">
        <v>49</v>
      </c>
      <c r="E265" s="3">
        <v>-1186884.3</v>
      </c>
      <c r="F265" s="2" t="s">
        <v>9</v>
      </c>
      <c r="G265" s="2" t="s">
        <v>23</v>
      </c>
    </row>
    <row r="266" spans="1:7">
      <c r="A266" s="2">
        <v>265</v>
      </c>
      <c r="B266" s="2" t="s">
        <v>47</v>
      </c>
      <c r="C266" s="2" t="s">
        <v>12</v>
      </c>
      <c r="D266" s="2">
        <v>4</v>
      </c>
      <c r="E266" s="3">
        <v>-1191676.6000000001</v>
      </c>
      <c r="F266" s="2" t="s">
        <v>25</v>
      </c>
      <c r="G266" s="2" t="s">
        <v>10</v>
      </c>
    </row>
    <row r="267" spans="1:7">
      <c r="A267" s="2">
        <v>266</v>
      </c>
      <c r="B267" s="2" t="s">
        <v>70</v>
      </c>
      <c r="C267" s="2" t="s">
        <v>12</v>
      </c>
      <c r="D267" s="2">
        <v>3</v>
      </c>
      <c r="E267" s="3">
        <v>-1196468.8999999999</v>
      </c>
      <c r="F267" s="2" t="s">
        <v>25</v>
      </c>
      <c r="G267" s="2" t="s">
        <v>10</v>
      </c>
    </row>
    <row r="268" spans="1:7">
      <c r="A268" s="2">
        <v>267</v>
      </c>
      <c r="B268" s="2" t="s">
        <v>84</v>
      </c>
      <c r="C268" s="2" t="s">
        <v>12</v>
      </c>
      <c r="D268" s="2">
        <v>7</v>
      </c>
      <c r="E268" s="3">
        <v>-1201261.2</v>
      </c>
      <c r="F268" s="2" t="s">
        <v>17</v>
      </c>
      <c r="G268" s="2" t="s">
        <v>23</v>
      </c>
    </row>
    <row r="269" spans="1:7">
      <c r="A269" s="2">
        <v>268</v>
      </c>
      <c r="B269" s="2" t="s">
        <v>49</v>
      </c>
      <c r="C269" s="2" t="s">
        <v>12</v>
      </c>
      <c r="D269" s="2">
        <v>41</v>
      </c>
      <c r="E269" s="3">
        <v>-1206053.5</v>
      </c>
      <c r="F269" s="2" t="s">
        <v>13</v>
      </c>
      <c r="G269" s="2" t="s">
        <v>10</v>
      </c>
    </row>
    <row r="270" spans="1:7">
      <c r="A270" s="2">
        <v>269</v>
      </c>
      <c r="B270" s="2" t="s">
        <v>47</v>
      </c>
      <c r="C270" s="2" t="s">
        <v>16</v>
      </c>
      <c r="D270" s="2">
        <v>30</v>
      </c>
      <c r="E270" s="3">
        <v>-1210845.8</v>
      </c>
      <c r="F270" s="2" t="s">
        <v>13</v>
      </c>
      <c r="G270" s="2" t="s">
        <v>29</v>
      </c>
    </row>
    <row r="271" spans="1:7">
      <c r="A271" s="2">
        <v>270</v>
      </c>
      <c r="B271" s="2" t="s">
        <v>30</v>
      </c>
      <c r="C271" s="2" t="s">
        <v>8</v>
      </c>
      <c r="D271" s="2">
        <v>2</v>
      </c>
      <c r="E271" s="3">
        <v>-1215638.1000000001</v>
      </c>
      <c r="F271" s="2" t="s">
        <v>20</v>
      </c>
      <c r="G271" s="2" t="s">
        <v>23</v>
      </c>
    </row>
    <row r="272" spans="1:7">
      <c r="A272" s="2">
        <v>271</v>
      </c>
      <c r="B272" s="2" t="s">
        <v>94</v>
      </c>
      <c r="C272" s="2" t="s">
        <v>16</v>
      </c>
      <c r="D272" s="2">
        <v>8</v>
      </c>
      <c r="E272" s="3">
        <v>-1220430.3999999999</v>
      </c>
      <c r="F272" s="2" t="s">
        <v>20</v>
      </c>
      <c r="G272" s="2" t="s">
        <v>29</v>
      </c>
    </row>
    <row r="273" spans="1:7">
      <c r="A273" s="2">
        <v>272</v>
      </c>
      <c r="B273" s="2" t="s">
        <v>50</v>
      </c>
      <c r="C273" s="2" t="s">
        <v>8</v>
      </c>
      <c r="D273" s="2">
        <v>11</v>
      </c>
      <c r="E273" s="3">
        <v>-1225222.7</v>
      </c>
      <c r="F273" s="2" t="s">
        <v>25</v>
      </c>
      <c r="G273" s="2" t="s">
        <v>23</v>
      </c>
    </row>
    <row r="274" spans="1:7">
      <c r="A274" s="2">
        <v>273</v>
      </c>
      <c r="B274" s="2" t="s">
        <v>21</v>
      </c>
      <c r="C274" s="2" t="s">
        <v>8</v>
      </c>
      <c r="D274" s="2">
        <v>29</v>
      </c>
      <c r="E274" s="3">
        <v>-1230015</v>
      </c>
      <c r="F274" s="2" t="s">
        <v>17</v>
      </c>
      <c r="G274" s="2" t="s">
        <v>29</v>
      </c>
    </row>
    <row r="275" spans="1:7">
      <c r="A275" s="2">
        <v>274</v>
      </c>
      <c r="B275" s="2" t="s">
        <v>49</v>
      </c>
      <c r="C275" s="2" t="s">
        <v>8</v>
      </c>
      <c r="D275" s="2">
        <v>30</v>
      </c>
      <c r="E275" s="3">
        <v>-1234807.3</v>
      </c>
      <c r="F275" s="2" t="s">
        <v>32</v>
      </c>
      <c r="G275" s="2" t="s">
        <v>10</v>
      </c>
    </row>
    <row r="276" spans="1:7">
      <c r="A276" s="2">
        <v>275</v>
      </c>
      <c r="B276" s="2" t="s">
        <v>64</v>
      </c>
      <c r="C276" s="2" t="s">
        <v>12</v>
      </c>
      <c r="D276" s="2">
        <v>1</v>
      </c>
      <c r="E276" s="3">
        <v>-1239599.6000000001</v>
      </c>
      <c r="F276" s="2" t="s">
        <v>17</v>
      </c>
      <c r="G276" s="2" t="s">
        <v>10</v>
      </c>
    </row>
    <row r="277" spans="1:7">
      <c r="A277" s="2">
        <v>276</v>
      </c>
      <c r="B277" s="2" t="s">
        <v>89</v>
      </c>
      <c r="C277" s="2" t="s">
        <v>16</v>
      </c>
      <c r="D277" s="2">
        <v>28</v>
      </c>
      <c r="E277" s="3">
        <v>-1244391.8999999999</v>
      </c>
      <c r="F277" s="2" t="s">
        <v>17</v>
      </c>
      <c r="G277" s="2" t="s">
        <v>14</v>
      </c>
    </row>
    <row r="278" spans="1:7">
      <c r="A278" s="2">
        <v>277</v>
      </c>
      <c r="B278" s="2" t="s">
        <v>93</v>
      </c>
      <c r="C278" s="2" t="s">
        <v>8</v>
      </c>
      <c r="D278" s="2">
        <v>13</v>
      </c>
      <c r="E278" s="3">
        <v>-1249184.2</v>
      </c>
      <c r="F278" s="2" t="s">
        <v>28</v>
      </c>
      <c r="G278" s="2" t="s">
        <v>18</v>
      </c>
    </row>
    <row r="279" spans="1:7">
      <c r="A279" s="2">
        <v>278</v>
      </c>
      <c r="B279" s="2" t="s">
        <v>81</v>
      </c>
      <c r="C279" s="2" t="s">
        <v>22</v>
      </c>
      <c r="D279" s="2">
        <v>45</v>
      </c>
      <c r="E279" s="3">
        <v>-1253976.5</v>
      </c>
      <c r="F279" s="2" t="s">
        <v>28</v>
      </c>
      <c r="G279" s="2" t="s">
        <v>29</v>
      </c>
    </row>
    <row r="280" spans="1:7">
      <c r="A280" s="2">
        <v>279</v>
      </c>
      <c r="B280" s="2" t="s">
        <v>11</v>
      </c>
      <c r="C280" s="2" t="s">
        <v>8</v>
      </c>
      <c r="D280" s="2">
        <v>9</v>
      </c>
      <c r="E280" s="3">
        <v>-1258768.8</v>
      </c>
      <c r="F280" s="2" t="s">
        <v>13</v>
      </c>
      <c r="G280" s="2" t="s">
        <v>26</v>
      </c>
    </row>
    <row r="281" spans="1:7">
      <c r="A281" s="2">
        <v>280</v>
      </c>
      <c r="B281" s="2" t="s">
        <v>69</v>
      </c>
      <c r="C281" s="2" t="s">
        <v>16</v>
      </c>
      <c r="D281" s="2">
        <v>42</v>
      </c>
      <c r="E281" s="3">
        <v>-1263561.1000000001</v>
      </c>
      <c r="F281" s="2" t="s">
        <v>28</v>
      </c>
      <c r="G281" s="2" t="s">
        <v>23</v>
      </c>
    </row>
    <row r="282" spans="1:7">
      <c r="A282" s="2">
        <v>281</v>
      </c>
      <c r="B282" s="2" t="s">
        <v>35</v>
      </c>
      <c r="C282" s="2" t="s">
        <v>12</v>
      </c>
      <c r="D282" s="2">
        <v>20</v>
      </c>
      <c r="E282" s="3">
        <v>-1268353.3999999999</v>
      </c>
      <c r="F282" s="2" t="s">
        <v>9</v>
      </c>
      <c r="G282" s="2" t="s">
        <v>10</v>
      </c>
    </row>
    <row r="283" spans="1:7">
      <c r="A283" s="2">
        <v>282</v>
      </c>
      <c r="B283" s="2" t="s">
        <v>36</v>
      </c>
      <c r="C283" s="2" t="s">
        <v>22</v>
      </c>
      <c r="D283" s="2">
        <v>11</v>
      </c>
      <c r="E283" s="3">
        <v>-1273145.7</v>
      </c>
      <c r="F283" s="2" t="s">
        <v>17</v>
      </c>
      <c r="G283" s="2" t="s">
        <v>10</v>
      </c>
    </row>
    <row r="284" spans="1:7">
      <c r="A284" s="2">
        <v>283</v>
      </c>
      <c r="B284" s="2" t="s">
        <v>54</v>
      </c>
      <c r="C284" s="2" t="s">
        <v>8</v>
      </c>
      <c r="D284" s="2">
        <v>18</v>
      </c>
      <c r="E284" s="3">
        <v>-1277938</v>
      </c>
      <c r="F284" s="2" t="s">
        <v>9</v>
      </c>
      <c r="G284" s="2" t="s">
        <v>23</v>
      </c>
    </row>
    <row r="285" spans="1:7">
      <c r="A285" s="2">
        <v>284</v>
      </c>
      <c r="B285" s="2" t="s">
        <v>78</v>
      </c>
      <c r="C285" s="2" t="s">
        <v>12</v>
      </c>
      <c r="D285" s="2">
        <v>6</v>
      </c>
      <c r="E285" s="3">
        <v>-1282730.3</v>
      </c>
      <c r="F285" s="2" t="s">
        <v>13</v>
      </c>
      <c r="G285" s="2" t="s">
        <v>18</v>
      </c>
    </row>
    <row r="286" spans="1:7">
      <c r="A286" s="2">
        <v>285</v>
      </c>
      <c r="B286" s="2" t="s">
        <v>61</v>
      </c>
      <c r="C286" s="2" t="s">
        <v>16</v>
      </c>
      <c r="D286" s="2">
        <v>42</v>
      </c>
      <c r="E286" s="3">
        <v>-1287522.6000000001</v>
      </c>
      <c r="F286" s="2" t="s">
        <v>25</v>
      </c>
      <c r="G286" s="2" t="s">
        <v>23</v>
      </c>
    </row>
    <row r="287" spans="1:7">
      <c r="A287" s="2">
        <v>286</v>
      </c>
      <c r="B287" s="2" t="s">
        <v>57</v>
      </c>
      <c r="C287" s="2" t="s">
        <v>16</v>
      </c>
      <c r="D287" s="2">
        <v>24</v>
      </c>
      <c r="E287" s="3">
        <v>-1292314.8999999999</v>
      </c>
      <c r="F287" s="2" t="s">
        <v>25</v>
      </c>
      <c r="G287" s="2" t="s">
        <v>26</v>
      </c>
    </row>
    <row r="288" spans="1:7">
      <c r="A288" s="2">
        <v>287</v>
      </c>
      <c r="B288" s="2" t="s">
        <v>72</v>
      </c>
      <c r="C288" s="2" t="s">
        <v>22</v>
      </c>
      <c r="D288" s="2">
        <v>17</v>
      </c>
      <c r="E288" s="3">
        <v>-1297107.2</v>
      </c>
      <c r="F288" s="2" t="s">
        <v>38</v>
      </c>
      <c r="G288" s="2" t="s">
        <v>29</v>
      </c>
    </row>
    <row r="289" spans="1:7">
      <c r="A289" s="2">
        <v>288</v>
      </c>
      <c r="B289" s="2" t="s">
        <v>45</v>
      </c>
      <c r="C289" s="2" t="s">
        <v>22</v>
      </c>
      <c r="D289" s="2">
        <v>6</v>
      </c>
      <c r="E289" s="3">
        <v>-1301899.5</v>
      </c>
      <c r="F289" s="2" t="s">
        <v>25</v>
      </c>
      <c r="G289" s="2" t="s">
        <v>29</v>
      </c>
    </row>
    <row r="290" spans="1:7">
      <c r="A290" s="2">
        <v>289</v>
      </c>
      <c r="B290" s="2" t="s">
        <v>30</v>
      </c>
      <c r="C290" s="2" t="s">
        <v>8</v>
      </c>
      <c r="D290" s="2">
        <v>24</v>
      </c>
      <c r="E290" s="3">
        <v>-1306691.8</v>
      </c>
      <c r="F290" s="2" t="s">
        <v>32</v>
      </c>
      <c r="G290" s="2" t="s">
        <v>26</v>
      </c>
    </row>
    <row r="291" spans="1:7">
      <c r="A291" s="2">
        <v>290</v>
      </c>
      <c r="B291" s="2" t="s">
        <v>65</v>
      </c>
      <c r="C291" s="2" t="s">
        <v>12</v>
      </c>
      <c r="D291" s="2">
        <v>43</v>
      </c>
      <c r="E291" s="3">
        <v>-1311484.1000000001</v>
      </c>
      <c r="F291" s="2" t="s">
        <v>28</v>
      </c>
      <c r="G291" s="2" t="s">
        <v>26</v>
      </c>
    </row>
    <row r="292" spans="1:7">
      <c r="A292" s="2">
        <v>291</v>
      </c>
      <c r="B292" s="2" t="s">
        <v>24</v>
      </c>
      <c r="C292" s="2" t="s">
        <v>12</v>
      </c>
      <c r="D292" s="2">
        <v>42</v>
      </c>
      <c r="E292" s="3">
        <v>-1316276.3999999999</v>
      </c>
      <c r="F292" s="2" t="s">
        <v>20</v>
      </c>
      <c r="G292" s="2" t="s">
        <v>14</v>
      </c>
    </row>
    <row r="293" spans="1:7">
      <c r="A293" s="2">
        <v>292</v>
      </c>
      <c r="B293" s="2" t="s">
        <v>60</v>
      </c>
      <c r="C293" s="2" t="s">
        <v>16</v>
      </c>
      <c r="D293" s="2">
        <v>11</v>
      </c>
      <c r="E293" s="3">
        <v>-1321068.7</v>
      </c>
      <c r="F293" s="2" t="s">
        <v>32</v>
      </c>
      <c r="G293" s="2" t="s">
        <v>26</v>
      </c>
    </row>
    <row r="294" spans="1:7">
      <c r="A294" s="2">
        <v>293</v>
      </c>
      <c r="B294" s="2" t="s">
        <v>90</v>
      </c>
      <c r="C294" s="2" t="s">
        <v>16</v>
      </c>
      <c r="D294" s="2">
        <v>4</v>
      </c>
      <c r="E294" s="3">
        <v>-1325861</v>
      </c>
      <c r="F294" s="2" t="s">
        <v>25</v>
      </c>
      <c r="G294" s="2" t="s">
        <v>26</v>
      </c>
    </row>
    <row r="295" spans="1:7">
      <c r="A295" s="2">
        <v>294</v>
      </c>
      <c r="B295" s="2" t="s">
        <v>60</v>
      </c>
      <c r="C295" s="2" t="s">
        <v>8</v>
      </c>
      <c r="D295" s="2">
        <v>26</v>
      </c>
      <c r="E295" s="3">
        <v>-1330653.3</v>
      </c>
      <c r="F295" s="2" t="s">
        <v>13</v>
      </c>
      <c r="G295" s="2" t="s">
        <v>23</v>
      </c>
    </row>
    <row r="296" spans="1:7">
      <c r="A296" s="2">
        <v>295</v>
      </c>
      <c r="B296" s="2" t="s">
        <v>66</v>
      </c>
      <c r="C296" s="2" t="s">
        <v>8</v>
      </c>
      <c r="D296" s="2">
        <v>41</v>
      </c>
      <c r="E296" s="3">
        <v>-1335445.6000000001</v>
      </c>
      <c r="F296" s="2" t="s">
        <v>20</v>
      </c>
      <c r="G296" s="2" t="s">
        <v>10</v>
      </c>
    </row>
    <row r="297" spans="1:7">
      <c r="A297" s="2">
        <v>296</v>
      </c>
      <c r="B297" s="2" t="s">
        <v>74</v>
      </c>
      <c r="C297" s="2" t="s">
        <v>16</v>
      </c>
      <c r="D297" s="2">
        <v>20</v>
      </c>
      <c r="E297" s="3">
        <v>-1340237.8999999999</v>
      </c>
      <c r="F297" s="2" t="s">
        <v>20</v>
      </c>
      <c r="G297" s="2" t="s">
        <v>14</v>
      </c>
    </row>
    <row r="298" spans="1:7">
      <c r="A298" s="2">
        <v>297</v>
      </c>
      <c r="B298" s="2" t="s">
        <v>65</v>
      </c>
      <c r="C298" s="2" t="s">
        <v>16</v>
      </c>
      <c r="D298" s="2">
        <v>47</v>
      </c>
      <c r="E298" s="3">
        <v>-1345030.2</v>
      </c>
      <c r="F298" s="2" t="s">
        <v>20</v>
      </c>
      <c r="G298" s="2" t="s">
        <v>23</v>
      </c>
    </row>
    <row r="299" spans="1:7">
      <c r="A299" s="2">
        <v>298</v>
      </c>
      <c r="B299" s="2" t="s">
        <v>93</v>
      </c>
      <c r="C299" s="2" t="s">
        <v>12</v>
      </c>
      <c r="D299" s="2">
        <v>45</v>
      </c>
      <c r="E299" s="3">
        <v>-1349822.5</v>
      </c>
      <c r="F299" s="2" t="s">
        <v>9</v>
      </c>
      <c r="G299" s="2" t="s">
        <v>23</v>
      </c>
    </row>
    <row r="300" spans="1:7">
      <c r="A300" s="2">
        <v>299</v>
      </c>
      <c r="B300" s="2" t="s">
        <v>19</v>
      </c>
      <c r="C300" s="2" t="s">
        <v>12</v>
      </c>
      <c r="D300" s="2">
        <v>49</v>
      </c>
      <c r="E300" s="3">
        <v>-1354614.8</v>
      </c>
      <c r="F300" s="2" t="s">
        <v>38</v>
      </c>
      <c r="G300" s="2" t="s">
        <v>10</v>
      </c>
    </row>
    <row r="301" spans="1:7">
      <c r="A301" s="2">
        <v>300</v>
      </c>
      <c r="B301" s="2" t="s">
        <v>71</v>
      </c>
      <c r="C301" s="2" t="s">
        <v>12</v>
      </c>
      <c r="D301" s="2">
        <v>15</v>
      </c>
      <c r="E301" s="3">
        <v>-1359407.1</v>
      </c>
      <c r="F301" s="2" t="s">
        <v>38</v>
      </c>
      <c r="G301" s="2" t="s">
        <v>18</v>
      </c>
    </row>
    <row r="302" spans="1:7">
      <c r="A302" s="2">
        <v>301</v>
      </c>
      <c r="B302" s="2" t="s">
        <v>93</v>
      </c>
      <c r="C302" s="2" t="s">
        <v>8</v>
      </c>
      <c r="D302" s="2">
        <v>28</v>
      </c>
      <c r="E302" s="3">
        <v>-1364199.4</v>
      </c>
      <c r="F302" s="2" t="s">
        <v>13</v>
      </c>
      <c r="G302" s="2" t="s">
        <v>23</v>
      </c>
    </row>
    <row r="303" spans="1:7">
      <c r="A303" s="2">
        <v>302</v>
      </c>
      <c r="B303" s="2" t="s">
        <v>89</v>
      </c>
      <c r="C303" s="2" t="s">
        <v>12</v>
      </c>
      <c r="D303" s="2">
        <v>42</v>
      </c>
      <c r="E303" s="3">
        <v>-1368991.7</v>
      </c>
      <c r="F303" s="2" t="s">
        <v>20</v>
      </c>
      <c r="G303" s="2" t="s">
        <v>14</v>
      </c>
    </row>
    <row r="304" spans="1:7">
      <c r="A304" s="2">
        <v>303</v>
      </c>
      <c r="B304" s="2" t="s">
        <v>93</v>
      </c>
      <c r="C304" s="2" t="s">
        <v>22</v>
      </c>
      <c r="D304" s="2">
        <v>6</v>
      </c>
      <c r="E304" s="3">
        <v>-1373784</v>
      </c>
      <c r="F304" s="2" t="s">
        <v>20</v>
      </c>
      <c r="G304" s="2" t="s">
        <v>10</v>
      </c>
    </row>
    <row r="305" spans="1:7">
      <c r="A305" s="2">
        <v>304</v>
      </c>
      <c r="B305" s="2" t="s">
        <v>51</v>
      </c>
      <c r="C305" s="2" t="s">
        <v>22</v>
      </c>
      <c r="D305" s="2">
        <v>46</v>
      </c>
      <c r="E305" s="3">
        <v>-1378576.3</v>
      </c>
      <c r="F305" s="2" t="s">
        <v>28</v>
      </c>
      <c r="G305" s="2" t="s">
        <v>29</v>
      </c>
    </row>
    <row r="306" spans="1:7">
      <c r="A306" s="2">
        <v>305</v>
      </c>
      <c r="B306" s="2" t="s">
        <v>82</v>
      </c>
      <c r="C306" s="2" t="s">
        <v>12</v>
      </c>
      <c r="D306" s="2">
        <v>7</v>
      </c>
      <c r="E306" s="3">
        <v>-1383368.6</v>
      </c>
      <c r="F306" s="2" t="s">
        <v>25</v>
      </c>
      <c r="G306" s="2" t="s">
        <v>18</v>
      </c>
    </row>
    <row r="307" spans="1:7">
      <c r="A307" s="2">
        <v>306</v>
      </c>
      <c r="B307" s="2" t="s">
        <v>33</v>
      </c>
      <c r="C307" s="2" t="s">
        <v>12</v>
      </c>
      <c r="D307" s="2">
        <v>1</v>
      </c>
      <c r="E307" s="3">
        <v>-1388160.9</v>
      </c>
      <c r="F307" s="2" t="s">
        <v>20</v>
      </c>
      <c r="G307" s="2" t="s">
        <v>10</v>
      </c>
    </row>
    <row r="308" spans="1:7">
      <c r="A308" s="2">
        <v>307</v>
      </c>
      <c r="B308" s="2" t="s">
        <v>63</v>
      </c>
      <c r="C308" s="2" t="s">
        <v>16</v>
      </c>
      <c r="D308" s="2">
        <v>14</v>
      </c>
      <c r="E308" s="3">
        <v>-1392953.2</v>
      </c>
      <c r="F308" s="2" t="s">
        <v>13</v>
      </c>
      <c r="G308" s="2" t="s">
        <v>14</v>
      </c>
    </row>
    <row r="309" spans="1:7">
      <c r="A309" s="2">
        <v>308</v>
      </c>
      <c r="B309" s="2" t="s">
        <v>57</v>
      </c>
      <c r="C309" s="2" t="s">
        <v>16</v>
      </c>
      <c r="D309" s="2">
        <v>31</v>
      </c>
      <c r="E309" s="3">
        <v>-1397745.5</v>
      </c>
      <c r="F309" s="2" t="s">
        <v>28</v>
      </c>
      <c r="G309" s="2" t="s">
        <v>23</v>
      </c>
    </row>
    <row r="310" spans="1:7">
      <c r="A310" s="2">
        <v>309</v>
      </c>
      <c r="B310" s="2" t="s">
        <v>69</v>
      </c>
      <c r="C310" s="2" t="s">
        <v>8</v>
      </c>
      <c r="D310" s="2">
        <v>5</v>
      </c>
      <c r="E310" s="3">
        <v>-1402537.8</v>
      </c>
      <c r="F310" s="2" t="s">
        <v>32</v>
      </c>
      <c r="G310" s="2" t="s">
        <v>14</v>
      </c>
    </row>
    <row r="311" spans="1:7">
      <c r="A311" s="2">
        <v>310</v>
      </c>
      <c r="B311" s="2" t="s">
        <v>44</v>
      </c>
      <c r="C311" s="2" t="s">
        <v>22</v>
      </c>
      <c r="D311" s="2">
        <v>9</v>
      </c>
      <c r="E311" s="3">
        <v>-1407330.1</v>
      </c>
      <c r="F311" s="2" t="s">
        <v>32</v>
      </c>
      <c r="G311" s="2" t="s">
        <v>26</v>
      </c>
    </row>
    <row r="312" spans="1:7">
      <c r="A312" s="2">
        <v>311</v>
      </c>
      <c r="B312" s="2" t="s">
        <v>80</v>
      </c>
      <c r="C312" s="2" t="s">
        <v>22</v>
      </c>
      <c r="D312" s="2">
        <v>38</v>
      </c>
      <c r="E312" s="3">
        <v>-1412122.4</v>
      </c>
      <c r="F312" s="2" t="s">
        <v>28</v>
      </c>
      <c r="G312" s="2" t="s">
        <v>23</v>
      </c>
    </row>
    <row r="313" spans="1:7">
      <c r="A313" s="2">
        <v>312</v>
      </c>
      <c r="B313" s="2" t="s">
        <v>67</v>
      </c>
      <c r="C313" s="2" t="s">
        <v>8</v>
      </c>
      <c r="D313" s="2">
        <v>15</v>
      </c>
      <c r="E313" s="3">
        <v>-1416914.7</v>
      </c>
      <c r="F313" s="2" t="s">
        <v>9</v>
      </c>
      <c r="G313" s="2" t="s">
        <v>10</v>
      </c>
    </row>
    <row r="314" spans="1:7">
      <c r="A314" s="2">
        <v>313</v>
      </c>
      <c r="B314" s="2" t="s">
        <v>66</v>
      </c>
      <c r="C314" s="2" t="s">
        <v>12</v>
      </c>
      <c r="D314" s="2">
        <v>34</v>
      </c>
      <c r="E314" s="3">
        <v>-1421707</v>
      </c>
      <c r="F314" s="2" t="s">
        <v>25</v>
      </c>
      <c r="G314" s="2" t="s">
        <v>18</v>
      </c>
    </row>
    <row r="315" spans="1:7">
      <c r="A315" s="2">
        <v>314</v>
      </c>
      <c r="B315" s="2" t="s">
        <v>70</v>
      </c>
      <c r="C315" s="2" t="s">
        <v>12</v>
      </c>
      <c r="D315" s="2">
        <v>44</v>
      </c>
      <c r="E315" s="3">
        <v>-1426499.3</v>
      </c>
      <c r="F315" s="2" t="s">
        <v>25</v>
      </c>
      <c r="G315" s="2" t="s">
        <v>10</v>
      </c>
    </row>
    <row r="316" spans="1:7">
      <c r="A316" s="2">
        <v>315</v>
      </c>
      <c r="B316" s="2" t="s">
        <v>41</v>
      </c>
      <c r="C316" s="2" t="s">
        <v>8</v>
      </c>
      <c r="D316" s="2">
        <v>29</v>
      </c>
      <c r="E316" s="3">
        <v>-1431291.6</v>
      </c>
      <c r="F316" s="2" t="s">
        <v>25</v>
      </c>
      <c r="G316" s="2" t="s">
        <v>26</v>
      </c>
    </row>
    <row r="317" spans="1:7">
      <c r="A317" s="2">
        <v>316</v>
      </c>
      <c r="B317" s="2" t="s">
        <v>68</v>
      </c>
      <c r="C317" s="2" t="s">
        <v>22</v>
      </c>
      <c r="D317" s="2">
        <v>1</v>
      </c>
      <c r="E317" s="3">
        <v>-1436083.9</v>
      </c>
      <c r="F317" s="2" t="s">
        <v>38</v>
      </c>
      <c r="G317" s="2" t="s">
        <v>26</v>
      </c>
    </row>
    <row r="318" spans="1:7">
      <c r="A318" s="2">
        <v>317</v>
      </c>
      <c r="B318" s="2" t="s">
        <v>44</v>
      </c>
      <c r="C318" s="2" t="s">
        <v>22</v>
      </c>
      <c r="D318" s="2">
        <v>1</v>
      </c>
      <c r="E318" s="3">
        <v>-1440876.2</v>
      </c>
      <c r="F318" s="2" t="s">
        <v>38</v>
      </c>
      <c r="G318" s="2" t="s">
        <v>14</v>
      </c>
    </row>
    <row r="319" spans="1:7">
      <c r="A319" s="2">
        <v>318</v>
      </c>
      <c r="B319" s="2" t="s">
        <v>84</v>
      </c>
      <c r="C319" s="2" t="s">
        <v>12</v>
      </c>
      <c r="D319" s="2">
        <v>45</v>
      </c>
      <c r="E319" s="3">
        <v>-1445668.5</v>
      </c>
      <c r="F319" s="2" t="s">
        <v>17</v>
      </c>
      <c r="G319" s="2" t="s">
        <v>14</v>
      </c>
    </row>
    <row r="320" spans="1:7">
      <c r="A320" s="2">
        <v>319</v>
      </c>
      <c r="B320" s="2" t="s">
        <v>52</v>
      </c>
      <c r="C320" s="2" t="s">
        <v>16</v>
      </c>
      <c r="D320" s="2">
        <v>22</v>
      </c>
      <c r="E320" s="3">
        <v>-1450460.8</v>
      </c>
      <c r="F320" s="2" t="s">
        <v>17</v>
      </c>
      <c r="G320" s="2" t="s">
        <v>29</v>
      </c>
    </row>
    <row r="321" spans="1:7">
      <c r="A321" s="2">
        <v>320</v>
      </c>
      <c r="B321" s="2" t="s">
        <v>27</v>
      </c>
      <c r="C321" s="2" t="s">
        <v>8</v>
      </c>
      <c r="D321" s="2">
        <v>8</v>
      </c>
      <c r="E321" s="3">
        <v>-1455253.1</v>
      </c>
      <c r="F321" s="2" t="s">
        <v>9</v>
      </c>
      <c r="G321" s="2" t="s">
        <v>29</v>
      </c>
    </row>
    <row r="322" spans="1:7">
      <c r="A322" s="2">
        <v>321</v>
      </c>
      <c r="B322" s="2" t="s">
        <v>11</v>
      </c>
      <c r="C322" s="2" t="s">
        <v>8</v>
      </c>
      <c r="D322" s="2">
        <v>28</v>
      </c>
      <c r="E322" s="3">
        <v>-1460045.4</v>
      </c>
      <c r="F322" s="2" t="s">
        <v>9</v>
      </c>
      <c r="G322" s="2" t="s">
        <v>23</v>
      </c>
    </row>
    <row r="323" spans="1:7">
      <c r="A323" s="2">
        <v>322</v>
      </c>
      <c r="B323" s="2" t="s">
        <v>88</v>
      </c>
      <c r="C323" s="2" t="s">
        <v>12</v>
      </c>
      <c r="D323" s="2">
        <v>45</v>
      </c>
      <c r="E323" s="3">
        <v>-1464837.7</v>
      </c>
      <c r="F323" s="2" t="s">
        <v>28</v>
      </c>
      <c r="G323" s="2" t="s">
        <v>26</v>
      </c>
    </row>
    <row r="324" spans="1:7">
      <c r="A324" s="2">
        <v>323</v>
      </c>
      <c r="B324" s="2" t="s">
        <v>71</v>
      </c>
      <c r="C324" s="2" t="s">
        <v>8</v>
      </c>
      <c r="D324" s="2">
        <v>9</v>
      </c>
      <c r="E324" s="3">
        <v>-1469630</v>
      </c>
      <c r="F324" s="2" t="s">
        <v>9</v>
      </c>
      <c r="G324" s="2" t="s">
        <v>14</v>
      </c>
    </row>
    <row r="325" spans="1:7">
      <c r="A325" s="2">
        <v>324</v>
      </c>
      <c r="B325" s="2" t="s">
        <v>40</v>
      </c>
      <c r="C325" s="2" t="s">
        <v>22</v>
      </c>
      <c r="D325" s="2">
        <v>31</v>
      </c>
      <c r="E325" s="3">
        <v>-1474422.3</v>
      </c>
      <c r="F325" s="2" t="s">
        <v>25</v>
      </c>
      <c r="G325" s="2" t="s">
        <v>29</v>
      </c>
    </row>
    <row r="326" spans="1:7">
      <c r="A326" s="2">
        <v>325</v>
      </c>
      <c r="B326" s="2" t="s">
        <v>27</v>
      </c>
      <c r="C326" s="2" t="s">
        <v>12</v>
      </c>
      <c r="D326" s="2">
        <v>5</v>
      </c>
      <c r="E326" s="3">
        <v>-1479214.6</v>
      </c>
      <c r="F326" s="2" t="s">
        <v>25</v>
      </c>
      <c r="G326" s="2" t="s">
        <v>26</v>
      </c>
    </row>
    <row r="327" spans="1:7">
      <c r="A327" s="2">
        <v>326</v>
      </c>
      <c r="B327" s="2" t="s">
        <v>27</v>
      </c>
      <c r="C327" s="2" t="s">
        <v>22</v>
      </c>
      <c r="D327" s="2">
        <v>15</v>
      </c>
      <c r="E327" s="3">
        <v>-1484006.9</v>
      </c>
      <c r="F327" s="2" t="s">
        <v>9</v>
      </c>
      <c r="G327" s="2" t="s">
        <v>29</v>
      </c>
    </row>
    <row r="328" spans="1:7">
      <c r="A328" s="2">
        <v>327</v>
      </c>
      <c r="B328" s="2" t="s">
        <v>87</v>
      </c>
      <c r="C328" s="2" t="s">
        <v>16</v>
      </c>
      <c r="D328" s="2">
        <v>25</v>
      </c>
      <c r="E328" s="3">
        <v>-1488799.2</v>
      </c>
      <c r="F328" s="2" t="s">
        <v>13</v>
      </c>
      <c r="G328" s="2" t="s">
        <v>10</v>
      </c>
    </row>
    <row r="329" spans="1:7">
      <c r="A329" s="2">
        <v>328</v>
      </c>
      <c r="B329" s="2" t="s">
        <v>64</v>
      </c>
      <c r="C329" s="2" t="s">
        <v>8</v>
      </c>
      <c r="D329" s="2">
        <v>6</v>
      </c>
      <c r="E329" s="3">
        <v>-1493591.5</v>
      </c>
      <c r="F329" s="2" t="s">
        <v>28</v>
      </c>
      <c r="G329" s="2" t="s">
        <v>23</v>
      </c>
    </row>
    <row r="330" spans="1:7">
      <c r="A330" s="2">
        <v>329</v>
      </c>
      <c r="B330" s="2" t="s">
        <v>81</v>
      </c>
      <c r="C330" s="2" t="s">
        <v>8</v>
      </c>
      <c r="D330" s="2">
        <v>47</v>
      </c>
      <c r="E330" s="3">
        <v>-1498383.8</v>
      </c>
      <c r="F330" s="2" t="s">
        <v>17</v>
      </c>
      <c r="G330" s="2" t="s">
        <v>18</v>
      </c>
    </row>
    <row r="331" spans="1:7">
      <c r="A331" s="2">
        <v>330</v>
      </c>
      <c r="B331" s="2" t="s">
        <v>49</v>
      </c>
      <c r="C331" s="2" t="s">
        <v>22</v>
      </c>
      <c r="D331" s="2">
        <v>7</v>
      </c>
      <c r="E331" s="3">
        <v>-1503176.1</v>
      </c>
      <c r="F331" s="2" t="s">
        <v>9</v>
      </c>
      <c r="G331" s="2" t="s">
        <v>10</v>
      </c>
    </row>
    <row r="332" spans="1:7">
      <c r="A332" s="2">
        <v>331</v>
      </c>
      <c r="B332" s="2" t="s">
        <v>46</v>
      </c>
      <c r="C332" s="2" t="s">
        <v>12</v>
      </c>
      <c r="D332" s="2">
        <v>7</v>
      </c>
      <c r="E332" s="3">
        <v>-1507968.4</v>
      </c>
      <c r="F332" s="2" t="s">
        <v>32</v>
      </c>
      <c r="G332" s="2" t="s">
        <v>23</v>
      </c>
    </row>
    <row r="333" spans="1:7">
      <c r="A333" s="2">
        <v>332</v>
      </c>
      <c r="B333" s="2" t="s">
        <v>48</v>
      </c>
      <c r="C333" s="2" t="s">
        <v>12</v>
      </c>
      <c r="D333" s="2">
        <v>21</v>
      </c>
      <c r="E333" s="3">
        <v>-1512760.7</v>
      </c>
      <c r="F333" s="2" t="s">
        <v>20</v>
      </c>
      <c r="G333" s="2" t="s">
        <v>23</v>
      </c>
    </row>
    <row r="334" spans="1:7">
      <c r="A334" s="2">
        <v>333</v>
      </c>
      <c r="B334" s="2" t="s">
        <v>60</v>
      </c>
      <c r="C334" s="2" t="s">
        <v>8</v>
      </c>
      <c r="D334" s="2">
        <v>24</v>
      </c>
      <c r="E334" s="3">
        <v>-1517553</v>
      </c>
      <c r="F334" s="2" t="s">
        <v>9</v>
      </c>
      <c r="G334" s="2" t="s">
        <v>10</v>
      </c>
    </row>
    <row r="335" spans="1:7">
      <c r="A335" s="2">
        <v>334</v>
      </c>
      <c r="B335" s="2" t="s">
        <v>64</v>
      </c>
      <c r="C335" s="2" t="s">
        <v>22</v>
      </c>
      <c r="D335" s="2">
        <v>20</v>
      </c>
      <c r="E335" s="3">
        <v>-1522345.3</v>
      </c>
      <c r="F335" s="2" t="s">
        <v>28</v>
      </c>
      <c r="G335" s="2" t="s">
        <v>29</v>
      </c>
    </row>
    <row r="336" spans="1:7">
      <c r="A336" s="2">
        <v>335</v>
      </c>
      <c r="B336" s="2" t="s">
        <v>69</v>
      </c>
      <c r="C336" s="2" t="s">
        <v>16</v>
      </c>
      <c r="D336" s="2">
        <v>9</v>
      </c>
      <c r="E336" s="3">
        <v>-1527137.6</v>
      </c>
      <c r="F336" s="2" t="s">
        <v>17</v>
      </c>
      <c r="G336" s="2" t="s">
        <v>29</v>
      </c>
    </row>
    <row r="337" spans="1:7">
      <c r="A337" s="2">
        <v>336</v>
      </c>
      <c r="B337" s="2" t="s">
        <v>49</v>
      </c>
      <c r="C337" s="2" t="s">
        <v>22</v>
      </c>
      <c r="D337" s="2">
        <v>25</v>
      </c>
      <c r="E337" s="3">
        <v>-1531929.9</v>
      </c>
      <c r="F337" s="2" t="s">
        <v>13</v>
      </c>
      <c r="G337" s="2" t="s">
        <v>26</v>
      </c>
    </row>
    <row r="338" spans="1:7">
      <c r="A338" s="2">
        <v>337</v>
      </c>
      <c r="B338" s="2" t="s">
        <v>72</v>
      </c>
      <c r="C338" s="2" t="s">
        <v>12</v>
      </c>
      <c r="D338" s="2">
        <v>50</v>
      </c>
      <c r="E338" s="3">
        <v>-1536722.2</v>
      </c>
      <c r="F338" s="2" t="s">
        <v>28</v>
      </c>
      <c r="G338" s="2" t="s">
        <v>18</v>
      </c>
    </row>
    <row r="339" spans="1:7">
      <c r="A339" s="2">
        <v>338</v>
      </c>
      <c r="B339" s="2" t="s">
        <v>84</v>
      </c>
      <c r="C339" s="2" t="s">
        <v>8</v>
      </c>
      <c r="D339" s="2">
        <v>49</v>
      </c>
      <c r="E339" s="3">
        <v>-1541514.5</v>
      </c>
      <c r="F339" s="2" t="s">
        <v>25</v>
      </c>
      <c r="G339" s="2" t="s">
        <v>18</v>
      </c>
    </row>
    <row r="340" spans="1:7">
      <c r="A340" s="2">
        <v>339</v>
      </c>
      <c r="B340" s="2" t="s">
        <v>87</v>
      </c>
      <c r="C340" s="2" t="s">
        <v>8</v>
      </c>
      <c r="D340" s="2">
        <v>9</v>
      </c>
      <c r="E340" s="3">
        <v>-1546306.8</v>
      </c>
      <c r="F340" s="2" t="s">
        <v>28</v>
      </c>
      <c r="G340" s="2" t="s">
        <v>23</v>
      </c>
    </row>
    <row r="341" spans="1:7">
      <c r="A341" s="2">
        <v>340</v>
      </c>
      <c r="B341" s="2" t="s">
        <v>44</v>
      </c>
      <c r="C341" s="2" t="s">
        <v>8</v>
      </c>
      <c r="D341" s="2">
        <v>42</v>
      </c>
      <c r="E341" s="3">
        <v>-1551099.1</v>
      </c>
      <c r="F341" s="2" t="s">
        <v>38</v>
      </c>
      <c r="G341" s="2" t="s">
        <v>26</v>
      </c>
    </row>
    <row r="342" spans="1:7">
      <c r="A342" s="2">
        <v>341</v>
      </c>
      <c r="B342" s="2" t="s">
        <v>71</v>
      </c>
      <c r="C342" s="2" t="s">
        <v>16</v>
      </c>
      <c r="D342" s="2">
        <v>44</v>
      </c>
      <c r="E342" s="3">
        <v>-1555891.4</v>
      </c>
      <c r="F342" s="2" t="s">
        <v>38</v>
      </c>
      <c r="G342" s="2" t="s">
        <v>18</v>
      </c>
    </row>
    <row r="343" spans="1:7">
      <c r="A343" s="2">
        <v>342</v>
      </c>
      <c r="B343" s="2" t="s">
        <v>87</v>
      </c>
      <c r="C343" s="2" t="s">
        <v>16</v>
      </c>
      <c r="D343" s="2">
        <v>10</v>
      </c>
      <c r="E343" s="3">
        <v>-1560683.7</v>
      </c>
      <c r="F343" s="2" t="s">
        <v>25</v>
      </c>
      <c r="G343" s="2" t="s">
        <v>10</v>
      </c>
    </row>
    <row r="344" spans="1:7">
      <c r="A344" s="2">
        <v>343</v>
      </c>
      <c r="B344" s="2" t="s">
        <v>76</v>
      </c>
      <c r="C344" s="2" t="s">
        <v>12</v>
      </c>
      <c r="D344" s="2">
        <v>5</v>
      </c>
      <c r="E344" s="3">
        <v>-1565476</v>
      </c>
      <c r="F344" s="2" t="s">
        <v>17</v>
      </c>
      <c r="G344" s="2" t="s">
        <v>26</v>
      </c>
    </row>
    <row r="345" spans="1:7">
      <c r="A345" s="2">
        <v>344</v>
      </c>
      <c r="B345" s="2" t="s">
        <v>61</v>
      </c>
      <c r="C345" s="2" t="s">
        <v>22</v>
      </c>
      <c r="D345" s="2">
        <v>34</v>
      </c>
      <c r="E345" s="3">
        <v>-1570268.3</v>
      </c>
      <c r="F345" s="2" t="s">
        <v>28</v>
      </c>
      <c r="G345" s="2" t="s">
        <v>18</v>
      </c>
    </row>
    <row r="346" spans="1:7">
      <c r="A346" s="2">
        <v>345</v>
      </c>
      <c r="B346" s="2" t="s">
        <v>49</v>
      </c>
      <c r="C346" s="2" t="s">
        <v>22</v>
      </c>
      <c r="D346" s="2">
        <v>37</v>
      </c>
      <c r="E346" s="3">
        <v>-1575060.6</v>
      </c>
      <c r="F346" s="2" t="s">
        <v>9</v>
      </c>
      <c r="G346" s="2" t="s">
        <v>14</v>
      </c>
    </row>
    <row r="347" spans="1:7">
      <c r="A347" s="2">
        <v>346</v>
      </c>
      <c r="B347" s="2" t="s">
        <v>27</v>
      </c>
      <c r="C347" s="2" t="s">
        <v>22</v>
      </c>
      <c r="D347" s="2">
        <v>1</v>
      </c>
      <c r="E347" s="3">
        <v>-1579852.9</v>
      </c>
      <c r="F347" s="2" t="s">
        <v>38</v>
      </c>
      <c r="G347" s="2" t="s">
        <v>23</v>
      </c>
    </row>
    <row r="348" spans="1:7">
      <c r="A348" s="2">
        <v>347</v>
      </c>
      <c r="B348" s="2" t="s">
        <v>50</v>
      </c>
      <c r="C348" s="2" t="s">
        <v>16</v>
      </c>
      <c r="D348" s="2">
        <v>40</v>
      </c>
      <c r="E348" s="3">
        <v>-1584645.2</v>
      </c>
      <c r="F348" s="2" t="s">
        <v>9</v>
      </c>
      <c r="G348" s="2" t="s">
        <v>14</v>
      </c>
    </row>
    <row r="349" spans="1:7">
      <c r="A349" s="2">
        <v>348</v>
      </c>
      <c r="B349" s="2" t="s">
        <v>70</v>
      </c>
      <c r="C349" s="2" t="s">
        <v>8</v>
      </c>
      <c r="D349" s="2">
        <v>42</v>
      </c>
      <c r="E349" s="3">
        <v>-1589437.5</v>
      </c>
      <c r="F349" s="2" t="s">
        <v>9</v>
      </c>
      <c r="G349" s="2" t="s">
        <v>23</v>
      </c>
    </row>
    <row r="350" spans="1:7">
      <c r="A350" s="2">
        <v>349</v>
      </c>
      <c r="B350" s="2" t="s">
        <v>27</v>
      </c>
      <c r="C350" s="2" t="s">
        <v>12</v>
      </c>
      <c r="D350" s="2">
        <v>11</v>
      </c>
      <c r="E350" s="3">
        <v>-1594229.8</v>
      </c>
      <c r="F350" s="2" t="s">
        <v>28</v>
      </c>
      <c r="G350" s="2" t="s">
        <v>23</v>
      </c>
    </row>
    <row r="351" spans="1:7">
      <c r="A351" s="2">
        <v>350</v>
      </c>
      <c r="B351" s="2" t="s">
        <v>7</v>
      </c>
      <c r="C351" s="2" t="s">
        <v>12</v>
      </c>
      <c r="D351" s="2">
        <v>29</v>
      </c>
      <c r="E351" s="3">
        <v>-1599022.1</v>
      </c>
      <c r="F351" s="2" t="s">
        <v>38</v>
      </c>
      <c r="G351" s="2" t="s">
        <v>10</v>
      </c>
    </row>
    <row r="352" spans="1:7">
      <c r="A352" s="2">
        <v>351</v>
      </c>
      <c r="B352" s="2" t="s">
        <v>57</v>
      </c>
      <c r="C352" s="2" t="s">
        <v>16</v>
      </c>
      <c r="D352" s="2">
        <v>23</v>
      </c>
      <c r="E352" s="3">
        <v>-1603814.3999999999</v>
      </c>
      <c r="F352" s="2" t="s">
        <v>13</v>
      </c>
      <c r="G352" s="2" t="s">
        <v>29</v>
      </c>
    </row>
    <row r="353" spans="1:7">
      <c r="A353" s="2">
        <v>352</v>
      </c>
      <c r="B353" s="2" t="s">
        <v>68</v>
      </c>
      <c r="C353" s="2" t="s">
        <v>16</v>
      </c>
      <c r="D353" s="2">
        <v>47</v>
      </c>
      <c r="E353" s="3">
        <v>-1608606.7</v>
      </c>
      <c r="F353" s="2" t="s">
        <v>28</v>
      </c>
      <c r="G353" s="2" t="s">
        <v>18</v>
      </c>
    </row>
    <row r="354" spans="1:7">
      <c r="A354" s="2">
        <v>353</v>
      </c>
      <c r="B354" s="2" t="s">
        <v>15</v>
      </c>
      <c r="C354" s="2" t="s">
        <v>8</v>
      </c>
      <c r="D354" s="2">
        <v>14</v>
      </c>
      <c r="E354" s="3">
        <v>-1613399</v>
      </c>
      <c r="F354" s="2" t="s">
        <v>32</v>
      </c>
      <c r="G354" s="2" t="s">
        <v>14</v>
      </c>
    </row>
    <row r="355" spans="1:7">
      <c r="A355" s="2">
        <v>354</v>
      </c>
      <c r="B355" s="2" t="s">
        <v>86</v>
      </c>
      <c r="C355" s="2" t="s">
        <v>8</v>
      </c>
      <c r="D355" s="2">
        <v>41</v>
      </c>
      <c r="E355" s="3">
        <v>-1618191.3</v>
      </c>
      <c r="F355" s="2" t="s">
        <v>38</v>
      </c>
      <c r="G355" s="2" t="s">
        <v>18</v>
      </c>
    </row>
    <row r="356" spans="1:7">
      <c r="A356" s="2">
        <v>355</v>
      </c>
      <c r="B356" s="2" t="s">
        <v>63</v>
      </c>
      <c r="C356" s="2" t="s">
        <v>16</v>
      </c>
      <c r="D356" s="2">
        <v>48</v>
      </c>
      <c r="E356" s="3">
        <v>-1622983.6</v>
      </c>
      <c r="F356" s="2" t="s">
        <v>17</v>
      </c>
      <c r="G356" s="2" t="s">
        <v>23</v>
      </c>
    </row>
    <row r="357" spans="1:7">
      <c r="A357" s="2">
        <v>356</v>
      </c>
      <c r="B357" s="2" t="s">
        <v>19</v>
      </c>
      <c r="C357" s="2" t="s">
        <v>12</v>
      </c>
      <c r="D357" s="2">
        <v>10</v>
      </c>
      <c r="E357" s="3">
        <v>-1627775.9</v>
      </c>
      <c r="F357" s="2" t="s">
        <v>32</v>
      </c>
      <c r="G357" s="2" t="s">
        <v>14</v>
      </c>
    </row>
    <row r="358" spans="1:7">
      <c r="A358" s="2">
        <v>357</v>
      </c>
      <c r="B358" s="2" t="s">
        <v>53</v>
      </c>
      <c r="C358" s="2" t="s">
        <v>8</v>
      </c>
      <c r="D358" s="2">
        <v>27</v>
      </c>
      <c r="E358" s="3">
        <v>-1632568.2</v>
      </c>
      <c r="F358" s="2" t="s">
        <v>13</v>
      </c>
      <c r="G358" s="2" t="s">
        <v>14</v>
      </c>
    </row>
    <row r="359" spans="1:7">
      <c r="A359" s="2">
        <v>358</v>
      </c>
      <c r="B359" s="2" t="s">
        <v>64</v>
      </c>
      <c r="C359" s="2" t="s">
        <v>8</v>
      </c>
      <c r="D359" s="2">
        <v>40</v>
      </c>
      <c r="E359" s="3">
        <v>-1637360.5</v>
      </c>
      <c r="F359" s="2" t="s">
        <v>13</v>
      </c>
      <c r="G359" s="2" t="s">
        <v>26</v>
      </c>
    </row>
    <row r="360" spans="1:7">
      <c r="A360" s="2">
        <v>359</v>
      </c>
      <c r="B360" s="2" t="s">
        <v>49</v>
      </c>
      <c r="C360" s="2" t="s">
        <v>12</v>
      </c>
      <c r="D360" s="2">
        <v>44</v>
      </c>
      <c r="E360" s="3">
        <v>-1642152.8</v>
      </c>
      <c r="F360" s="2" t="s">
        <v>13</v>
      </c>
      <c r="G360" s="2" t="s">
        <v>23</v>
      </c>
    </row>
    <row r="361" spans="1:7">
      <c r="A361" s="2">
        <v>360</v>
      </c>
      <c r="B361" s="2" t="s">
        <v>81</v>
      </c>
      <c r="C361" s="2" t="s">
        <v>8</v>
      </c>
      <c r="D361" s="2">
        <v>29</v>
      </c>
      <c r="E361" s="3">
        <v>-1646945.1</v>
      </c>
      <c r="F361" s="2" t="s">
        <v>32</v>
      </c>
      <c r="G361" s="2" t="s">
        <v>18</v>
      </c>
    </row>
    <row r="362" spans="1:7">
      <c r="A362" s="2">
        <v>361</v>
      </c>
      <c r="B362" s="2" t="s">
        <v>43</v>
      </c>
      <c r="C362" s="2" t="s">
        <v>12</v>
      </c>
      <c r="D362" s="2">
        <v>14</v>
      </c>
      <c r="E362" s="3">
        <v>-1651737.4</v>
      </c>
      <c r="F362" s="2" t="s">
        <v>25</v>
      </c>
      <c r="G362" s="2" t="s">
        <v>14</v>
      </c>
    </row>
    <row r="363" spans="1:7">
      <c r="A363" s="2">
        <v>362</v>
      </c>
      <c r="B363" s="2" t="s">
        <v>55</v>
      </c>
      <c r="C363" s="2" t="s">
        <v>22</v>
      </c>
      <c r="D363" s="2">
        <v>6</v>
      </c>
      <c r="E363" s="3">
        <v>-1656529.7</v>
      </c>
      <c r="F363" s="2" t="s">
        <v>13</v>
      </c>
      <c r="G363" s="2" t="s">
        <v>18</v>
      </c>
    </row>
    <row r="364" spans="1:7">
      <c r="A364" s="2">
        <v>363</v>
      </c>
      <c r="B364" s="2" t="s">
        <v>11</v>
      </c>
      <c r="C364" s="2" t="s">
        <v>8</v>
      </c>
      <c r="D364" s="2">
        <v>7</v>
      </c>
      <c r="E364" s="3">
        <v>-1661322</v>
      </c>
      <c r="F364" s="2" t="s">
        <v>13</v>
      </c>
      <c r="G364" s="2" t="s">
        <v>14</v>
      </c>
    </row>
    <row r="365" spans="1:7">
      <c r="A365" s="2">
        <v>364</v>
      </c>
      <c r="B365" s="2" t="s">
        <v>60</v>
      </c>
      <c r="C365" s="2" t="s">
        <v>8</v>
      </c>
      <c r="D365" s="2">
        <v>9</v>
      </c>
      <c r="E365" s="3">
        <v>-1666114.3</v>
      </c>
      <c r="F365" s="2" t="s">
        <v>32</v>
      </c>
      <c r="G365" s="2" t="s">
        <v>29</v>
      </c>
    </row>
    <row r="366" spans="1:7">
      <c r="A366" s="2">
        <v>365</v>
      </c>
      <c r="B366" s="2" t="s">
        <v>82</v>
      </c>
      <c r="C366" s="2" t="s">
        <v>22</v>
      </c>
      <c r="D366" s="2">
        <v>49</v>
      </c>
      <c r="E366" s="3">
        <v>-1670906.6</v>
      </c>
      <c r="F366" s="2" t="s">
        <v>28</v>
      </c>
      <c r="G366" s="2" t="s">
        <v>10</v>
      </c>
    </row>
    <row r="367" spans="1:7">
      <c r="A367" s="2">
        <v>366</v>
      </c>
      <c r="B367" s="2" t="s">
        <v>49</v>
      </c>
      <c r="C367" s="2" t="s">
        <v>12</v>
      </c>
      <c r="D367" s="2">
        <v>8</v>
      </c>
      <c r="E367" s="3">
        <v>-1675698.9</v>
      </c>
      <c r="F367" s="2" t="s">
        <v>20</v>
      </c>
      <c r="G367" s="2" t="s">
        <v>26</v>
      </c>
    </row>
    <row r="368" spans="1:7">
      <c r="A368" s="2">
        <v>367</v>
      </c>
      <c r="B368" s="2" t="s">
        <v>76</v>
      </c>
      <c r="C368" s="2" t="s">
        <v>8</v>
      </c>
      <c r="D368" s="2">
        <v>38</v>
      </c>
      <c r="E368" s="3">
        <v>-1680491.2</v>
      </c>
      <c r="F368" s="2" t="s">
        <v>13</v>
      </c>
      <c r="G368" s="2" t="s">
        <v>23</v>
      </c>
    </row>
    <row r="369" spans="1:7">
      <c r="A369" s="2">
        <v>368</v>
      </c>
      <c r="B369" s="2" t="s">
        <v>89</v>
      </c>
      <c r="C369" s="2" t="s">
        <v>22</v>
      </c>
      <c r="D369" s="2">
        <v>47</v>
      </c>
      <c r="E369" s="3">
        <v>-1685283.5</v>
      </c>
      <c r="F369" s="2" t="s">
        <v>32</v>
      </c>
      <c r="G369" s="2" t="s">
        <v>10</v>
      </c>
    </row>
    <row r="370" spans="1:7">
      <c r="A370" s="2">
        <v>369</v>
      </c>
      <c r="B370" s="2" t="s">
        <v>77</v>
      </c>
      <c r="C370" s="2" t="s">
        <v>12</v>
      </c>
      <c r="D370" s="2">
        <v>25</v>
      </c>
      <c r="E370" s="3">
        <v>-1690075.8</v>
      </c>
      <c r="F370" s="2" t="s">
        <v>28</v>
      </c>
      <c r="G370" s="2" t="s">
        <v>26</v>
      </c>
    </row>
    <row r="371" spans="1:7">
      <c r="A371" s="2">
        <v>370</v>
      </c>
      <c r="B371" s="2" t="s">
        <v>91</v>
      </c>
      <c r="C371" s="2" t="s">
        <v>8</v>
      </c>
      <c r="D371" s="2">
        <v>23</v>
      </c>
      <c r="E371" s="3">
        <v>-1694868.1</v>
      </c>
      <c r="F371" s="2" t="s">
        <v>28</v>
      </c>
      <c r="G371" s="2" t="s">
        <v>18</v>
      </c>
    </row>
    <row r="372" spans="1:7">
      <c r="A372" s="2">
        <v>371</v>
      </c>
      <c r="B372" s="2" t="s">
        <v>62</v>
      </c>
      <c r="C372" s="2" t="s">
        <v>16</v>
      </c>
      <c r="D372" s="2">
        <v>28</v>
      </c>
      <c r="E372" s="3">
        <v>-1699660.4</v>
      </c>
      <c r="F372" s="2" t="s">
        <v>28</v>
      </c>
      <c r="G372" s="2" t="s">
        <v>26</v>
      </c>
    </row>
    <row r="373" spans="1:7">
      <c r="A373" s="2">
        <v>372</v>
      </c>
      <c r="B373" s="2" t="s">
        <v>24</v>
      </c>
      <c r="C373" s="2" t="s">
        <v>22</v>
      </c>
      <c r="D373" s="2">
        <v>21</v>
      </c>
      <c r="E373" s="3">
        <v>-1704452.7</v>
      </c>
      <c r="F373" s="2" t="s">
        <v>13</v>
      </c>
      <c r="G373" s="2" t="s">
        <v>10</v>
      </c>
    </row>
    <row r="374" spans="1:7">
      <c r="A374" s="2">
        <v>373</v>
      </c>
      <c r="B374" s="2" t="s">
        <v>43</v>
      </c>
      <c r="C374" s="2" t="s">
        <v>12</v>
      </c>
      <c r="D374" s="2">
        <v>9</v>
      </c>
      <c r="E374" s="3">
        <v>-1709245</v>
      </c>
      <c r="F374" s="2" t="s">
        <v>32</v>
      </c>
      <c r="G374" s="2" t="s">
        <v>10</v>
      </c>
    </row>
    <row r="375" spans="1:7">
      <c r="A375" s="2">
        <v>374</v>
      </c>
      <c r="B375" s="2" t="s">
        <v>57</v>
      </c>
      <c r="C375" s="2" t="s">
        <v>16</v>
      </c>
      <c r="D375" s="2">
        <v>16</v>
      </c>
      <c r="E375" s="3">
        <v>-1714037.3</v>
      </c>
      <c r="F375" s="2" t="s">
        <v>20</v>
      </c>
      <c r="G375" s="2" t="s">
        <v>10</v>
      </c>
    </row>
    <row r="376" spans="1:7">
      <c r="A376" s="2">
        <v>375</v>
      </c>
      <c r="B376" s="2" t="s">
        <v>47</v>
      </c>
      <c r="C376" s="2" t="s">
        <v>12</v>
      </c>
      <c r="D376" s="2">
        <v>18</v>
      </c>
      <c r="E376" s="3">
        <v>-1718829.6</v>
      </c>
      <c r="F376" s="2" t="s">
        <v>25</v>
      </c>
      <c r="G376" s="2" t="s">
        <v>10</v>
      </c>
    </row>
    <row r="377" spans="1:7">
      <c r="A377" s="2">
        <v>376</v>
      </c>
      <c r="B377" s="2" t="s">
        <v>39</v>
      </c>
      <c r="C377" s="2" t="s">
        <v>16</v>
      </c>
      <c r="D377" s="2">
        <v>42</v>
      </c>
      <c r="E377" s="3">
        <v>-1723621.9</v>
      </c>
      <c r="F377" s="2" t="s">
        <v>25</v>
      </c>
      <c r="G377" s="2" t="s">
        <v>23</v>
      </c>
    </row>
    <row r="378" spans="1:7">
      <c r="A378" s="2">
        <v>377</v>
      </c>
      <c r="B378" s="2" t="s">
        <v>35</v>
      </c>
      <c r="C378" s="2" t="s">
        <v>16</v>
      </c>
      <c r="D378" s="2">
        <v>6</v>
      </c>
      <c r="E378" s="3">
        <v>-1728414.2</v>
      </c>
      <c r="F378" s="2" t="s">
        <v>28</v>
      </c>
      <c r="G378" s="2" t="s">
        <v>29</v>
      </c>
    </row>
    <row r="379" spans="1:7">
      <c r="A379" s="2">
        <v>378</v>
      </c>
      <c r="B379" s="2" t="s">
        <v>58</v>
      </c>
      <c r="C379" s="2" t="s">
        <v>22</v>
      </c>
      <c r="D379" s="2">
        <v>16</v>
      </c>
      <c r="E379" s="3">
        <v>-1733206.5</v>
      </c>
      <c r="F379" s="2" t="s">
        <v>20</v>
      </c>
      <c r="G379" s="2" t="s">
        <v>26</v>
      </c>
    </row>
    <row r="380" spans="1:7">
      <c r="A380" s="2">
        <v>379</v>
      </c>
      <c r="B380" s="2" t="s">
        <v>60</v>
      </c>
      <c r="C380" s="2" t="s">
        <v>22</v>
      </c>
      <c r="D380" s="2">
        <v>36</v>
      </c>
      <c r="E380" s="3">
        <v>-1737998.8</v>
      </c>
      <c r="F380" s="2" t="s">
        <v>9</v>
      </c>
      <c r="G380" s="2" t="s">
        <v>29</v>
      </c>
    </row>
    <row r="381" spans="1:7">
      <c r="A381" s="2">
        <v>380</v>
      </c>
      <c r="B381" s="2" t="s">
        <v>91</v>
      </c>
      <c r="C381" s="2" t="s">
        <v>16</v>
      </c>
      <c r="D381" s="2">
        <v>39</v>
      </c>
      <c r="E381" s="3">
        <v>-1742791.1</v>
      </c>
      <c r="F381" s="2" t="s">
        <v>9</v>
      </c>
      <c r="G381" s="2" t="s">
        <v>10</v>
      </c>
    </row>
    <row r="382" spans="1:7">
      <c r="A382" s="2">
        <v>381</v>
      </c>
      <c r="B382" s="2" t="s">
        <v>39</v>
      </c>
      <c r="C382" s="2" t="s">
        <v>22</v>
      </c>
      <c r="D382" s="2">
        <v>39</v>
      </c>
      <c r="E382" s="3">
        <v>-1747583.4</v>
      </c>
      <c r="F382" s="2" t="s">
        <v>28</v>
      </c>
      <c r="G382" s="2" t="s">
        <v>29</v>
      </c>
    </row>
    <row r="383" spans="1:7">
      <c r="A383" s="2">
        <v>382</v>
      </c>
      <c r="B383" s="2" t="s">
        <v>76</v>
      </c>
      <c r="C383" s="2" t="s">
        <v>12</v>
      </c>
      <c r="D383" s="2">
        <v>47</v>
      </c>
      <c r="E383" s="3">
        <v>-1752375.7</v>
      </c>
      <c r="F383" s="2" t="s">
        <v>9</v>
      </c>
      <c r="G383" s="2" t="s">
        <v>29</v>
      </c>
    </row>
    <row r="384" spans="1:7">
      <c r="A384" s="2">
        <v>383</v>
      </c>
      <c r="B384" s="2" t="s">
        <v>77</v>
      </c>
      <c r="C384" s="2" t="s">
        <v>8</v>
      </c>
      <c r="D384" s="2">
        <v>39</v>
      </c>
      <c r="E384" s="3">
        <v>-1757168</v>
      </c>
      <c r="F384" s="2" t="s">
        <v>32</v>
      </c>
      <c r="G384" s="2" t="s">
        <v>23</v>
      </c>
    </row>
    <row r="385" spans="1:7">
      <c r="A385" s="2">
        <v>384</v>
      </c>
      <c r="B385" s="2" t="s">
        <v>90</v>
      </c>
      <c r="C385" s="2" t="s">
        <v>12</v>
      </c>
      <c r="D385" s="2">
        <v>19</v>
      </c>
      <c r="E385" s="3">
        <v>-1761960.3</v>
      </c>
      <c r="F385" s="2" t="s">
        <v>17</v>
      </c>
      <c r="G385" s="2" t="s">
        <v>10</v>
      </c>
    </row>
    <row r="386" spans="1:7">
      <c r="A386" s="2">
        <v>385</v>
      </c>
      <c r="B386" s="2" t="s">
        <v>39</v>
      </c>
      <c r="C386" s="2" t="s">
        <v>16</v>
      </c>
      <c r="D386" s="2">
        <v>50</v>
      </c>
      <c r="E386" s="3">
        <v>-1766752.6</v>
      </c>
      <c r="F386" s="2" t="s">
        <v>38</v>
      </c>
      <c r="G386" s="2" t="s">
        <v>18</v>
      </c>
    </row>
    <row r="387" spans="1:7">
      <c r="A387" s="2">
        <v>386</v>
      </c>
      <c r="B387" s="2" t="s">
        <v>91</v>
      </c>
      <c r="C387" s="2" t="s">
        <v>12</v>
      </c>
      <c r="D387" s="2">
        <v>45</v>
      </c>
      <c r="E387" s="3">
        <v>-1771544.9</v>
      </c>
      <c r="F387" s="2" t="s">
        <v>25</v>
      </c>
      <c r="G387" s="2" t="s">
        <v>10</v>
      </c>
    </row>
    <row r="388" spans="1:7">
      <c r="A388" s="2">
        <v>387</v>
      </c>
      <c r="B388" s="2" t="s">
        <v>47</v>
      </c>
      <c r="C388" s="2" t="s">
        <v>16</v>
      </c>
      <c r="D388" s="2">
        <v>2</v>
      </c>
      <c r="E388" s="3">
        <v>-1776337.2</v>
      </c>
      <c r="F388" s="2" t="s">
        <v>38</v>
      </c>
      <c r="G388" s="2" t="s">
        <v>29</v>
      </c>
    </row>
    <row r="389" spans="1:7">
      <c r="A389" s="2">
        <v>388</v>
      </c>
      <c r="B389" s="2" t="s">
        <v>24</v>
      </c>
      <c r="C389" s="2" t="s">
        <v>12</v>
      </c>
      <c r="D389" s="2">
        <v>43</v>
      </c>
      <c r="E389" s="3">
        <v>-1781129.5</v>
      </c>
      <c r="F389" s="2" t="s">
        <v>38</v>
      </c>
      <c r="G389" s="2" t="s">
        <v>18</v>
      </c>
    </row>
    <row r="390" spans="1:7">
      <c r="A390" s="2">
        <v>389</v>
      </c>
      <c r="B390" s="2" t="s">
        <v>85</v>
      </c>
      <c r="C390" s="2" t="s">
        <v>12</v>
      </c>
      <c r="D390" s="2">
        <v>20</v>
      </c>
      <c r="E390" s="3">
        <v>-1785921.8</v>
      </c>
      <c r="F390" s="2" t="s">
        <v>25</v>
      </c>
      <c r="G390" s="2" t="s">
        <v>26</v>
      </c>
    </row>
    <row r="391" spans="1:7">
      <c r="A391" s="2">
        <v>390</v>
      </c>
      <c r="B391" s="2" t="s">
        <v>15</v>
      </c>
      <c r="C391" s="2" t="s">
        <v>22</v>
      </c>
      <c r="D391" s="2">
        <v>14</v>
      </c>
      <c r="E391" s="3">
        <v>-1790714.1</v>
      </c>
      <c r="F391" s="2" t="s">
        <v>20</v>
      </c>
      <c r="G391" s="2" t="s">
        <v>29</v>
      </c>
    </row>
    <row r="392" spans="1:7">
      <c r="A392" s="2">
        <v>391</v>
      </c>
      <c r="B392" s="2" t="s">
        <v>53</v>
      </c>
      <c r="C392" s="2" t="s">
        <v>16</v>
      </c>
      <c r="D392" s="2">
        <v>34</v>
      </c>
      <c r="E392" s="3">
        <v>-1795506.4</v>
      </c>
      <c r="F392" s="2" t="s">
        <v>28</v>
      </c>
      <c r="G392" s="2" t="s">
        <v>29</v>
      </c>
    </row>
    <row r="393" spans="1:7">
      <c r="A393" s="2">
        <v>392</v>
      </c>
      <c r="B393" s="2" t="s">
        <v>45</v>
      </c>
      <c r="C393" s="2" t="s">
        <v>16</v>
      </c>
      <c r="D393" s="2">
        <v>39</v>
      </c>
      <c r="E393" s="3">
        <v>-1800298.7</v>
      </c>
      <c r="F393" s="2" t="s">
        <v>28</v>
      </c>
      <c r="G393" s="2" t="s">
        <v>14</v>
      </c>
    </row>
    <row r="394" spans="1:7">
      <c r="A394" s="2">
        <v>393</v>
      </c>
      <c r="B394" s="2" t="s">
        <v>77</v>
      </c>
      <c r="C394" s="2" t="s">
        <v>8</v>
      </c>
      <c r="D394" s="2">
        <v>33</v>
      </c>
      <c r="E394" s="3">
        <v>-1805091</v>
      </c>
      <c r="F394" s="2" t="s">
        <v>25</v>
      </c>
      <c r="G394" s="2" t="s">
        <v>14</v>
      </c>
    </row>
    <row r="395" spans="1:7">
      <c r="A395" s="2">
        <v>394</v>
      </c>
      <c r="B395" s="2" t="s">
        <v>21</v>
      </c>
      <c r="C395" s="2" t="s">
        <v>12</v>
      </c>
      <c r="D395" s="2">
        <v>13</v>
      </c>
      <c r="E395" s="3">
        <v>-1809883.3</v>
      </c>
      <c r="F395" s="2" t="s">
        <v>9</v>
      </c>
      <c r="G395" s="2" t="s">
        <v>26</v>
      </c>
    </row>
    <row r="396" spans="1:7">
      <c r="A396" s="2">
        <v>395</v>
      </c>
      <c r="B396" s="2" t="s">
        <v>37</v>
      </c>
      <c r="C396" s="2" t="s">
        <v>12</v>
      </c>
      <c r="D396" s="2">
        <v>48</v>
      </c>
      <c r="E396" s="3">
        <v>-1814675.6</v>
      </c>
      <c r="F396" s="2" t="s">
        <v>38</v>
      </c>
      <c r="G396" s="2" t="s">
        <v>14</v>
      </c>
    </row>
    <row r="397" spans="1:7">
      <c r="A397" s="2">
        <v>396</v>
      </c>
      <c r="B397" s="2" t="s">
        <v>31</v>
      </c>
      <c r="C397" s="2" t="s">
        <v>8</v>
      </c>
      <c r="D397" s="2">
        <v>26</v>
      </c>
      <c r="E397" s="3">
        <v>-1819467.9</v>
      </c>
      <c r="F397" s="2" t="s">
        <v>32</v>
      </c>
      <c r="G397" s="2" t="s">
        <v>29</v>
      </c>
    </row>
    <row r="398" spans="1:7">
      <c r="A398" s="2">
        <v>397</v>
      </c>
      <c r="B398" s="2" t="s">
        <v>77</v>
      </c>
      <c r="C398" s="2" t="s">
        <v>16</v>
      </c>
      <c r="D398" s="2">
        <v>19</v>
      </c>
      <c r="E398" s="3">
        <v>-1824260.2</v>
      </c>
      <c r="F398" s="2" t="s">
        <v>20</v>
      </c>
      <c r="G398" s="2" t="s">
        <v>26</v>
      </c>
    </row>
    <row r="399" spans="1:7">
      <c r="A399" s="2">
        <v>398</v>
      </c>
      <c r="B399" s="2" t="s">
        <v>57</v>
      </c>
      <c r="C399" s="2" t="s">
        <v>12</v>
      </c>
      <c r="D399" s="2">
        <v>42</v>
      </c>
      <c r="E399" s="3">
        <v>-1829052.5</v>
      </c>
      <c r="F399" s="2" t="s">
        <v>25</v>
      </c>
      <c r="G399" s="2" t="s">
        <v>10</v>
      </c>
    </row>
    <row r="400" spans="1:7">
      <c r="A400" s="2">
        <v>399</v>
      </c>
      <c r="B400" s="2" t="s">
        <v>74</v>
      </c>
      <c r="C400" s="2" t="s">
        <v>8</v>
      </c>
      <c r="D400" s="2">
        <v>4</v>
      </c>
      <c r="E400" s="3">
        <v>-1833844.8</v>
      </c>
      <c r="F400" s="2" t="s">
        <v>38</v>
      </c>
      <c r="G400" s="2" t="s">
        <v>26</v>
      </c>
    </row>
    <row r="401" spans="1:7">
      <c r="A401" s="2">
        <v>400</v>
      </c>
      <c r="B401" s="2" t="s">
        <v>54</v>
      </c>
      <c r="C401" s="2" t="s">
        <v>8</v>
      </c>
      <c r="D401" s="2">
        <v>16</v>
      </c>
      <c r="E401" s="3">
        <v>-1838637.1</v>
      </c>
      <c r="F401" s="2" t="s">
        <v>9</v>
      </c>
      <c r="G401" s="2" t="s">
        <v>10</v>
      </c>
    </row>
    <row r="402" spans="1:7">
      <c r="A402" s="2">
        <v>401</v>
      </c>
      <c r="B402" s="2" t="s">
        <v>83</v>
      </c>
      <c r="C402" s="2" t="s">
        <v>8</v>
      </c>
      <c r="D402" s="2">
        <v>32</v>
      </c>
      <c r="E402" s="3">
        <v>-1843429.4</v>
      </c>
      <c r="F402" s="2" t="s">
        <v>32</v>
      </c>
      <c r="G402" s="2" t="s">
        <v>29</v>
      </c>
    </row>
    <row r="403" spans="1:7">
      <c r="A403" s="2">
        <v>402</v>
      </c>
      <c r="B403" s="2" t="s">
        <v>66</v>
      </c>
      <c r="C403" s="2" t="s">
        <v>12</v>
      </c>
      <c r="D403" s="2">
        <v>25</v>
      </c>
      <c r="E403" s="3">
        <v>-1848221.7</v>
      </c>
      <c r="F403" s="2" t="s">
        <v>17</v>
      </c>
      <c r="G403" s="2" t="s">
        <v>14</v>
      </c>
    </row>
    <row r="404" spans="1:7">
      <c r="A404" s="2">
        <v>403</v>
      </c>
      <c r="B404" s="2" t="s">
        <v>83</v>
      </c>
      <c r="C404" s="2" t="s">
        <v>16</v>
      </c>
      <c r="D404" s="2">
        <v>8</v>
      </c>
      <c r="E404" s="3">
        <v>-1853014</v>
      </c>
      <c r="F404" s="2" t="s">
        <v>13</v>
      </c>
      <c r="G404" s="2" t="s">
        <v>29</v>
      </c>
    </row>
    <row r="405" spans="1:7">
      <c r="A405" s="2">
        <v>404</v>
      </c>
      <c r="B405" s="2" t="s">
        <v>50</v>
      </c>
      <c r="C405" s="2" t="s">
        <v>16</v>
      </c>
      <c r="D405" s="2">
        <v>16</v>
      </c>
      <c r="E405" s="3">
        <v>-1857806.3</v>
      </c>
      <c r="F405" s="2" t="s">
        <v>28</v>
      </c>
      <c r="G405" s="2" t="s">
        <v>26</v>
      </c>
    </row>
    <row r="406" spans="1:7">
      <c r="A406" s="2">
        <v>405</v>
      </c>
      <c r="B406" s="2" t="s">
        <v>47</v>
      </c>
      <c r="C406" s="2" t="s">
        <v>8</v>
      </c>
      <c r="D406" s="2">
        <v>32</v>
      </c>
      <c r="E406" s="3">
        <v>-1862598.6</v>
      </c>
      <c r="F406" s="2" t="s">
        <v>9</v>
      </c>
      <c r="G406" s="2" t="s">
        <v>10</v>
      </c>
    </row>
    <row r="407" spans="1:7">
      <c r="A407" s="2">
        <v>406</v>
      </c>
      <c r="B407" s="2" t="s">
        <v>76</v>
      </c>
      <c r="C407" s="2" t="s">
        <v>8</v>
      </c>
      <c r="D407" s="2">
        <v>41</v>
      </c>
      <c r="E407" s="3">
        <v>-1867390.9</v>
      </c>
      <c r="F407" s="2" t="s">
        <v>17</v>
      </c>
      <c r="G407" s="2" t="s">
        <v>10</v>
      </c>
    </row>
    <row r="408" spans="1:7">
      <c r="A408" s="2">
        <v>407</v>
      </c>
      <c r="B408" s="2" t="s">
        <v>91</v>
      </c>
      <c r="C408" s="2" t="s">
        <v>16</v>
      </c>
      <c r="D408" s="2">
        <v>39</v>
      </c>
      <c r="E408" s="3">
        <v>-1872183.2</v>
      </c>
      <c r="F408" s="2" t="s">
        <v>9</v>
      </c>
      <c r="G408" s="2" t="s">
        <v>26</v>
      </c>
    </row>
    <row r="409" spans="1:7">
      <c r="A409" s="2">
        <v>408</v>
      </c>
      <c r="B409" s="2" t="s">
        <v>92</v>
      </c>
      <c r="C409" s="2" t="s">
        <v>8</v>
      </c>
      <c r="D409" s="2">
        <v>5</v>
      </c>
      <c r="E409" s="3">
        <v>-1876975.5</v>
      </c>
      <c r="F409" s="2" t="s">
        <v>38</v>
      </c>
      <c r="G409" s="2" t="s">
        <v>23</v>
      </c>
    </row>
    <row r="410" spans="1:7">
      <c r="A410" s="2">
        <v>409</v>
      </c>
      <c r="B410" s="2" t="s">
        <v>79</v>
      </c>
      <c r="C410" s="2" t="s">
        <v>8</v>
      </c>
      <c r="D410" s="2">
        <v>34</v>
      </c>
      <c r="E410" s="3">
        <v>-1881767.8</v>
      </c>
      <c r="F410" s="2" t="s">
        <v>17</v>
      </c>
      <c r="G410" s="2" t="s">
        <v>10</v>
      </c>
    </row>
    <row r="411" spans="1:7">
      <c r="A411" s="2">
        <v>410</v>
      </c>
      <c r="B411" s="2" t="s">
        <v>80</v>
      </c>
      <c r="C411" s="2" t="s">
        <v>16</v>
      </c>
      <c r="D411" s="2">
        <v>1</v>
      </c>
      <c r="E411" s="3">
        <v>-1886560.1</v>
      </c>
      <c r="F411" s="2" t="s">
        <v>20</v>
      </c>
      <c r="G411" s="2" t="s">
        <v>23</v>
      </c>
    </row>
    <row r="412" spans="1:7">
      <c r="A412" s="2">
        <v>411</v>
      </c>
      <c r="B412" s="2" t="s">
        <v>86</v>
      </c>
      <c r="C412" s="2" t="s">
        <v>12</v>
      </c>
      <c r="D412" s="2">
        <v>24</v>
      </c>
      <c r="E412" s="3">
        <v>-1891352.4</v>
      </c>
      <c r="F412" s="2" t="s">
        <v>25</v>
      </c>
      <c r="G412" s="2" t="s">
        <v>29</v>
      </c>
    </row>
    <row r="413" spans="1:7">
      <c r="A413" s="2">
        <v>412</v>
      </c>
      <c r="B413" s="2" t="s">
        <v>50</v>
      </c>
      <c r="C413" s="2" t="s">
        <v>8</v>
      </c>
      <c r="D413" s="2">
        <v>21</v>
      </c>
      <c r="E413" s="3">
        <v>-1896144.7</v>
      </c>
      <c r="F413" s="2" t="s">
        <v>38</v>
      </c>
      <c r="G413" s="2" t="s">
        <v>10</v>
      </c>
    </row>
    <row r="414" spans="1:7">
      <c r="A414" s="2">
        <v>413</v>
      </c>
      <c r="B414" s="2" t="s">
        <v>65</v>
      </c>
      <c r="C414" s="2" t="s">
        <v>12</v>
      </c>
      <c r="D414" s="2">
        <v>9</v>
      </c>
      <c r="E414" s="3">
        <v>-1900937</v>
      </c>
      <c r="F414" s="2" t="s">
        <v>28</v>
      </c>
      <c r="G414" s="2" t="s">
        <v>23</v>
      </c>
    </row>
    <row r="415" spans="1:7">
      <c r="A415" s="2">
        <v>414</v>
      </c>
      <c r="B415" s="2" t="s">
        <v>41</v>
      </c>
      <c r="C415" s="2" t="s">
        <v>8</v>
      </c>
      <c r="D415" s="2">
        <v>25</v>
      </c>
      <c r="E415" s="3">
        <v>-1905729.3</v>
      </c>
      <c r="F415" s="2" t="s">
        <v>13</v>
      </c>
      <c r="G415" s="2" t="s">
        <v>10</v>
      </c>
    </row>
    <row r="416" spans="1:7">
      <c r="A416" s="2">
        <v>415</v>
      </c>
      <c r="B416" s="2" t="s">
        <v>11</v>
      </c>
      <c r="C416" s="2" t="s">
        <v>8</v>
      </c>
      <c r="D416" s="2">
        <v>37</v>
      </c>
      <c r="E416" s="3">
        <v>-1910521.6</v>
      </c>
      <c r="F416" s="2" t="s">
        <v>20</v>
      </c>
      <c r="G416" s="2" t="s">
        <v>23</v>
      </c>
    </row>
    <row r="417" spans="1:7">
      <c r="A417" s="2">
        <v>416</v>
      </c>
      <c r="B417" s="2" t="s">
        <v>56</v>
      </c>
      <c r="C417" s="2" t="s">
        <v>8</v>
      </c>
      <c r="D417" s="2">
        <v>27</v>
      </c>
      <c r="E417" s="3">
        <v>-1915313.9</v>
      </c>
      <c r="F417" s="2" t="s">
        <v>9</v>
      </c>
      <c r="G417" s="2" t="s">
        <v>10</v>
      </c>
    </row>
    <row r="418" spans="1:7">
      <c r="A418" s="2">
        <v>417</v>
      </c>
      <c r="B418" s="2" t="s">
        <v>21</v>
      </c>
      <c r="C418" s="2" t="s">
        <v>22</v>
      </c>
      <c r="D418" s="2">
        <v>24</v>
      </c>
      <c r="E418" s="3">
        <v>-1920106.2</v>
      </c>
      <c r="F418" s="2" t="s">
        <v>25</v>
      </c>
      <c r="G418" s="2" t="s">
        <v>10</v>
      </c>
    </row>
    <row r="419" spans="1:7">
      <c r="A419" s="2">
        <v>418</v>
      </c>
      <c r="B419" s="2" t="s">
        <v>80</v>
      </c>
      <c r="C419" s="2" t="s">
        <v>12</v>
      </c>
      <c r="D419" s="2">
        <v>35</v>
      </c>
      <c r="E419" s="3">
        <v>-1924898.5</v>
      </c>
      <c r="F419" s="2" t="s">
        <v>32</v>
      </c>
      <c r="G419" s="2" t="s">
        <v>18</v>
      </c>
    </row>
    <row r="420" spans="1:7">
      <c r="A420" s="2">
        <v>419</v>
      </c>
      <c r="B420" s="2" t="s">
        <v>78</v>
      </c>
      <c r="C420" s="2" t="s">
        <v>12</v>
      </c>
      <c r="D420" s="2">
        <v>44</v>
      </c>
      <c r="E420" s="3">
        <v>-1929690.8</v>
      </c>
      <c r="F420" s="2" t="s">
        <v>28</v>
      </c>
      <c r="G420" s="2" t="s">
        <v>29</v>
      </c>
    </row>
    <row r="421" spans="1:7">
      <c r="A421" s="2">
        <v>420</v>
      </c>
      <c r="B421" s="2" t="s">
        <v>67</v>
      </c>
      <c r="C421" s="2" t="s">
        <v>8</v>
      </c>
      <c r="D421" s="2">
        <v>12</v>
      </c>
      <c r="E421" s="3">
        <v>-1934483.1</v>
      </c>
      <c r="F421" s="2" t="s">
        <v>13</v>
      </c>
      <c r="G421" s="2" t="s">
        <v>29</v>
      </c>
    </row>
    <row r="422" spans="1:7">
      <c r="A422" s="2">
        <v>421</v>
      </c>
      <c r="B422" s="2" t="s">
        <v>44</v>
      </c>
      <c r="C422" s="2" t="s">
        <v>16</v>
      </c>
      <c r="D422" s="2">
        <v>49</v>
      </c>
      <c r="E422" s="3">
        <v>-1939275.4</v>
      </c>
      <c r="F422" s="2" t="s">
        <v>38</v>
      </c>
      <c r="G422" s="2" t="s">
        <v>10</v>
      </c>
    </row>
    <row r="423" spans="1:7">
      <c r="A423" s="2">
        <v>422</v>
      </c>
      <c r="B423" s="2" t="s">
        <v>64</v>
      </c>
      <c r="C423" s="2" t="s">
        <v>8</v>
      </c>
      <c r="D423" s="2">
        <v>31</v>
      </c>
      <c r="E423" s="3">
        <v>-1944067.7</v>
      </c>
      <c r="F423" s="2" t="s">
        <v>20</v>
      </c>
      <c r="G423" s="2" t="s">
        <v>23</v>
      </c>
    </row>
    <row r="424" spans="1:7">
      <c r="A424" s="2">
        <v>423</v>
      </c>
      <c r="B424" s="2" t="s">
        <v>19</v>
      </c>
      <c r="C424" s="2" t="s">
        <v>22</v>
      </c>
      <c r="D424" s="2">
        <v>50</v>
      </c>
      <c r="E424" s="3">
        <v>-1948860</v>
      </c>
      <c r="F424" s="2" t="s">
        <v>32</v>
      </c>
      <c r="G424" s="2" t="s">
        <v>14</v>
      </c>
    </row>
    <row r="425" spans="1:7">
      <c r="A425" s="2">
        <v>424</v>
      </c>
      <c r="B425" s="2" t="s">
        <v>89</v>
      </c>
      <c r="C425" s="2" t="s">
        <v>8</v>
      </c>
      <c r="D425" s="2">
        <v>5</v>
      </c>
      <c r="E425" s="3">
        <v>-1953652.3</v>
      </c>
      <c r="F425" s="2" t="s">
        <v>13</v>
      </c>
      <c r="G425" s="2" t="s">
        <v>23</v>
      </c>
    </row>
    <row r="426" spans="1:7">
      <c r="A426" s="2">
        <v>425</v>
      </c>
      <c r="B426" s="2" t="s">
        <v>21</v>
      </c>
      <c r="C426" s="2" t="s">
        <v>22</v>
      </c>
      <c r="D426" s="2">
        <v>2</v>
      </c>
      <c r="E426" s="3">
        <v>-1958444.6</v>
      </c>
      <c r="F426" s="2" t="s">
        <v>9</v>
      </c>
      <c r="G426" s="2" t="s">
        <v>10</v>
      </c>
    </row>
    <row r="427" spans="1:7">
      <c r="A427" s="2">
        <v>426</v>
      </c>
      <c r="B427" s="2" t="s">
        <v>59</v>
      </c>
      <c r="C427" s="2" t="s">
        <v>8</v>
      </c>
      <c r="D427" s="2">
        <v>38</v>
      </c>
      <c r="E427" s="3">
        <v>-1963236.9</v>
      </c>
      <c r="F427" s="2" t="s">
        <v>32</v>
      </c>
      <c r="G427" s="2" t="s">
        <v>26</v>
      </c>
    </row>
    <row r="428" spans="1:7">
      <c r="A428" s="2">
        <v>427</v>
      </c>
      <c r="B428" s="2" t="s">
        <v>67</v>
      </c>
      <c r="C428" s="2" t="s">
        <v>12</v>
      </c>
      <c r="D428" s="2">
        <v>5</v>
      </c>
      <c r="E428" s="3">
        <v>-1968029.2</v>
      </c>
      <c r="F428" s="2" t="s">
        <v>38</v>
      </c>
      <c r="G428" s="2" t="s">
        <v>29</v>
      </c>
    </row>
    <row r="429" spans="1:7">
      <c r="A429" s="2">
        <v>428</v>
      </c>
      <c r="B429" s="2" t="s">
        <v>44</v>
      </c>
      <c r="C429" s="2" t="s">
        <v>8</v>
      </c>
      <c r="D429" s="2">
        <v>1</v>
      </c>
      <c r="E429" s="3">
        <v>-1972821.5</v>
      </c>
      <c r="F429" s="2" t="s">
        <v>32</v>
      </c>
      <c r="G429" s="2" t="s">
        <v>26</v>
      </c>
    </row>
    <row r="430" spans="1:7">
      <c r="A430" s="2">
        <v>429</v>
      </c>
      <c r="B430" s="2" t="s">
        <v>60</v>
      </c>
      <c r="C430" s="2" t="s">
        <v>12</v>
      </c>
      <c r="D430" s="2">
        <v>17</v>
      </c>
      <c r="E430" s="3">
        <v>-1977613.8</v>
      </c>
      <c r="F430" s="2" t="s">
        <v>9</v>
      </c>
      <c r="G430" s="2" t="s">
        <v>23</v>
      </c>
    </row>
    <row r="431" spans="1:7">
      <c r="A431" s="2">
        <v>430</v>
      </c>
      <c r="B431" s="2" t="s">
        <v>86</v>
      </c>
      <c r="C431" s="2" t="s">
        <v>16</v>
      </c>
      <c r="D431" s="2">
        <v>14</v>
      </c>
      <c r="E431" s="3">
        <v>-1982406.1</v>
      </c>
      <c r="F431" s="2" t="s">
        <v>20</v>
      </c>
      <c r="G431" s="2" t="s">
        <v>18</v>
      </c>
    </row>
    <row r="432" spans="1:7">
      <c r="A432" s="2">
        <v>431</v>
      </c>
      <c r="B432" s="2" t="s">
        <v>92</v>
      </c>
      <c r="C432" s="2" t="s">
        <v>16</v>
      </c>
      <c r="D432" s="2">
        <v>3</v>
      </c>
      <c r="E432" s="3">
        <v>-1987198.4</v>
      </c>
      <c r="F432" s="2" t="s">
        <v>32</v>
      </c>
      <c r="G432" s="2" t="s">
        <v>10</v>
      </c>
    </row>
    <row r="433" spans="1:7">
      <c r="A433" s="2">
        <v>432</v>
      </c>
      <c r="B433" s="2" t="s">
        <v>57</v>
      </c>
      <c r="C433" s="2" t="s">
        <v>8</v>
      </c>
      <c r="D433" s="2">
        <v>4</v>
      </c>
      <c r="E433" s="3">
        <v>-1991990.7</v>
      </c>
      <c r="F433" s="2" t="s">
        <v>9</v>
      </c>
      <c r="G433" s="2" t="s">
        <v>23</v>
      </c>
    </row>
    <row r="434" spans="1:7">
      <c r="A434" s="2">
        <v>433</v>
      </c>
      <c r="B434" s="2" t="s">
        <v>74</v>
      </c>
      <c r="C434" s="2" t="s">
        <v>8</v>
      </c>
      <c r="D434" s="2">
        <v>26</v>
      </c>
      <c r="E434" s="3">
        <v>-1996783</v>
      </c>
      <c r="F434" s="2" t="s">
        <v>13</v>
      </c>
      <c r="G434" s="2" t="s">
        <v>23</v>
      </c>
    </row>
    <row r="435" spans="1:7">
      <c r="A435" s="2">
        <v>434</v>
      </c>
      <c r="B435" s="2" t="s">
        <v>39</v>
      </c>
      <c r="C435" s="2" t="s">
        <v>16</v>
      </c>
      <c r="D435" s="2">
        <v>33</v>
      </c>
      <c r="E435" s="3">
        <v>-2001575.3</v>
      </c>
      <c r="F435" s="2" t="s">
        <v>28</v>
      </c>
      <c r="G435" s="2" t="s">
        <v>18</v>
      </c>
    </row>
    <row r="436" spans="1:7">
      <c r="A436" s="2">
        <v>435</v>
      </c>
      <c r="B436" s="2" t="s">
        <v>53</v>
      </c>
      <c r="C436" s="2" t="s">
        <v>22</v>
      </c>
      <c r="D436" s="2">
        <v>19</v>
      </c>
      <c r="E436" s="3">
        <v>-2006367.6</v>
      </c>
      <c r="F436" s="2" t="s">
        <v>17</v>
      </c>
      <c r="G436" s="2" t="s">
        <v>14</v>
      </c>
    </row>
    <row r="437" spans="1:7">
      <c r="A437" s="2">
        <v>436</v>
      </c>
      <c r="B437" s="2" t="s">
        <v>11</v>
      </c>
      <c r="C437" s="2" t="s">
        <v>16</v>
      </c>
      <c r="D437" s="2">
        <v>41</v>
      </c>
      <c r="E437" s="3">
        <v>-2011159.9</v>
      </c>
      <c r="F437" s="2" t="s">
        <v>25</v>
      </c>
      <c r="G437" s="2" t="s">
        <v>14</v>
      </c>
    </row>
    <row r="438" spans="1:7">
      <c r="A438" s="2">
        <v>437</v>
      </c>
      <c r="B438" s="2" t="s">
        <v>60</v>
      </c>
      <c r="C438" s="2" t="s">
        <v>16</v>
      </c>
      <c r="D438" s="2">
        <v>46</v>
      </c>
      <c r="E438" s="3">
        <v>-2015952.2</v>
      </c>
      <c r="F438" s="2" t="s">
        <v>38</v>
      </c>
      <c r="G438" s="2" t="s">
        <v>23</v>
      </c>
    </row>
    <row r="439" spans="1:7">
      <c r="A439" s="2">
        <v>438</v>
      </c>
      <c r="B439" s="2" t="s">
        <v>15</v>
      </c>
      <c r="C439" s="2" t="s">
        <v>22</v>
      </c>
      <c r="D439" s="2">
        <v>33</v>
      </c>
      <c r="E439" s="3">
        <v>-2020744.5</v>
      </c>
      <c r="F439" s="2" t="s">
        <v>20</v>
      </c>
      <c r="G439" s="2" t="s">
        <v>10</v>
      </c>
    </row>
    <row r="440" spans="1:7">
      <c r="A440" s="2">
        <v>439</v>
      </c>
      <c r="B440" s="2" t="s">
        <v>68</v>
      </c>
      <c r="C440" s="2" t="s">
        <v>16</v>
      </c>
      <c r="D440" s="2">
        <v>50</v>
      </c>
      <c r="E440" s="3">
        <v>-2025536.8</v>
      </c>
      <c r="F440" s="2" t="s">
        <v>28</v>
      </c>
      <c r="G440" s="2" t="s">
        <v>26</v>
      </c>
    </row>
    <row r="441" spans="1:7">
      <c r="A441" s="2">
        <v>440</v>
      </c>
      <c r="B441" s="2" t="s">
        <v>93</v>
      </c>
      <c r="C441" s="2" t="s">
        <v>16</v>
      </c>
      <c r="D441" s="2">
        <v>27</v>
      </c>
      <c r="E441" s="3">
        <v>-2030329.1</v>
      </c>
      <c r="F441" s="2" t="s">
        <v>9</v>
      </c>
      <c r="G441" s="2" t="s">
        <v>18</v>
      </c>
    </row>
    <row r="442" spans="1:7">
      <c r="A442" s="2">
        <v>441</v>
      </c>
      <c r="B442" s="2" t="s">
        <v>49</v>
      </c>
      <c r="C442" s="2" t="s">
        <v>22</v>
      </c>
      <c r="D442" s="2">
        <v>28</v>
      </c>
      <c r="E442" s="3">
        <v>-2035121.4</v>
      </c>
      <c r="F442" s="2" t="s">
        <v>28</v>
      </c>
      <c r="G442" s="2" t="s">
        <v>14</v>
      </c>
    </row>
    <row r="443" spans="1:7">
      <c r="A443" s="2">
        <v>442</v>
      </c>
      <c r="B443" s="2" t="s">
        <v>85</v>
      </c>
      <c r="C443" s="2" t="s">
        <v>22</v>
      </c>
      <c r="D443" s="2">
        <v>45</v>
      </c>
      <c r="E443" s="3">
        <v>-2039913.7</v>
      </c>
      <c r="F443" s="2" t="s">
        <v>32</v>
      </c>
      <c r="G443" s="2" t="s">
        <v>23</v>
      </c>
    </row>
    <row r="444" spans="1:7">
      <c r="A444" s="2">
        <v>443</v>
      </c>
      <c r="B444" s="2" t="s">
        <v>51</v>
      </c>
      <c r="C444" s="2" t="s">
        <v>12</v>
      </c>
      <c r="D444" s="2">
        <v>26</v>
      </c>
      <c r="E444" s="3">
        <v>-2044706</v>
      </c>
      <c r="F444" s="2" t="s">
        <v>17</v>
      </c>
      <c r="G444" s="2" t="s">
        <v>10</v>
      </c>
    </row>
    <row r="445" spans="1:7">
      <c r="A445" s="2">
        <v>444</v>
      </c>
      <c r="B445" s="2" t="s">
        <v>54</v>
      </c>
      <c r="C445" s="2" t="s">
        <v>8</v>
      </c>
      <c r="D445" s="2">
        <v>6</v>
      </c>
      <c r="E445" s="3">
        <v>-2049498.3</v>
      </c>
      <c r="F445" s="2" t="s">
        <v>38</v>
      </c>
      <c r="G445" s="2" t="s">
        <v>26</v>
      </c>
    </row>
    <row r="446" spans="1:7">
      <c r="A446" s="2">
        <v>445</v>
      </c>
      <c r="B446" s="2" t="s">
        <v>34</v>
      </c>
      <c r="C446" s="2" t="s">
        <v>12</v>
      </c>
      <c r="D446" s="2">
        <v>41</v>
      </c>
      <c r="E446" s="3">
        <v>-2054290.6</v>
      </c>
      <c r="F446" s="2" t="s">
        <v>32</v>
      </c>
      <c r="G446" s="2" t="s">
        <v>14</v>
      </c>
    </row>
    <row r="447" spans="1:7">
      <c r="A447" s="2">
        <v>446</v>
      </c>
      <c r="B447" s="2" t="s">
        <v>48</v>
      </c>
      <c r="C447" s="2" t="s">
        <v>22</v>
      </c>
      <c r="D447" s="2">
        <v>35</v>
      </c>
      <c r="E447" s="3">
        <v>-2059082.9</v>
      </c>
      <c r="F447" s="2" t="s">
        <v>20</v>
      </c>
      <c r="G447" s="2" t="s">
        <v>29</v>
      </c>
    </row>
    <row r="448" spans="1:7">
      <c r="A448" s="2">
        <v>447</v>
      </c>
      <c r="B448" s="2" t="s">
        <v>52</v>
      </c>
      <c r="C448" s="2" t="s">
        <v>16</v>
      </c>
      <c r="D448" s="2">
        <v>35</v>
      </c>
      <c r="E448" s="3">
        <v>-2063875.2</v>
      </c>
      <c r="F448" s="2" t="s">
        <v>32</v>
      </c>
      <c r="G448" s="2" t="s">
        <v>26</v>
      </c>
    </row>
    <row r="449" spans="1:7">
      <c r="A449" s="2">
        <v>448</v>
      </c>
      <c r="B449" s="2" t="s">
        <v>82</v>
      </c>
      <c r="C449" s="2" t="s">
        <v>22</v>
      </c>
      <c r="D449" s="2">
        <v>40</v>
      </c>
      <c r="E449" s="3">
        <v>-2068667.5</v>
      </c>
      <c r="F449" s="2" t="s">
        <v>13</v>
      </c>
      <c r="G449" s="2" t="s">
        <v>26</v>
      </c>
    </row>
    <row r="450" spans="1:7">
      <c r="A450" s="2">
        <v>449</v>
      </c>
      <c r="B450" s="2" t="s">
        <v>71</v>
      </c>
      <c r="C450" s="2" t="s">
        <v>16</v>
      </c>
      <c r="D450" s="2">
        <v>10</v>
      </c>
      <c r="E450" s="3">
        <v>-2073459.8</v>
      </c>
      <c r="F450" s="2" t="s">
        <v>17</v>
      </c>
      <c r="G450" s="2" t="s">
        <v>23</v>
      </c>
    </row>
    <row r="451" spans="1:7">
      <c r="A451" s="2">
        <v>450</v>
      </c>
      <c r="B451" s="2" t="s">
        <v>81</v>
      </c>
      <c r="C451" s="2" t="s">
        <v>12</v>
      </c>
      <c r="D451" s="2">
        <v>18</v>
      </c>
      <c r="E451" s="3">
        <v>-2078252.1</v>
      </c>
      <c r="F451" s="2" t="s">
        <v>38</v>
      </c>
      <c r="G451" s="2" t="s">
        <v>18</v>
      </c>
    </row>
    <row r="452" spans="1:7">
      <c r="A452" s="2">
        <v>451</v>
      </c>
      <c r="B452" s="2" t="s">
        <v>51</v>
      </c>
      <c r="C452" s="2" t="s">
        <v>12</v>
      </c>
      <c r="D452" s="2">
        <v>6</v>
      </c>
      <c r="E452" s="3">
        <v>-2083044.4</v>
      </c>
      <c r="F452" s="2" t="s">
        <v>25</v>
      </c>
      <c r="G452" s="2" t="s">
        <v>10</v>
      </c>
    </row>
    <row r="453" spans="1:7">
      <c r="A453" s="2">
        <v>452</v>
      </c>
      <c r="B453" s="2" t="s">
        <v>82</v>
      </c>
      <c r="C453" s="2" t="s">
        <v>12</v>
      </c>
      <c r="D453" s="2">
        <v>20</v>
      </c>
      <c r="E453" s="3">
        <v>-2087836.7</v>
      </c>
      <c r="F453" s="2" t="s">
        <v>28</v>
      </c>
      <c r="G453" s="2" t="s">
        <v>23</v>
      </c>
    </row>
    <row r="454" spans="1:7">
      <c r="A454" s="2">
        <v>453</v>
      </c>
      <c r="B454" s="2" t="s">
        <v>63</v>
      </c>
      <c r="C454" s="2" t="s">
        <v>16</v>
      </c>
      <c r="D454" s="2">
        <v>6</v>
      </c>
      <c r="E454" s="3">
        <v>-2092629</v>
      </c>
      <c r="F454" s="2" t="s">
        <v>20</v>
      </c>
      <c r="G454" s="2" t="s">
        <v>14</v>
      </c>
    </row>
    <row r="455" spans="1:7">
      <c r="A455" s="2">
        <v>454</v>
      </c>
      <c r="B455" s="2" t="s">
        <v>37</v>
      </c>
      <c r="C455" s="2" t="s">
        <v>8</v>
      </c>
      <c r="D455" s="2">
        <v>33</v>
      </c>
      <c r="E455" s="3">
        <v>-2097421.2999999998</v>
      </c>
      <c r="F455" s="2" t="s">
        <v>13</v>
      </c>
      <c r="G455" s="2" t="s">
        <v>23</v>
      </c>
    </row>
    <row r="456" spans="1:7">
      <c r="A456" s="2">
        <v>455</v>
      </c>
      <c r="B456" s="2" t="s">
        <v>70</v>
      </c>
      <c r="C456" s="2" t="s">
        <v>8</v>
      </c>
      <c r="D456" s="2">
        <v>14</v>
      </c>
      <c r="E456" s="3">
        <v>-2102213.6</v>
      </c>
      <c r="F456" s="2" t="s">
        <v>32</v>
      </c>
      <c r="G456" s="2" t="s">
        <v>23</v>
      </c>
    </row>
    <row r="457" spans="1:7">
      <c r="A457" s="2">
        <v>456</v>
      </c>
      <c r="B457" s="2" t="s">
        <v>45</v>
      </c>
      <c r="C457" s="2" t="s">
        <v>8</v>
      </c>
      <c r="D457" s="2">
        <v>10</v>
      </c>
      <c r="E457" s="3">
        <v>-2107005.9</v>
      </c>
      <c r="F457" s="2" t="s">
        <v>38</v>
      </c>
      <c r="G457" s="2" t="s">
        <v>14</v>
      </c>
    </row>
    <row r="458" spans="1:7">
      <c r="A458" s="2">
        <v>457</v>
      </c>
      <c r="B458" s="2" t="s">
        <v>82</v>
      </c>
      <c r="C458" s="2" t="s">
        <v>22</v>
      </c>
      <c r="D458" s="2">
        <v>35</v>
      </c>
      <c r="E458" s="3">
        <v>-2111798.2000000002</v>
      </c>
      <c r="F458" s="2" t="s">
        <v>38</v>
      </c>
      <c r="G458" s="2" t="s">
        <v>29</v>
      </c>
    </row>
    <row r="459" spans="1:7">
      <c r="A459" s="2">
        <v>458</v>
      </c>
      <c r="B459" s="2" t="s">
        <v>45</v>
      </c>
      <c r="C459" s="2" t="s">
        <v>22</v>
      </c>
      <c r="D459" s="2">
        <v>21</v>
      </c>
      <c r="E459" s="3">
        <v>-2116590.5</v>
      </c>
      <c r="F459" s="2" t="s">
        <v>9</v>
      </c>
      <c r="G459" s="2" t="s">
        <v>10</v>
      </c>
    </row>
    <row r="460" spans="1:7">
      <c r="A460" s="2">
        <v>459</v>
      </c>
      <c r="B460" s="2" t="s">
        <v>61</v>
      </c>
      <c r="C460" s="2" t="s">
        <v>16</v>
      </c>
      <c r="D460" s="2">
        <v>26</v>
      </c>
      <c r="E460" s="3">
        <v>-2121382.7999999998</v>
      </c>
      <c r="F460" s="2" t="s">
        <v>25</v>
      </c>
      <c r="G460" s="2" t="s">
        <v>26</v>
      </c>
    </row>
    <row r="461" spans="1:7">
      <c r="A461" s="2">
        <v>460</v>
      </c>
      <c r="B461" s="2" t="s">
        <v>75</v>
      </c>
      <c r="C461" s="2" t="s">
        <v>22</v>
      </c>
      <c r="D461" s="2">
        <v>38</v>
      </c>
      <c r="E461" s="3">
        <v>-2126175.1</v>
      </c>
      <c r="F461" s="2" t="s">
        <v>17</v>
      </c>
      <c r="G461" s="2" t="s">
        <v>26</v>
      </c>
    </row>
    <row r="462" spans="1:7">
      <c r="A462" s="2">
        <v>461</v>
      </c>
      <c r="B462" s="2" t="s">
        <v>42</v>
      </c>
      <c r="C462" s="2" t="s">
        <v>16</v>
      </c>
      <c r="D462" s="2">
        <v>41</v>
      </c>
      <c r="E462" s="3">
        <v>-2130967.4</v>
      </c>
      <c r="F462" s="2" t="s">
        <v>20</v>
      </c>
      <c r="G462" s="2" t="s">
        <v>26</v>
      </c>
    </row>
    <row r="463" spans="1:7">
      <c r="A463" s="2">
        <v>462</v>
      </c>
      <c r="B463" s="2" t="s">
        <v>92</v>
      </c>
      <c r="C463" s="2" t="s">
        <v>12</v>
      </c>
      <c r="D463" s="2">
        <v>49</v>
      </c>
      <c r="E463" s="3">
        <v>-2135759.7000000002</v>
      </c>
      <c r="F463" s="2" t="s">
        <v>32</v>
      </c>
      <c r="G463" s="2" t="s">
        <v>26</v>
      </c>
    </row>
    <row r="464" spans="1:7">
      <c r="A464" s="2">
        <v>463</v>
      </c>
      <c r="B464" s="2" t="s">
        <v>59</v>
      </c>
      <c r="C464" s="2" t="s">
        <v>16</v>
      </c>
      <c r="D464" s="2">
        <v>42</v>
      </c>
      <c r="E464" s="3">
        <v>-2140552</v>
      </c>
      <c r="F464" s="2" t="s">
        <v>25</v>
      </c>
      <c r="G464" s="2" t="s">
        <v>14</v>
      </c>
    </row>
    <row r="465" spans="1:7">
      <c r="A465" s="2">
        <v>464</v>
      </c>
      <c r="B465" s="2" t="s">
        <v>27</v>
      </c>
      <c r="C465" s="2" t="s">
        <v>22</v>
      </c>
      <c r="D465" s="2">
        <v>44</v>
      </c>
      <c r="E465" s="3">
        <v>-2145344.2999999998</v>
      </c>
      <c r="F465" s="2" t="s">
        <v>9</v>
      </c>
      <c r="G465" s="2" t="s">
        <v>26</v>
      </c>
    </row>
    <row r="466" spans="1:7">
      <c r="A466" s="2">
        <v>465</v>
      </c>
      <c r="B466" s="2" t="s">
        <v>69</v>
      </c>
      <c r="C466" s="2" t="s">
        <v>12</v>
      </c>
      <c r="D466" s="2">
        <v>42</v>
      </c>
      <c r="E466" s="3">
        <v>-2150136.6</v>
      </c>
      <c r="F466" s="2" t="s">
        <v>20</v>
      </c>
      <c r="G466" s="2" t="s">
        <v>26</v>
      </c>
    </row>
    <row r="467" spans="1:7">
      <c r="A467" s="2">
        <v>466</v>
      </c>
      <c r="B467" s="2" t="s">
        <v>71</v>
      </c>
      <c r="C467" s="2" t="s">
        <v>12</v>
      </c>
      <c r="D467" s="2">
        <v>5</v>
      </c>
      <c r="E467" s="3">
        <v>-2154928.9</v>
      </c>
      <c r="F467" s="2" t="s">
        <v>17</v>
      </c>
      <c r="G467" s="2" t="s">
        <v>23</v>
      </c>
    </row>
    <row r="468" spans="1:7">
      <c r="A468" s="2">
        <v>467</v>
      </c>
      <c r="B468" s="2" t="s">
        <v>92</v>
      </c>
      <c r="C468" s="2" t="s">
        <v>16</v>
      </c>
      <c r="D468" s="2">
        <v>20</v>
      </c>
      <c r="E468" s="3">
        <v>-2159721.2000000002</v>
      </c>
      <c r="F468" s="2" t="s">
        <v>38</v>
      </c>
      <c r="G468" s="2" t="s">
        <v>23</v>
      </c>
    </row>
    <row r="469" spans="1:7">
      <c r="A469" s="2">
        <v>468</v>
      </c>
      <c r="B469" s="2" t="s">
        <v>60</v>
      </c>
      <c r="C469" s="2" t="s">
        <v>8</v>
      </c>
      <c r="D469" s="2">
        <v>45</v>
      </c>
      <c r="E469" s="3">
        <v>-2164513.5</v>
      </c>
      <c r="F469" s="2" t="s">
        <v>38</v>
      </c>
      <c r="G469" s="2" t="s">
        <v>18</v>
      </c>
    </row>
    <row r="470" spans="1:7">
      <c r="A470" s="2">
        <v>469</v>
      </c>
      <c r="B470" s="2" t="s">
        <v>15</v>
      </c>
      <c r="C470" s="2" t="s">
        <v>22</v>
      </c>
      <c r="D470" s="2">
        <v>28</v>
      </c>
      <c r="E470" s="3">
        <v>-2169305.7999999998</v>
      </c>
      <c r="F470" s="2" t="s">
        <v>17</v>
      </c>
      <c r="G470" s="2" t="s">
        <v>23</v>
      </c>
    </row>
    <row r="471" spans="1:7">
      <c r="A471" s="2">
        <v>470</v>
      </c>
      <c r="B471" s="2" t="s">
        <v>30</v>
      </c>
      <c r="C471" s="2" t="s">
        <v>22</v>
      </c>
      <c r="D471" s="2">
        <v>47</v>
      </c>
      <c r="E471" s="3">
        <v>-2174098.1</v>
      </c>
      <c r="F471" s="2" t="s">
        <v>25</v>
      </c>
      <c r="G471" s="2" t="s">
        <v>14</v>
      </c>
    </row>
    <row r="472" spans="1:7">
      <c r="A472" s="2">
        <v>471</v>
      </c>
      <c r="B472" s="2" t="s">
        <v>70</v>
      </c>
      <c r="C472" s="2" t="s">
        <v>8</v>
      </c>
      <c r="D472" s="2">
        <v>16</v>
      </c>
      <c r="E472" s="3">
        <v>-2178890.4</v>
      </c>
      <c r="F472" s="2" t="s">
        <v>20</v>
      </c>
      <c r="G472" s="2" t="s">
        <v>18</v>
      </c>
    </row>
    <row r="473" spans="1:7">
      <c r="A473" s="2">
        <v>472</v>
      </c>
      <c r="B473" s="2" t="s">
        <v>59</v>
      </c>
      <c r="C473" s="2" t="s">
        <v>22</v>
      </c>
      <c r="D473" s="2">
        <v>4</v>
      </c>
      <c r="E473" s="3">
        <v>-2183682.7000000002</v>
      </c>
      <c r="F473" s="2" t="s">
        <v>25</v>
      </c>
      <c r="G473" s="2" t="s">
        <v>23</v>
      </c>
    </row>
    <row r="474" spans="1:7">
      <c r="A474" s="2">
        <v>473</v>
      </c>
      <c r="B474" s="2" t="s">
        <v>48</v>
      </c>
      <c r="C474" s="2" t="s">
        <v>8</v>
      </c>
      <c r="D474" s="2">
        <v>16</v>
      </c>
      <c r="E474" s="3">
        <v>-2188475</v>
      </c>
      <c r="F474" s="2" t="s">
        <v>9</v>
      </c>
      <c r="G474" s="2" t="s">
        <v>14</v>
      </c>
    </row>
    <row r="475" spans="1:7">
      <c r="A475" s="2">
        <v>474</v>
      </c>
      <c r="B475" s="2" t="s">
        <v>82</v>
      </c>
      <c r="C475" s="2" t="s">
        <v>8</v>
      </c>
      <c r="D475" s="2">
        <v>6</v>
      </c>
      <c r="E475" s="3">
        <v>-2193267.2999999998</v>
      </c>
      <c r="F475" s="2" t="s">
        <v>32</v>
      </c>
      <c r="G475" s="2" t="s">
        <v>10</v>
      </c>
    </row>
    <row r="476" spans="1:7">
      <c r="A476" s="2">
        <v>475</v>
      </c>
      <c r="B476" s="2" t="s">
        <v>62</v>
      </c>
      <c r="C476" s="2" t="s">
        <v>12</v>
      </c>
      <c r="D476" s="2">
        <v>28</v>
      </c>
      <c r="E476" s="3">
        <v>-2198059.6</v>
      </c>
      <c r="F476" s="2" t="s">
        <v>17</v>
      </c>
      <c r="G476" s="2" t="s">
        <v>10</v>
      </c>
    </row>
    <row r="477" spans="1:7">
      <c r="A477" s="2">
        <v>476</v>
      </c>
      <c r="B477" s="2" t="s">
        <v>81</v>
      </c>
      <c r="C477" s="2" t="s">
        <v>12</v>
      </c>
      <c r="D477" s="2">
        <v>8</v>
      </c>
      <c r="E477" s="3">
        <v>-2202851.9</v>
      </c>
      <c r="F477" s="2" t="s">
        <v>17</v>
      </c>
      <c r="G477" s="2" t="s">
        <v>23</v>
      </c>
    </row>
    <row r="478" spans="1:7">
      <c r="A478" s="2">
        <v>477</v>
      </c>
      <c r="B478" s="2" t="s">
        <v>83</v>
      </c>
      <c r="C478" s="2" t="s">
        <v>16</v>
      </c>
      <c r="D478" s="2">
        <v>30</v>
      </c>
      <c r="E478" s="3">
        <v>-2207644.2000000002</v>
      </c>
      <c r="F478" s="2" t="s">
        <v>9</v>
      </c>
      <c r="G478" s="2" t="s">
        <v>10</v>
      </c>
    </row>
    <row r="479" spans="1:7">
      <c r="A479" s="2">
        <v>478</v>
      </c>
      <c r="B479" s="2" t="s">
        <v>19</v>
      </c>
      <c r="C479" s="2" t="s">
        <v>12</v>
      </c>
      <c r="D479" s="2">
        <v>40</v>
      </c>
      <c r="E479" s="3">
        <v>-2212436.5</v>
      </c>
      <c r="F479" s="2" t="s">
        <v>32</v>
      </c>
      <c r="G479" s="2" t="s">
        <v>23</v>
      </c>
    </row>
    <row r="480" spans="1:7">
      <c r="A480" s="2">
        <v>479</v>
      </c>
      <c r="B480" s="2" t="s">
        <v>74</v>
      </c>
      <c r="C480" s="2" t="s">
        <v>8</v>
      </c>
      <c r="D480" s="2">
        <v>39</v>
      </c>
      <c r="E480" s="3">
        <v>-2217228.7999999998</v>
      </c>
      <c r="F480" s="2" t="s">
        <v>38</v>
      </c>
      <c r="G480" s="2" t="s">
        <v>26</v>
      </c>
    </row>
    <row r="481" spans="1:7">
      <c r="A481" s="2">
        <v>480</v>
      </c>
      <c r="B481" s="2" t="s">
        <v>74</v>
      </c>
      <c r="C481" s="2" t="s">
        <v>16</v>
      </c>
      <c r="D481" s="2">
        <v>4</v>
      </c>
      <c r="E481" s="3">
        <v>-2222021.1</v>
      </c>
      <c r="F481" s="2" t="s">
        <v>13</v>
      </c>
      <c r="G481" s="2" t="s">
        <v>18</v>
      </c>
    </row>
    <row r="482" spans="1:7">
      <c r="A482" s="2">
        <v>481</v>
      </c>
      <c r="B482" s="2" t="s">
        <v>46</v>
      </c>
      <c r="C482" s="2" t="s">
        <v>22</v>
      </c>
      <c r="D482" s="2">
        <v>20</v>
      </c>
      <c r="E482" s="3">
        <v>-2226813.4</v>
      </c>
      <c r="F482" s="2" t="s">
        <v>17</v>
      </c>
      <c r="G482" s="2" t="s">
        <v>10</v>
      </c>
    </row>
    <row r="483" spans="1:7">
      <c r="A483" s="2">
        <v>482</v>
      </c>
      <c r="B483" s="2" t="s">
        <v>40</v>
      </c>
      <c r="C483" s="2" t="s">
        <v>8</v>
      </c>
      <c r="D483" s="2">
        <v>43</v>
      </c>
      <c r="E483" s="3">
        <v>-2231605.7000000002</v>
      </c>
      <c r="F483" s="2" t="s">
        <v>25</v>
      </c>
      <c r="G483" s="2" t="s">
        <v>18</v>
      </c>
    </row>
    <row r="484" spans="1:7">
      <c r="A484" s="2">
        <v>483</v>
      </c>
      <c r="B484" s="2" t="s">
        <v>93</v>
      </c>
      <c r="C484" s="2" t="s">
        <v>16</v>
      </c>
      <c r="D484" s="2">
        <v>48</v>
      </c>
      <c r="E484" s="3">
        <v>-2236398</v>
      </c>
      <c r="F484" s="2" t="s">
        <v>28</v>
      </c>
      <c r="G484" s="2" t="s">
        <v>18</v>
      </c>
    </row>
    <row r="485" spans="1:7">
      <c r="A485" s="2">
        <v>484</v>
      </c>
      <c r="B485" s="2" t="s">
        <v>62</v>
      </c>
      <c r="C485" s="2" t="s">
        <v>12</v>
      </c>
      <c r="D485" s="2">
        <v>43</v>
      </c>
      <c r="E485" s="3">
        <v>-2241190.2999999998</v>
      </c>
      <c r="F485" s="2" t="s">
        <v>38</v>
      </c>
      <c r="G485" s="2" t="s">
        <v>18</v>
      </c>
    </row>
    <row r="486" spans="1:7">
      <c r="A486" s="2">
        <v>485</v>
      </c>
      <c r="B486" s="2" t="s">
        <v>41</v>
      </c>
      <c r="C486" s="2" t="s">
        <v>8</v>
      </c>
      <c r="D486" s="2">
        <v>48</v>
      </c>
      <c r="E486" s="3">
        <v>-2245982.6</v>
      </c>
      <c r="F486" s="2" t="s">
        <v>9</v>
      </c>
      <c r="G486" s="2" t="s">
        <v>29</v>
      </c>
    </row>
    <row r="487" spans="1:7">
      <c r="A487" s="2">
        <v>486</v>
      </c>
      <c r="B487" s="2" t="s">
        <v>30</v>
      </c>
      <c r="C487" s="2" t="s">
        <v>16</v>
      </c>
      <c r="D487" s="2">
        <v>12</v>
      </c>
      <c r="E487" s="3">
        <v>-2250774.9</v>
      </c>
      <c r="F487" s="2" t="s">
        <v>9</v>
      </c>
      <c r="G487" s="2" t="s">
        <v>14</v>
      </c>
    </row>
    <row r="488" spans="1:7">
      <c r="A488" s="2">
        <v>487</v>
      </c>
      <c r="B488" s="2" t="s">
        <v>36</v>
      </c>
      <c r="C488" s="2" t="s">
        <v>22</v>
      </c>
      <c r="D488" s="2">
        <v>8</v>
      </c>
      <c r="E488" s="3">
        <v>-2255567.2000000002</v>
      </c>
      <c r="F488" s="2" t="s">
        <v>28</v>
      </c>
      <c r="G488" s="2" t="s">
        <v>26</v>
      </c>
    </row>
    <row r="489" spans="1:7">
      <c r="A489" s="2">
        <v>488</v>
      </c>
      <c r="B489" s="2" t="s">
        <v>86</v>
      </c>
      <c r="C489" s="2" t="s">
        <v>8</v>
      </c>
      <c r="D489" s="2">
        <v>1</v>
      </c>
      <c r="E489" s="3">
        <v>-2260359.5</v>
      </c>
      <c r="F489" s="2" t="s">
        <v>9</v>
      </c>
      <c r="G489" s="2" t="s">
        <v>23</v>
      </c>
    </row>
    <row r="490" spans="1:7">
      <c r="A490" s="2">
        <v>489</v>
      </c>
      <c r="B490" s="2" t="s">
        <v>44</v>
      </c>
      <c r="C490" s="2" t="s">
        <v>8</v>
      </c>
      <c r="D490" s="2">
        <v>46</v>
      </c>
      <c r="E490" s="3">
        <v>-2265151.7999999998</v>
      </c>
      <c r="F490" s="2" t="s">
        <v>32</v>
      </c>
      <c r="G490" s="2" t="s">
        <v>26</v>
      </c>
    </row>
    <row r="491" spans="1:7">
      <c r="A491" s="2">
        <v>490</v>
      </c>
      <c r="B491" s="2" t="s">
        <v>37</v>
      </c>
      <c r="C491" s="2" t="s">
        <v>16</v>
      </c>
      <c r="D491" s="2">
        <v>9</v>
      </c>
      <c r="E491" s="3">
        <v>-2269944.1</v>
      </c>
      <c r="F491" s="2" t="s">
        <v>25</v>
      </c>
      <c r="G491" s="2" t="s">
        <v>18</v>
      </c>
    </row>
    <row r="492" spans="1:7">
      <c r="A492" s="2">
        <v>491</v>
      </c>
      <c r="B492" s="2" t="s">
        <v>47</v>
      </c>
      <c r="C492" s="2" t="s">
        <v>16</v>
      </c>
      <c r="D492" s="2">
        <v>45</v>
      </c>
      <c r="E492" s="3">
        <v>-2274736.4</v>
      </c>
      <c r="F492" s="2" t="s">
        <v>17</v>
      </c>
      <c r="G492" s="2" t="s">
        <v>26</v>
      </c>
    </row>
    <row r="493" spans="1:7">
      <c r="A493" s="2">
        <v>492</v>
      </c>
      <c r="B493" s="2" t="s">
        <v>71</v>
      </c>
      <c r="C493" s="2" t="s">
        <v>12</v>
      </c>
      <c r="D493" s="2">
        <v>1</v>
      </c>
      <c r="E493" s="3">
        <v>-2279528.7000000002</v>
      </c>
      <c r="F493" s="2" t="s">
        <v>17</v>
      </c>
      <c r="G493" s="2" t="s">
        <v>23</v>
      </c>
    </row>
    <row r="494" spans="1:7">
      <c r="A494" s="2">
        <v>493</v>
      </c>
      <c r="B494" s="2" t="s">
        <v>71</v>
      </c>
      <c r="C494" s="2" t="s">
        <v>12</v>
      </c>
      <c r="D494" s="2">
        <v>11</v>
      </c>
      <c r="E494" s="3">
        <v>-2284321</v>
      </c>
      <c r="F494" s="2" t="s">
        <v>9</v>
      </c>
      <c r="G494" s="2" t="s">
        <v>18</v>
      </c>
    </row>
    <row r="495" spans="1:7">
      <c r="A495" s="2">
        <v>494</v>
      </c>
      <c r="B495" s="2" t="s">
        <v>48</v>
      </c>
      <c r="C495" s="2" t="s">
        <v>8</v>
      </c>
      <c r="D495" s="2">
        <v>32</v>
      </c>
      <c r="E495" s="3">
        <v>-2289113.2999999998</v>
      </c>
      <c r="F495" s="2" t="s">
        <v>28</v>
      </c>
      <c r="G495" s="2" t="s">
        <v>14</v>
      </c>
    </row>
    <row r="496" spans="1:7">
      <c r="A496" s="2">
        <v>495</v>
      </c>
      <c r="B496" s="2" t="s">
        <v>78</v>
      </c>
      <c r="C496" s="2" t="s">
        <v>22</v>
      </c>
      <c r="D496" s="2">
        <v>23</v>
      </c>
      <c r="E496" s="3">
        <v>-2293905.6</v>
      </c>
      <c r="F496" s="2" t="s">
        <v>25</v>
      </c>
      <c r="G496" s="2" t="s">
        <v>26</v>
      </c>
    </row>
    <row r="497" spans="1:7">
      <c r="A497" s="2">
        <v>496</v>
      </c>
      <c r="B497" s="2" t="s">
        <v>94</v>
      </c>
      <c r="C497" s="2" t="s">
        <v>12</v>
      </c>
      <c r="D497" s="2">
        <v>34</v>
      </c>
      <c r="E497" s="3">
        <v>-2298697.9</v>
      </c>
      <c r="F497" s="2" t="s">
        <v>20</v>
      </c>
      <c r="G497" s="2" t="s">
        <v>10</v>
      </c>
    </row>
    <row r="498" spans="1:7">
      <c r="A498" s="2">
        <v>497</v>
      </c>
      <c r="B498" s="2" t="s">
        <v>84</v>
      </c>
      <c r="C498" s="2" t="s">
        <v>22</v>
      </c>
      <c r="D498" s="2">
        <v>34</v>
      </c>
      <c r="E498" s="3">
        <v>-2303490.2000000002</v>
      </c>
      <c r="F498" s="2" t="s">
        <v>25</v>
      </c>
      <c r="G498" s="2" t="s">
        <v>23</v>
      </c>
    </row>
    <row r="499" spans="1:7">
      <c r="A499" s="2">
        <v>498</v>
      </c>
      <c r="B499" s="2" t="s">
        <v>64</v>
      </c>
      <c r="C499" s="2" t="s">
        <v>16</v>
      </c>
      <c r="D499" s="2">
        <v>47</v>
      </c>
      <c r="E499" s="3">
        <v>-2308282.5</v>
      </c>
      <c r="F499" s="2" t="s">
        <v>9</v>
      </c>
      <c r="G499" s="2" t="s">
        <v>29</v>
      </c>
    </row>
    <row r="500" spans="1:7">
      <c r="A500" s="2">
        <v>499</v>
      </c>
      <c r="B500" s="2" t="s">
        <v>61</v>
      </c>
      <c r="C500" s="2" t="s">
        <v>16</v>
      </c>
      <c r="D500" s="2">
        <v>17</v>
      </c>
      <c r="E500" s="3">
        <v>-2313074.7999999998</v>
      </c>
      <c r="F500" s="2" t="s">
        <v>28</v>
      </c>
      <c r="G500" s="2" t="s">
        <v>23</v>
      </c>
    </row>
    <row r="501" spans="1:7">
      <c r="A501" s="2">
        <v>500</v>
      </c>
      <c r="B501" s="2" t="s">
        <v>78</v>
      </c>
      <c r="C501" s="2" t="s">
        <v>12</v>
      </c>
      <c r="D501" s="2">
        <v>11</v>
      </c>
      <c r="E501" s="3">
        <v>-2317867.1</v>
      </c>
      <c r="F501" s="2" t="s">
        <v>28</v>
      </c>
      <c r="G501" s="2" t="s">
        <v>14</v>
      </c>
    </row>
    <row r="502" spans="1:7">
      <c r="A502" s="2">
        <v>501</v>
      </c>
      <c r="B502" s="2" t="s">
        <v>50</v>
      </c>
      <c r="C502" s="2" t="s">
        <v>8</v>
      </c>
      <c r="D502" s="2">
        <v>24</v>
      </c>
      <c r="E502" s="3">
        <v>-2322659.4</v>
      </c>
      <c r="F502" s="2" t="s">
        <v>17</v>
      </c>
      <c r="G502" s="2" t="s">
        <v>26</v>
      </c>
    </row>
    <row r="503" spans="1:7">
      <c r="A503" s="2">
        <v>502</v>
      </c>
      <c r="B503" s="2" t="s">
        <v>7</v>
      </c>
      <c r="C503" s="2" t="s">
        <v>16</v>
      </c>
      <c r="D503" s="2">
        <v>9</v>
      </c>
      <c r="E503" s="3">
        <v>-2327451.7000000002</v>
      </c>
      <c r="F503" s="2" t="s">
        <v>9</v>
      </c>
      <c r="G503" s="2" t="s">
        <v>18</v>
      </c>
    </row>
    <row r="504" spans="1:7">
      <c r="A504" s="2">
        <v>503</v>
      </c>
      <c r="B504" s="2" t="s">
        <v>86</v>
      </c>
      <c r="C504" s="2" t="s">
        <v>22</v>
      </c>
      <c r="D504" s="2">
        <v>48</v>
      </c>
      <c r="E504" s="3">
        <v>-2332244</v>
      </c>
      <c r="F504" s="2" t="s">
        <v>38</v>
      </c>
      <c r="G504" s="2" t="s">
        <v>26</v>
      </c>
    </row>
    <row r="505" spans="1:7">
      <c r="A505" s="2">
        <v>504</v>
      </c>
      <c r="B505" s="2" t="s">
        <v>81</v>
      </c>
      <c r="C505" s="2" t="s">
        <v>8</v>
      </c>
      <c r="D505" s="2">
        <v>50</v>
      </c>
      <c r="E505" s="3">
        <v>-2337036.2999999998</v>
      </c>
      <c r="F505" s="2" t="s">
        <v>13</v>
      </c>
      <c r="G505" s="2" t="s">
        <v>23</v>
      </c>
    </row>
    <row r="506" spans="1:7">
      <c r="A506" s="2">
        <v>505</v>
      </c>
      <c r="B506" s="2" t="s">
        <v>71</v>
      </c>
      <c r="C506" s="2" t="s">
        <v>12</v>
      </c>
      <c r="D506" s="2">
        <v>18</v>
      </c>
      <c r="E506" s="3">
        <v>-2341828.6</v>
      </c>
      <c r="F506" s="2" t="s">
        <v>25</v>
      </c>
      <c r="G506" s="2" t="s">
        <v>14</v>
      </c>
    </row>
    <row r="507" spans="1:7">
      <c r="A507" s="2">
        <v>506</v>
      </c>
      <c r="B507" s="2" t="s">
        <v>67</v>
      </c>
      <c r="C507" s="2" t="s">
        <v>16</v>
      </c>
      <c r="D507" s="2">
        <v>47</v>
      </c>
      <c r="E507" s="3">
        <v>-2346620.9</v>
      </c>
      <c r="F507" s="2" t="s">
        <v>38</v>
      </c>
      <c r="G507" s="2" t="s">
        <v>18</v>
      </c>
    </row>
    <row r="508" spans="1:7">
      <c r="A508" s="2">
        <v>507</v>
      </c>
      <c r="B508" s="2" t="s">
        <v>65</v>
      </c>
      <c r="C508" s="2" t="s">
        <v>12</v>
      </c>
      <c r="D508" s="2">
        <v>8</v>
      </c>
      <c r="E508" s="3">
        <v>-2351413.2000000002</v>
      </c>
      <c r="F508" s="2" t="s">
        <v>17</v>
      </c>
      <c r="G508" s="2" t="s">
        <v>10</v>
      </c>
    </row>
    <row r="509" spans="1:7">
      <c r="A509" s="2">
        <v>508</v>
      </c>
      <c r="B509" s="2" t="s">
        <v>19</v>
      </c>
      <c r="C509" s="2" t="s">
        <v>8</v>
      </c>
      <c r="D509" s="2">
        <v>50</v>
      </c>
      <c r="E509" s="3">
        <v>-2356205.5</v>
      </c>
      <c r="F509" s="2" t="s">
        <v>32</v>
      </c>
      <c r="G509" s="2" t="s">
        <v>14</v>
      </c>
    </row>
    <row r="510" spans="1:7">
      <c r="A510" s="2">
        <v>509</v>
      </c>
      <c r="B510" s="2" t="s">
        <v>49</v>
      </c>
      <c r="C510" s="2" t="s">
        <v>8</v>
      </c>
      <c r="D510" s="2">
        <v>2</v>
      </c>
      <c r="E510" s="3">
        <v>-2360997.7999999998</v>
      </c>
      <c r="F510" s="2" t="s">
        <v>17</v>
      </c>
      <c r="G510" s="2" t="s">
        <v>29</v>
      </c>
    </row>
    <row r="511" spans="1:7">
      <c r="A511" s="2">
        <v>510</v>
      </c>
      <c r="B511" s="2" t="s">
        <v>80</v>
      </c>
      <c r="C511" s="2" t="s">
        <v>8</v>
      </c>
      <c r="D511" s="2">
        <v>22</v>
      </c>
      <c r="E511" s="3">
        <v>-2365790.1</v>
      </c>
      <c r="F511" s="2" t="s">
        <v>20</v>
      </c>
      <c r="G511" s="2" t="s">
        <v>23</v>
      </c>
    </row>
    <row r="512" spans="1:7">
      <c r="A512" s="2">
        <v>511</v>
      </c>
      <c r="B512" s="2" t="s">
        <v>64</v>
      </c>
      <c r="C512" s="2" t="s">
        <v>22</v>
      </c>
      <c r="D512" s="2">
        <v>28</v>
      </c>
      <c r="E512" s="3">
        <v>-2370582.4</v>
      </c>
      <c r="F512" s="2" t="s">
        <v>13</v>
      </c>
      <c r="G512" s="2" t="s">
        <v>14</v>
      </c>
    </row>
    <row r="513" spans="1:7">
      <c r="A513" s="2">
        <v>512</v>
      </c>
      <c r="B513" s="2" t="s">
        <v>83</v>
      </c>
      <c r="C513" s="2" t="s">
        <v>8</v>
      </c>
      <c r="D513" s="2">
        <v>18</v>
      </c>
      <c r="E513" s="3">
        <v>-2375374.7000000002</v>
      </c>
      <c r="F513" s="2" t="s">
        <v>32</v>
      </c>
      <c r="G513" s="2" t="s">
        <v>18</v>
      </c>
    </row>
    <row r="514" spans="1:7">
      <c r="A514" s="2">
        <v>513</v>
      </c>
      <c r="B514" s="2" t="s">
        <v>11</v>
      </c>
      <c r="C514" s="2" t="s">
        <v>8</v>
      </c>
      <c r="D514" s="2">
        <v>34</v>
      </c>
      <c r="E514" s="3">
        <v>-2380167</v>
      </c>
      <c r="F514" s="2" t="s">
        <v>9</v>
      </c>
      <c r="G514" s="2" t="s">
        <v>18</v>
      </c>
    </row>
    <row r="515" spans="1:7">
      <c r="A515" s="2">
        <v>514</v>
      </c>
      <c r="B515" s="2" t="s">
        <v>11</v>
      </c>
      <c r="C515" s="2" t="s">
        <v>16</v>
      </c>
      <c r="D515" s="2">
        <v>5</v>
      </c>
      <c r="E515" s="3">
        <v>-2384959.2999999998</v>
      </c>
      <c r="F515" s="2" t="s">
        <v>25</v>
      </c>
      <c r="G515" s="2" t="s">
        <v>29</v>
      </c>
    </row>
    <row r="516" spans="1:7">
      <c r="A516" s="2">
        <v>515</v>
      </c>
      <c r="B516" s="2" t="s">
        <v>37</v>
      </c>
      <c r="C516" s="2" t="s">
        <v>22</v>
      </c>
      <c r="D516" s="2">
        <v>17</v>
      </c>
      <c r="E516" s="3">
        <v>-2389751.6</v>
      </c>
      <c r="F516" s="2" t="s">
        <v>28</v>
      </c>
      <c r="G516" s="2" t="s">
        <v>23</v>
      </c>
    </row>
    <row r="517" spans="1:7">
      <c r="A517" s="2">
        <v>516</v>
      </c>
      <c r="B517" s="2" t="s">
        <v>73</v>
      </c>
      <c r="C517" s="2" t="s">
        <v>22</v>
      </c>
      <c r="D517" s="2">
        <v>46</v>
      </c>
      <c r="E517" s="3">
        <v>-2394543.9</v>
      </c>
      <c r="F517" s="2" t="s">
        <v>17</v>
      </c>
      <c r="G517" s="2" t="s">
        <v>18</v>
      </c>
    </row>
    <row r="518" spans="1:7">
      <c r="A518" s="2">
        <v>517</v>
      </c>
      <c r="B518" s="2" t="s">
        <v>33</v>
      </c>
      <c r="C518" s="2" t="s">
        <v>12</v>
      </c>
      <c r="D518" s="2">
        <v>37</v>
      </c>
      <c r="E518" s="3">
        <v>-2399336.2000000002</v>
      </c>
      <c r="F518" s="2" t="s">
        <v>13</v>
      </c>
      <c r="G518" s="2" t="s">
        <v>18</v>
      </c>
    </row>
    <row r="519" spans="1:7">
      <c r="A519" s="2">
        <v>518</v>
      </c>
      <c r="B519" s="2" t="s">
        <v>60</v>
      </c>
      <c r="C519" s="2" t="s">
        <v>8</v>
      </c>
      <c r="D519" s="2">
        <v>41</v>
      </c>
      <c r="E519" s="3">
        <v>-2404128.5</v>
      </c>
      <c r="F519" s="2" t="s">
        <v>17</v>
      </c>
      <c r="G519" s="2" t="s">
        <v>18</v>
      </c>
    </row>
    <row r="520" spans="1:7">
      <c r="A520" s="2">
        <v>519</v>
      </c>
      <c r="B520" s="2" t="s">
        <v>94</v>
      </c>
      <c r="C520" s="2" t="s">
        <v>16</v>
      </c>
      <c r="D520" s="2">
        <v>5</v>
      </c>
      <c r="E520" s="3">
        <v>-2408920.7999999998</v>
      </c>
      <c r="F520" s="2" t="s">
        <v>20</v>
      </c>
      <c r="G520" s="2" t="s">
        <v>14</v>
      </c>
    </row>
    <row r="521" spans="1:7">
      <c r="A521" s="2">
        <v>520</v>
      </c>
      <c r="B521" s="2" t="s">
        <v>59</v>
      </c>
      <c r="C521" s="2" t="s">
        <v>12</v>
      </c>
      <c r="D521" s="2">
        <v>32</v>
      </c>
      <c r="E521" s="3">
        <v>-2413713.1</v>
      </c>
      <c r="F521" s="2" t="s">
        <v>20</v>
      </c>
      <c r="G521" s="2" t="s">
        <v>26</v>
      </c>
    </row>
    <row r="522" spans="1:7">
      <c r="A522" s="2">
        <v>521</v>
      </c>
      <c r="B522" s="2" t="s">
        <v>40</v>
      </c>
      <c r="C522" s="2" t="s">
        <v>8</v>
      </c>
      <c r="D522" s="2">
        <v>30</v>
      </c>
      <c r="E522" s="3">
        <v>-2418505.4</v>
      </c>
      <c r="F522" s="2" t="s">
        <v>20</v>
      </c>
      <c r="G522" s="2" t="s">
        <v>14</v>
      </c>
    </row>
    <row r="523" spans="1:7">
      <c r="A523" s="2">
        <v>522</v>
      </c>
      <c r="B523" s="2" t="s">
        <v>21</v>
      </c>
      <c r="C523" s="2" t="s">
        <v>22</v>
      </c>
      <c r="D523" s="2">
        <v>33</v>
      </c>
      <c r="E523" s="3">
        <v>-2423297.7000000002</v>
      </c>
      <c r="F523" s="2" t="s">
        <v>38</v>
      </c>
      <c r="G523" s="2" t="s">
        <v>23</v>
      </c>
    </row>
    <row r="524" spans="1:7">
      <c r="A524" s="2">
        <v>523</v>
      </c>
      <c r="B524" s="2" t="s">
        <v>79</v>
      </c>
      <c r="C524" s="2" t="s">
        <v>8</v>
      </c>
      <c r="D524" s="2">
        <v>24</v>
      </c>
      <c r="E524" s="3">
        <v>-2428090</v>
      </c>
      <c r="F524" s="2" t="s">
        <v>25</v>
      </c>
      <c r="G524" s="2" t="s">
        <v>29</v>
      </c>
    </row>
    <row r="525" spans="1:7">
      <c r="A525" s="2">
        <v>524</v>
      </c>
      <c r="B525" s="2" t="s">
        <v>78</v>
      </c>
      <c r="C525" s="2" t="s">
        <v>8</v>
      </c>
      <c r="D525" s="2">
        <v>4</v>
      </c>
      <c r="E525" s="3">
        <v>-2432882.2999999998</v>
      </c>
      <c r="F525" s="2" t="s">
        <v>25</v>
      </c>
      <c r="G525" s="2" t="s">
        <v>23</v>
      </c>
    </row>
    <row r="526" spans="1:7">
      <c r="A526" s="2">
        <v>525</v>
      </c>
      <c r="B526" s="2" t="s">
        <v>82</v>
      </c>
      <c r="C526" s="2" t="s">
        <v>16</v>
      </c>
      <c r="D526" s="2">
        <v>32</v>
      </c>
      <c r="E526" s="3">
        <v>-2437674.6</v>
      </c>
      <c r="F526" s="2" t="s">
        <v>38</v>
      </c>
      <c r="G526" s="2" t="s">
        <v>26</v>
      </c>
    </row>
    <row r="527" spans="1:7">
      <c r="A527" s="2">
        <v>526</v>
      </c>
      <c r="B527" s="2" t="s">
        <v>64</v>
      </c>
      <c r="C527" s="2" t="s">
        <v>16</v>
      </c>
      <c r="D527" s="2">
        <v>37</v>
      </c>
      <c r="E527" s="3">
        <v>-2442466.9</v>
      </c>
      <c r="F527" s="2" t="s">
        <v>32</v>
      </c>
      <c r="G527" s="2" t="s">
        <v>29</v>
      </c>
    </row>
    <row r="528" spans="1:7">
      <c r="A528" s="2">
        <v>527</v>
      </c>
      <c r="B528" s="2" t="s">
        <v>50</v>
      </c>
      <c r="C528" s="2" t="s">
        <v>16</v>
      </c>
      <c r="D528" s="2">
        <v>11</v>
      </c>
      <c r="E528" s="3">
        <v>-2447259.2000000002</v>
      </c>
      <c r="F528" s="2" t="s">
        <v>20</v>
      </c>
      <c r="G528" s="2" t="s">
        <v>26</v>
      </c>
    </row>
    <row r="529" spans="1:7">
      <c r="A529" s="2">
        <v>528</v>
      </c>
      <c r="B529" s="2" t="s">
        <v>76</v>
      </c>
      <c r="C529" s="2" t="s">
        <v>12</v>
      </c>
      <c r="D529" s="2">
        <v>24</v>
      </c>
      <c r="E529" s="3">
        <v>-2452051.5</v>
      </c>
      <c r="F529" s="2" t="s">
        <v>9</v>
      </c>
      <c r="G529" s="2" t="s">
        <v>10</v>
      </c>
    </row>
    <row r="530" spans="1:7">
      <c r="A530" s="2">
        <v>529</v>
      </c>
      <c r="B530" s="2" t="s">
        <v>27</v>
      </c>
      <c r="C530" s="2" t="s">
        <v>16</v>
      </c>
      <c r="D530" s="2">
        <v>11</v>
      </c>
      <c r="E530" s="3">
        <v>-2456843.7999999998</v>
      </c>
      <c r="F530" s="2" t="s">
        <v>32</v>
      </c>
      <c r="G530" s="2" t="s">
        <v>18</v>
      </c>
    </row>
    <row r="531" spans="1:7">
      <c r="A531" s="2">
        <v>530</v>
      </c>
      <c r="B531" s="2" t="s">
        <v>47</v>
      </c>
      <c r="C531" s="2" t="s">
        <v>12</v>
      </c>
      <c r="D531" s="2">
        <v>17</v>
      </c>
      <c r="E531" s="3">
        <v>-2461636.1</v>
      </c>
      <c r="F531" s="2" t="s">
        <v>20</v>
      </c>
      <c r="G531" s="2" t="s">
        <v>29</v>
      </c>
    </row>
    <row r="532" spans="1:7">
      <c r="A532" s="2">
        <v>531</v>
      </c>
      <c r="B532" s="2" t="s">
        <v>64</v>
      </c>
      <c r="C532" s="2" t="s">
        <v>8</v>
      </c>
      <c r="D532" s="2">
        <v>50</v>
      </c>
      <c r="E532" s="3">
        <v>-2466428.4</v>
      </c>
      <c r="F532" s="2" t="s">
        <v>38</v>
      </c>
      <c r="G532" s="2" t="s">
        <v>18</v>
      </c>
    </row>
    <row r="533" spans="1:7">
      <c r="A533" s="2">
        <v>532</v>
      </c>
      <c r="B533" s="2" t="s">
        <v>46</v>
      </c>
      <c r="C533" s="2" t="s">
        <v>12</v>
      </c>
      <c r="D533" s="2">
        <v>7</v>
      </c>
      <c r="E533" s="3">
        <v>-2471220.7000000002</v>
      </c>
      <c r="F533" s="2" t="s">
        <v>13</v>
      </c>
      <c r="G533" s="2" t="s">
        <v>26</v>
      </c>
    </row>
    <row r="534" spans="1:7">
      <c r="A534" s="2">
        <v>533</v>
      </c>
      <c r="B534" s="2" t="s">
        <v>81</v>
      </c>
      <c r="C534" s="2" t="s">
        <v>12</v>
      </c>
      <c r="D534" s="2">
        <v>37</v>
      </c>
      <c r="E534" s="3">
        <v>-2476013</v>
      </c>
      <c r="F534" s="2" t="s">
        <v>9</v>
      </c>
      <c r="G534" s="2" t="s">
        <v>29</v>
      </c>
    </row>
    <row r="535" spans="1:7">
      <c r="A535" s="2">
        <v>534</v>
      </c>
      <c r="B535" s="2" t="s">
        <v>94</v>
      </c>
      <c r="C535" s="2" t="s">
        <v>16</v>
      </c>
      <c r="D535" s="2">
        <v>44</v>
      </c>
      <c r="E535" s="3">
        <v>-2480805.2999999998</v>
      </c>
      <c r="F535" s="2" t="s">
        <v>28</v>
      </c>
      <c r="G535" s="2" t="s">
        <v>10</v>
      </c>
    </row>
    <row r="536" spans="1:7">
      <c r="A536" s="2">
        <v>535</v>
      </c>
      <c r="B536" s="2" t="s">
        <v>89</v>
      </c>
      <c r="C536" s="2" t="s">
        <v>16</v>
      </c>
      <c r="D536" s="2">
        <v>47</v>
      </c>
      <c r="E536" s="3">
        <v>-2485597.6</v>
      </c>
      <c r="F536" s="2" t="s">
        <v>38</v>
      </c>
      <c r="G536" s="2" t="s">
        <v>29</v>
      </c>
    </row>
    <row r="537" spans="1:7">
      <c r="A537" s="2">
        <v>536</v>
      </c>
      <c r="B537" s="2" t="s">
        <v>75</v>
      </c>
      <c r="C537" s="2" t="s">
        <v>22</v>
      </c>
      <c r="D537" s="2">
        <v>8</v>
      </c>
      <c r="E537" s="3">
        <v>-2490389.9</v>
      </c>
      <c r="F537" s="2" t="s">
        <v>17</v>
      </c>
      <c r="G537" s="2" t="s">
        <v>23</v>
      </c>
    </row>
    <row r="538" spans="1:7">
      <c r="A538" s="2">
        <v>537</v>
      </c>
      <c r="B538" s="2" t="s">
        <v>37</v>
      </c>
      <c r="C538" s="2" t="s">
        <v>12</v>
      </c>
      <c r="D538" s="2">
        <v>15</v>
      </c>
      <c r="E538" s="3">
        <v>-2495182.2000000002</v>
      </c>
      <c r="F538" s="2" t="s">
        <v>32</v>
      </c>
      <c r="G538" s="2" t="s">
        <v>14</v>
      </c>
    </row>
    <row r="539" spans="1:7">
      <c r="A539" s="2">
        <v>538</v>
      </c>
      <c r="B539" s="2" t="s">
        <v>7</v>
      </c>
      <c r="C539" s="2" t="s">
        <v>8</v>
      </c>
      <c r="D539" s="2">
        <v>48</v>
      </c>
      <c r="E539" s="3">
        <v>-2499974.5</v>
      </c>
      <c r="F539" s="2" t="s">
        <v>20</v>
      </c>
      <c r="G539" s="2" t="s">
        <v>18</v>
      </c>
    </row>
    <row r="540" spans="1:7">
      <c r="A540" s="2">
        <v>539</v>
      </c>
      <c r="B540" s="2" t="s">
        <v>94</v>
      </c>
      <c r="C540" s="2" t="s">
        <v>22</v>
      </c>
      <c r="D540" s="2">
        <v>33</v>
      </c>
      <c r="E540" s="3">
        <v>-2504766.7999999998</v>
      </c>
      <c r="F540" s="2" t="s">
        <v>38</v>
      </c>
      <c r="G540" s="2" t="s">
        <v>14</v>
      </c>
    </row>
    <row r="541" spans="1:7">
      <c r="A541" s="2">
        <v>540</v>
      </c>
      <c r="B541" s="2" t="s">
        <v>24</v>
      </c>
      <c r="C541" s="2" t="s">
        <v>22</v>
      </c>
      <c r="D541" s="2">
        <v>1</v>
      </c>
      <c r="E541" s="3">
        <v>-2509559.1</v>
      </c>
      <c r="F541" s="2" t="s">
        <v>32</v>
      </c>
      <c r="G541" s="2" t="s">
        <v>29</v>
      </c>
    </row>
    <row r="542" spans="1:7">
      <c r="A542" s="2">
        <v>541</v>
      </c>
      <c r="B542" s="2" t="s">
        <v>88</v>
      </c>
      <c r="C542" s="2" t="s">
        <v>22</v>
      </c>
      <c r="D542" s="2">
        <v>3</v>
      </c>
      <c r="E542" s="3">
        <v>-2514351.4</v>
      </c>
      <c r="F542" s="2" t="s">
        <v>9</v>
      </c>
      <c r="G542" s="2" t="s">
        <v>23</v>
      </c>
    </row>
    <row r="543" spans="1:7">
      <c r="A543" s="2">
        <v>542</v>
      </c>
      <c r="B543" s="2" t="s">
        <v>87</v>
      </c>
      <c r="C543" s="2" t="s">
        <v>16</v>
      </c>
      <c r="D543" s="2">
        <v>1</v>
      </c>
      <c r="E543" s="3">
        <v>-2519143.7000000002</v>
      </c>
      <c r="F543" s="2" t="s">
        <v>20</v>
      </c>
      <c r="G543" s="2" t="s">
        <v>29</v>
      </c>
    </row>
    <row r="544" spans="1:7">
      <c r="A544" s="2">
        <v>543</v>
      </c>
      <c r="B544" s="2" t="s">
        <v>87</v>
      </c>
      <c r="C544" s="2" t="s">
        <v>16</v>
      </c>
      <c r="D544" s="2">
        <v>16</v>
      </c>
      <c r="E544" s="3">
        <v>-2523936</v>
      </c>
      <c r="F544" s="2" t="s">
        <v>9</v>
      </c>
      <c r="G544" s="2" t="s">
        <v>10</v>
      </c>
    </row>
    <row r="545" spans="1:7">
      <c r="A545" s="2">
        <v>544</v>
      </c>
      <c r="B545" s="2" t="s">
        <v>93</v>
      </c>
      <c r="C545" s="2" t="s">
        <v>16</v>
      </c>
      <c r="D545" s="2">
        <v>3</v>
      </c>
      <c r="E545" s="3">
        <v>-2528728.2999999998</v>
      </c>
      <c r="F545" s="2" t="s">
        <v>38</v>
      </c>
      <c r="G545" s="2" t="s">
        <v>10</v>
      </c>
    </row>
    <row r="546" spans="1:7">
      <c r="A546" s="2">
        <v>545</v>
      </c>
      <c r="B546" s="2" t="s">
        <v>48</v>
      </c>
      <c r="C546" s="2" t="s">
        <v>8</v>
      </c>
      <c r="D546" s="2">
        <v>31</v>
      </c>
      <c r="E546" s="3">
        <v>-2533520.6</v>
      </c>
      <c r="F546" s="2" t="s">
        <v>17</v>
      </c>
      <c r="G546" s="2" t="s">
        <v>10</v>
      </c>
    </row>
    <row r="547" spans="1:7">
      <c r="A547" s="2">
        <v>546</v>
      </c>
      <c r="B547" s="2" t="s">
        <v>43</v>
      </c>
      <c r="C547" s="2" t="s">
        <v>12</v>
      </c>
      <c r="D547" s="2">
        <v>24</v>
      </c>
      <c r="E547" s="3">
        <v>-2538312.9</v>
      </c>
      <c r="F547" s="2" t="s">
        <v>13</v>
      </c>
      <c r="G547" s="2" t="s">
        <v>29</v>
      </c>
    </row>
    <row r="548" spans="1:7">
      <c r="A548" s="2">
        <v>547</v>
      </c>
      <c r="B548" s="2" t="s">
        <v>54</v>
      </c>
      <c r="C548" s="2" t="s">
        <v>22</v>
      </c>
      <c r="D548" s="2">
        <v>25</v>
      </c>
      <c r="E548" s="3">
        <v>-2543105.2000000002</v>
      </c>
      <c r="F548" s="2" t="s">
        <v>17</v>
      </c>
      <c r="G548" s="2" t="s">
        <v>26</v>
      </c>
    </row>
    <row r="549" spans="1:7">
      <c r="A549" s="2">
        <v>548</v>
      </c>
      <c r="B549" s="2" t="s">
        <v>57</v>
      </c>
      <c r="C549" s="2" t="s">
        <v>16</v>
      </c>
      <c r="D549" s="2">
        <v>10</v>
      </c>
      <c r="E549" s="3">
        <v>-2547897.5</v>
      </c>
      <c r="F549" s="2" t="s">
        <v>38</v>
      </c>
      <c r="G549" s="2" t="s">
        <v>10</v>
      </c>
    </row>
    <row r="550" spans="1:7">
      <c r="A550" s="2">
        <v>549</v>
      </c>
      <c r="B550" s="2" t="s">
        <v>79</v>
      </c>
      <c r="C550" s="2" t="s">
        <v>12</v>
      </c>
      <c r="D550" s="2">
        <v>12</v>
      </c>
      <c r="E550" s="3">
        <v>-2552689.7999999998</v>
      </c>
      <c r="F550" s="2" t="s">
        <v>28</v>
      </c>
      <c r="G550" s="2" t="s">
        <v>26</v>
      </c>
    </row>
    <row r="551" spans="1:7">
      <c r="A551" s="2">
        <v>550</v>
      </c>
      <c r="B551" s="2" t="s">
        <v>39</v>
      </c>
      <c r="C551" s="2" t="s">
        <v>22</v>
      </c>
      <c r="D551" s="2">
        <v>3</v>
      </c>
      <c r="E551" s="3">
        <v>-2557482.1</v>
      </c>
      <c r="F551" s="2" t="s">
        <v>38</v>
      </c>
      <c r="G551" s="2" t="s">
        <v>26</v>
      </c>
    </row>
    <row r="552" spans="1:7">
      <c r="A552" s="2">
        <v>551</v>
      </c>
      <c r="B552" s="2" t="s">
        <v>88</v>
      </c>
      <c r="C552" s="2" t="s">
        <v>12</v>
      </c>
      <c r="D552" s="2">
        <v>36</v>
      </c>
      <c r="E552" s="3">
        <v>-2562274.4</v>
      </c>
      <c r="F552" s="2" t="s">
        <v>20</v>
      </c>
      <c r="G552" s="2" t="s">
        <v>29</v>
      </c>
    </row>
    <row r="553" spans="1:7">
      <c r="A553" s="2">
        <v>552</v>
      </c>
      <c r="B553" s="2" t="s">
        <v>50</v>
      </c>
      <c r="C553" s="2" t="s">
        <v>22</v>
      </c>
      <c r="D553" s="2">
        <v>46</v>
      </c>
      <c r="E553" s="3">
        <v>-2567066.7000000002</v>
      </c>
      <c r="F553" s="2" t="s">
        <v>28</v>
      </c>
      <c r="G553" s="2" t="s">
        <v>29</v>
      </c>
    </row>
    <row r="554" spans="1:7">
      <c r="A554" s="2">
        <v>553</v>
      </c>
      <c r="B554" s="2" t="s">
        <v>94</v>
      </c>
      <c r="C554" s="2" t="s">
        <v>12</v>
      </c>
      <c r="D554" s="2">
        <v>48</v>
      </c>
      <c r="E554" s="3">
        <v>-2571859</v>
      </c>
      <c r="F554" s="2" t="s">
        <v>20</v>
      </c>
      <c r="G554" s="2" t="s">
        <v>23</v>
      </c>
    </row>
    <row r="555" spans="1:7">
      <c r="A555" s="2">
        <v>554</v>
      </c>
      <c r="B555" s="2" t="s">
        <v>73</v>
      </c>
      <c r="C555" s="2" t="s">
        <v>16</v>
      </c>
      <c r="D555" s="2">
        <v>42</v>
      </c>
      <c r="E555" s="3">
        <v>-2576651.2999999998</v>
      </c>
      <c r="F555" s="2" t="s">
        <v>32</v>
      </c>
      <c r="G555" s="2" t="s">
        <v>26</v>
      </c>
    </row>
    <row r="556" spans="1:7">
      <c r="A556" s="2">
        <v>555</v>
      </c>
      <c r="B556" s="2" t="s">
        <v>15</v>
      </c>
      <c r="C556" s="2" t="s">
        <v>12</v>
      </c>
      <c r="D556" s="2">
        <v>27</v>
      </c>
      <c r="E556" s="3">
        <v>-2581443.6</v>
      </c>
      <c r="F556" s="2" t="s">
        <v>20</v>
      </c>
      <c r="G556" s="2" t="s">
        <v>18</v>
      </c>
    </row>
    <row r="557" spans="1:7">
      <c r="A557" s="2">
        <v>556</v>
      </c>
      <c r="B557" s="2" t="s">
        <v>21</v>
      </c>
      <c r="C557" s="2" t="s">
        <v>12</v>
      </c>
      <c r="D557" s="2">
        <v>15</v>
      </c>
      <c r="E557" s="3">
        <v>-2586235.9</v>
      </c>
      <c r="F557" s="2" t="s">
        <v>20</v>
      </c>
      <c r="G557" s="2" t="s">
        <v>14</v>
      </c>
    </row>
    <row r="558" spans="1:7">
      <c r="A558" s="2">
        <v>557</v>
      </c>
      <c r="B558" s="2" t="s">
        <v>86</v>
      </c>
      <c r="C558" s="2" t="s">
        <v>22</v>
      </c>
      <c r="D558" s="2">
        <v>21</v>
      </c>
      <c r="E558" s="3">
        <v>-2591028.2000000002</v>
      </c>
      <c r="F558" s="2" t="s">
        <v>32</v>
      </c>
      <c r="G558" s="2" t="s">
        <v>26</v>
      </c>
    </row>
    <row r="559" spans="1:7">
      <c r="A559" s="2">
        <v>558</v>
      </c>
      <c r="B559" s="2" t="s">
        <v>39</v>
      </c>
      <c r="C559" s="2" t="s">
        <v>12</v>
      </c>
      <c r="D559" s="2">
        <v>16</v>
      </c>
      <c r="E559" s="3">
        <v>-2595820.5</v>
      </c>
      <c r="F559" s="2" t="s">
        <v>13</v>
      </c>
      <c r="G559" s="2" t="s">
        <v>18</v>
      </c>
    </row>
    <row r="560" spans="1:7">
      <c r="A560" s="2">
        <v>559</v>
      </c>
      <c r="B560" s="2" t="s">
        <v>56</v>
      </c>
      <c r="C560" s="2" t="s">
        <v>8</v>
      </c>
      <c r="D560" s="2">
        <v>27</v>
      </c>
      <c r="E560" s="3">
        <v>-2600612.7999999998</v>
      </c>
      <c r="F560" s="2" t="s">
        <v>32</v>
      </c>
      <c r="G560" s="2" t="s">
        <v>14</v>
      </c>
    </row>
    <row r="561" spans="1:7">
      <c r="A561" s="2">
        <v>560</v>
      </c>
      <c r="B561" s="2" t="s">
        <v>19</v>
      </c>
      <c r="C561" s="2" t="s">
        <v>22</v>
      </c>
      <c r="D561" s="2">
        <v>47</v>
      </c>
      <c r="E561" s="3">
        <v>-2605405.1</v>
      </c>
      <c r="F561" s="2" t="s">
        <v>32</v>
      </c>
      <c r="G561" s="2" t="s">
        <v>14</v>
      </c>
    </row>
    <row r="562" spans="1:7">
      <c r="A562" s="2">
        <v>561</v>
      </c>
      <c r="B562" s="2" t="s">
        <v>70</v>
      </c>
      <c r="C562" s="2" t="s">
        <v>12</v>
      </c>
      <c r="D562" s="2">
        <v>21</v>
      </c>
      <c r="E562" s="3">
        <v>-2610197.4</v>
      </c>
      <c r="F562" s="2" t="s">
        <v>32</v>
      </c>
      <c r="G562" s="2" t="s">
        <v>29</v>
      </c>
    </row>
    <row r="563" spans="1:7">
      <c r="A563" s="2">
        <v>562</v>
      </c>
      <c r="B563" s="2" t="s">
        <v>73</v>
      </c>
      <c r="C563" s="2" t="s">
        <v>8</v>
      </c>
      <c r="D563" s="2">
        <v>18</v>
      </c>
      <c r="E563" s="3">
        <v>-2614989.7000000002</v>
      </c>
      <c r="F563" s="2" t="s">
        <v>25</v>
      </c>
      <c r="G563" s="2" t="s">
        <v>10</v>
      </c>
    </row>
    <row r="564" spans="1:7">
      <c r="A564" s="2">
        <v>563</v>
      </c>
      <c r="B564" s="2" t="s">
        <v>31</v>
      </c>
      <c r="C564" s="2" t="s">
        <v>22</v>
      </c>
      <c r="D564" s="2">
        <v>5</v>
      </c>
      <c r="E564" s="3">
        <v>-2619782</v>
      </c>
      <c r="F564" s="2" t="s">
        <v>13</v>
      </c>
      <c r="G564" s="2" t="s">
        <v>10</v>
      </c>
    </row>
    <row r="565" spans="1:7">
      <c r="A565" s="2">
        <v>564</v>
      </c>
      <c r="B565" s="2" t="s">
        <v>70</v>
      </c>
      <c r="C565" s="2" t="s">
        <v>16</v>
      </c>
      <c r="D565" s="2">
        <v>37</v>
      </c>
      <c r="E565" s="3">
        <v>-2624574.2999999998</v>
      </c>
      <c r="F565" s="2" t="s">
        <v>20</v>
      </c>
      <c r="G565" s="2" t="s">
        <v>10</v>
      </c>
    </row>
    <row r="566" spans="1:7">
      <c r="A566" s="2">
        <v>565</v>
      </c>
      <c r="B566" s="2" t="s">
        <v>21</v>
      </c>
      <c r="C566" s="2" t="s">
        <v>22</v>
      </c>
      <c r="D566" s="2">
        <v>24</v>
      </c>
      <c r="E566" s="3">
        <v>-2629366.6</v>
      </c>
      <c r="F566" s="2" t="s">
        <v>17</v>
      </c>
      <c r="G566" s="2" t="s">
        <v>18</v>
      </c>
    </row>
    <row r="567" spans="1:7">
      <c r="A567" s="2">
        <v>566</v>
      </c>
      <c r="B567" s="2" t="s">
        <v>55</v>
      </c>
      <c r="C567" s="2" t="s">
        <v>22</v>
      </c>
      <c r="D567" s="2">
        <v>8</v>
      </c>
      <c r="E567" s="3">
        <v>-2634158.9</v>
      </c>
      <c r="F567" s="2" t="s">
        <v>9</v>
      </c>
      <c r="G567" s="2" t="s">
        <v>10</v>
      </c>
    </row>
    <row r="568" spans="1:7">
      <c r="A568" s="2">
        <v>567</v>
      </c>
      <c r="B568" s="2" t="s">
        <v>52</v>
      </c>
      <c r="C568" s="2" t="s">
        <v>12</v>
      </c>
      <c r="D568" s="2">
        <v>33</v>
      </c>
      <c r="E568" s="3">
        <v>-2638951.2000000002</v>
      </c>
      <c r="F568" s="2" t="s">
        <v>13</v>
      </c>
      <c r="G568" s="2" t="s">
        <v>26</v>
      </c>
    </row>
    <row r="569" spans="1:7">
      <c r="A569" s="2">
        <v>568</v>
      </c>
      <c r="B569" s="2" t="s">
        <v>92</v>
      </c>
      <c r="C569" s="2" t="s">
        <v>8</v>
      </c>
      <c r="D569" s="2">
        <v>44</v>
      </c>
      <c r="E569" s="3">
        <v>-2643743.5</v>
      </c>
      <c r="F569" s="2" t="s">
        <v>20</v>
      </c>
      <c r="G569" s="2" t="s">
        <v>23</v>
      </c>
    </row>
    <row r="570" spans="1:7">
      <c r="A570" s="2">
        <v>569</v>
      </c>
      <c r="B570" s="2" t="s">
        <v>57</v>
      </c>
      <c r="C570" s="2" t="s">
        <v>22</v>
      </c>
      <c r="D570" s="2">
        <v>4</v>
      </c>
      <c r="E570" s="3">
        <v>-2648535.7999999998</v>
      </c>
      <c r="F570" s="2" t="s">
        <v>25</v>
      </c>
      <c r="G570" s="2" t="s">
        <v>29</v>
      </c>
    </row>
    <row r="571" spans="1:7">
      <c r="A571" s="2">
        <v>570</v>
      </c>
      <c r="B571" s="2" t="s">
        <v>60</v>
      </c>
      <c r="C571" s="2" t="s">
        <v>22</v>
      </c>
      <c r="D571" s="2">
        <v>12</v>
      </c>
      <c r="E571" s="3">
        <v>-2653328.1</v>
      </c>
      <c r="F571" s="2" t="s">
        <v>25</v>
      </c>
      <c r="G571" s="2" t="s">
        <v>10</v>
      </c>
    </row>
    <row r="572" spans="1:7">
      <c r="A572" s="2">
        <v>571</v>
      </c>
      <c r="B572" s="2" t="s">
        <v>72</v>
      </c>
      <c r="C572" s="2" t="s">
        <v>22</v>
      </c>
      <c r="D572" s="2">
        <v>15</v>
      </c>
      <c r="E572" s="3">
        <v>-2658120.4</v>
      </c>
      <c r="F572" s="2" t="s">
        <v>13</v>
      </c>
      <c r="G572" s="2" t="s">
        <v>26</v>
      </c>
    </row>
    <row r="573" spans="1:7">
      <c r="A573" s="2">
        <v>572</v>
      </c>
      <c r="B573" s="2" t="s">
        <v>46</v>
      </c>
      <c r="C573" s="2" t="s">
        <v>12</v>
      </c>
      <c r="D573" s="2">
        <v>34</v>
      </c>
      <c r="E573" s="3">
        <v>-2662912.7000000002</v>
      </c>
      <c r="F573" s="2" t="s">
        <v>17</v>
      </c>
      <c r="G573" s="2" t="s">
        <v>26</v>
      </c>
    </row>
    <row r="574" spans="1:7">
      <c r="A574" s="2">
        <v>573</v>
      </c>
      <c r="B574" s="2" t="s">
        <v>42</v>
      </c>
      <c r="C574" s="2" t="s">
        <v>22</v>
      </c>
      <c r="D574" s="2">
        <v>3</v>
      </c>
      <c r="E574" s="3">
        <v>-2667705</v>
      </c>
      <c r="F574" s="2" t="s">
        <v>25</v>
      </c>
      <c r="G574" s="2" t="s">
        <v>10</v>
      </c>
    </row>
    <row r="575" spans="1:7">
      <c r="A575" s="2">
        <v>574</v>
      </c>
      <c r="B575" s="2" t="s">
        <v>79</v>
      </c>
      <c r="C575" s="2" t="s">
        <v>8</v>
      </c>
      <c r="D575" s="2">
        <v>26</v>
      </c>
      <c r="E575" s="3">
        <v>-2672497.2999999998</v>
      </c>
      <c r="F575" s="2" t="s">
        <v>9</v>
      </c>
      <c r="G575" s="2" t="s">
        <v>10</v>
      </c>
    </row>
    <row r="576" spans="1:7">
      <c r="A576" s="2">
        <v>575</v>
      </c>
      <c r="B576" s="2" t="s">
        <v>83</v>
      </c>
      <c r="C576" s="2" t="s">
        <v>12</v>
      </c>
      <c r="D576" s="2">
        <v>5</v>
      </c>
      <c r="E576" s="3">
        <v>-2677289.6</v>
      </c>
      <c r="F576" s="2" t="s">
        <v>17</v>
      </c>
      <c r="G576" s="2" t="s">
        <v>18</v>
      </c>
    </row>
    <row r="577" spans="1:7">
      <c r="A577" s="2">
        <v>576</v>
      </c>
      <c r="B577" s="2" t="s">
        <v>66</v>
      </c>
      <c r="C577" s="2" t="s">
        <v>16</v>
      </c>
      <c r="D577" s="2">
        <v>30</v>
      </c>
      <c r="E577" s="3">
        <v>-2682081.9</v>
      </c>
      <c r="F577" s="2" t="s">
        <v>17</v>
      </c>
      <c r="G577" s="2" t="s">
        <v>29</v>
      </c>
    </row>
    <row r="578" spans="1:7">
      <c r="A578" s="2">
        <v>577</v>
      </c>
      <c r="B578" s="2" t="s">
        <v>7</v>
      </c>
      <c r="C578" s="2" t="s">
        <v>16</v>
      </c>
      <c r="D578" s="2">
        <v>19</v>
      </c>
      <c r="E578" s="3">
        <v>-2686874.2</v>
      </c>
      <c r="F578" s="2" t="s">
        <v>17</v>
      </c>
      <c r="G578" s="2" t="s">
        <v>23</v>
      </c>
    </row>
    <row r="579" spans="1:7">
      <c r="A579" s="2">
        <v>578</v>
      </c>
      <c r="B579" s="2" t="s">
        <v>74</v>
      </c>
      <c r="C579" s="2" t="s">
        <v>12</v>
      </c>
      <c r="D579" s="2">
        <v>50</v>
      </c>
      <c r="E579" s="3">
        <v>-2691666.5</v>
      </c>
      <c r="F579" s="2" t="s">
        <v>17</v>
      </c>
      <c r="G579" s="2" t="s">
        <v>10</v>
      </c>
    </row>
    <row r="580" spans="1:7">
      <c r="A580" s="2">
        <v>579</v>
      </c>
      <c r="B580" s="2" t="s">
        <v>47</v>
      </c>
      <c r="C580" s="2" t="s">
        <v>8</v>
      </c>
      <c r="D580" s="2">
        <v>20</v>
      </c>
      <c r="E580" s="3">
        <v>-2696458.8</v>
      </c>
      <c r="F580" s="2" t="s">
        <v>13</v>
      </c>
      <c r="G580" s="2" t="s">
        <v>14</v>
      </c>
    </row>
    <row r="581" spans="1:7">
      <c r="A581" s="2">
        <v>580</v>
      </c>
      <c r="B581" s="2" t="s">
        <v>69</v>
      </c>
      <c r="C581" s="2" t="s">
        <v>12</v>
      </c>
      <c r="D581" s="2">
        <v>21</v>
      </c>
      <c r="E581" s="3">
        <v>-2701251.1</v>
      </c>
      <c r="F581" s="2" t="s">
        <v>13</v>
      </c>
      <c r="G581" s="2" t="s">
        <v>18</v>
      </c>
    </row>
    <row r="582" spans="1:7">
      <c r="A582" s="2">
        <v>581</v>
      </c>
      <c r="B582" s="2" t="s">
        <v>61</v>
      </c>
      <c r="C582" s="2" t="s">
        <v>12</v>
      </c>
      <c r="D582" s="2">
        <v>6</v>
      </c>
      <c r="E582" s="3">
        <v>-2706043.4</v>
      </c>
      <c r="F582" s="2" t="s">
        <v>17</v>
      </c>
      <c r="G582" s="2" t="s">
        <v>10</v>
      </c>
    </row>
    <row r="583" spans="1:7">
      <c r="A583" s="2">
        <v>582</v>
      </c>
      <c r="B583" s="2" t="s">
        <v>84</v>
      </c>
      <c r="C583" s="2" t="s">
        <v>12</v>
      </c>
      <c r="D583" s="2">
        <v>36</v>
      </c>
      <c r="E583" s="3">
        <v>-2710835.7</v>
      </c>
      <c r="F583" s="2" t="s">
        <v>32</v>
      </c>
      <c r="G583" s="2" t="s">
        <v>10</v>
      </c>
    </row>
    <row r="584" spans="1:7">
      <c r="A584" s="2">
        <v>583</v>
      </c>
      <c r="B584" s="2" t="s">
        <v>82</v>
      </c>
      <c r="C584" s="2" t="s">
        <v>12</v>
      </c>
      <c r="D584" s="2">
        <v>30</v>
      </c>
      <c r="E584" s="3">
        <v>-2715628</v>
      </c>
      <c r="F584" s="2" t="s">
        <v>32</v>
      </c>
      <c r="G584" s="2" t="s">
        <v>26</v>
      </c>
    </row>
    <row r="585" spans="1:7">
      <c r="A585" s="2">
        <v>584</v>
      </c>
      <c r="B585" s="2" t="s">
        <v>45</v>
      </c>
      <c r="C585" s="2" t="s">
        <v>22</v>
      </c>
      <c r="D585" s="2">
        <v>1</v>
      </c>
      <c r="E585" s="3">
        <v>-2720420.3</v>
      </c>
      <c r="F585" s="2" t="s">
        <v>13</v>
      </c>
      <c r="G585" s="2" t="s">
        <v>18</v>
      </c>
    </row>
    <row r="586" spans="1:7">
      <c r="A586" s="2">
        <v>585</v>
      </c>
      <c r="B586" s="2" t="s">
        <v>19</v>
      </c>
      <c r="C586" s="2" t="s">
        <v>16</v>
      </c>
      <c r="D586" s="2">
        <v>24</v>
      </c>
      <c r="E586" s="3">
        <v>-2725212.6</v>
      </c>
      <c r="F586" s="2" t="s">
        <v>28</v>
      </c>
      <c r="G586" s="2" t="s">
        <v>23</v>
      </c>
    </row>
    <row r="587" spans="1:7">
      <c r="A587" s="2">
        <v>586</v>
      </c>
      <c r="B587" s="2" t="s">
        <v>41</v>
      </c>
      <c r="C587" s="2" t="s">
        <v>8</v>
      </c>
      <c r="D587" s="2">
        <v>13</v>
      </c>
      <c r="E587" s="3">
        <v>-2730004.9</v>
      </c>
      <c r="F587" s="2" t="s">
        <v>17</v>
      </c>
      <c r="G587" s="2" t="s">
        <v>26</v>
      </c>
    </row>
    <row r="588" spans="1:7">
      <c r="A588" s="2">
        <v>587</v>
      </c>
      <c r="B588" s="2" t="s">
        <v>59</v>
      </c>
      <c r="C588" s="2" t="s">
        <v>22</v>
      </c>
      <c r="D588" s="2">
        <v>19</v>
      </c>
      <c r="E588" s="3">
        <v>-2734797.2</v>
      </c>
      <c r="F588" s="2" t="s">
        <v>9</v>
      </c>
      <c r="G588" s="2" t="s">
        <v>14</v>
      </c>
    </row>
    <row r="589" spans="1:7">
      <c r="A589" s="2">
        <v>588</v>
      </c>
      <c r="B589" s="2" t="s">
        <v>93</v>
      </c>
      <c r="C589" s="2" t="s">
        <v>16</v>
      </c>
      <c r="D589" s="2">
        <v>37</v>
      </c>
      <c r="E589" s="3">
        <v>-2739589.5</v>
      </c>
      <c r="F589" s="2" t="s">
        <v>9</v>
      </c>
      <c r="G589" s="2" t="s">
        <v>14</v>
      </c>
    </row>
    <row r="590" spans="1:7">
      <c r="A590" s="2">
        <v>589</v>
      </c>
      <c r="B590" s="2" t="s">
        <v>36</v>
      </c>
      <c r="C590" s="2" t="s">
        <v>12</v>
      </c>
      <c r="D590" s="2">
        <v>20</v>
      </c>
      <c r="E590" s="3">
        <v>-2744381.8</v>
      </c>
      <c r="F590" s="2" t="s">
        <v>13</v>
      </c>
      <c r="G590" s="2" t="s">
        <v>23</v>
      </c>
    </row>
    <row r="591" spans="1:7">
      <c r="A591" s="2">
        <v>590</v>
      </c>
      <c r="B591" s="2" t="s">
        <v>63</v>
      </c>
      <c r="C591" s="2" t="s">
        <v>16</v>
      </c>
      <c r="D591" s="2">
        <v>48</v>
      </c>
      <c r="E591" s="3">
        <v>-2749174.1</v>
      </c>
      <c r="F591" s="2" t="s">
        <v>38</v>
      </c>
      <c r="G591" s="2" t="s">
        <v>26</v>
      </c>
    </row>
    <row r="592" spans="1:7">
      <c r="A592" s="2">
        <v>591</v>
      </c>
      <c r="B592" s="2" t="s">
        <v>41</v>
      </c>
      <c r="C592" s="2" t="s">
        <v>16</v>
      </c>
      <c r="D592" s="2">
        <v>40</v>
      </c>
      <c r="E592" s="3">
        <v>-2753966.4</v>
      </c>
      <c r="F592" s="2" t="s">
        <v>38</v>
      </c>
      <c r="G592" s="2" t="s">
        <v>18</v>
      </c>
    </row>
    <row r="593" spans="1:7">
      <c r="A593" s="2">
        <v>592</v>
      </c>
      <c r="B593" s="2" t="s">
        <v>78</v>
      </c>
      <c r="C593" s="2" t="s">
        <v>22</v>
      </c>
      <c r="D593" s="2">
        <v>16</v>
      </c>
      <c r="E593" s="3">
        <v>-2758758.7</v>
      </c>
      <c r="F593" s="2" t="s">
        <v>28</v>
      </c>
      <c r="G593" s="2" t="s">
        <v>10</v>
      </c>
    </row>
    <row r="594" spans="1:7">
      <c r="A594" s="2">
        <v>593</v>
      </c>
      <c r="B594" s="2" t="s">
        <v>11</v>
      </c>
      <c r="C594" s="2" t="s">
        <v>22</v>
      </c>
      <c r="D594" s="2">
        <v>30</v>
      </c>
      <c r="E594" s="3">
        <v>-2763551</v>
      </c>
      <c r="F594" s="2" t="s">
        <v>38</v>
      </c>
      <c r="G594" s="2" t="s">
        <v>23</v>
      </c>
    </row>
    <row r="595" spans="1:7">
      <c r="A595" s="2">
        <v>594</v>
      </c>
      <c r="B595" s="2" t="s">
        <v>67</v>
      </c>
      <c r="C595" s="2" t="s">
        <v>8</v>
      </c>
      <c r="D595" s="2">
        <v>24</v>
      </c>
      <c r="E595" s="3">
        <v>-2768343.3</v>
      </c>
      <c r="F595" s="2" t="s">
        <v>25</v>
      </c>
      <c r="G595" s="2" t="s">
        <v>26</v>
      </c>
    </row>
    <row r="596" spans="1:7">
      <c r="A596" s="2">
        <v>595</v>
      </c>
      <c r="B596" s="2" t="s">
        <v>49</v>
      </c>
      <c r="C596" s="2" t="s">
        <v>12</v>
      </c>
      <c r="D596" s="2">
        <v>38</v>
      </c>
      <c r="E596" s="3">
        <v>-2773135.6</v>
      </c>
      <c r="F596" s="2" t="s">
        <v>28</v>
      </c>
      <c r="G596" s="2" t="s">
        <v>18</v>
      </c>
    </row>
    <row r="597" spans="1:7">
      <c r="A597" s="2">
        <v>596</v>
      </c>
      <c r="B597" s="2" t="s">
        <v>74</v>
      </c>
      <c r="C597" s="2" t="s">
        <v>12</v>
      </c>
      <c r="D597" s="2">
        <v>32</v>
      </c>
      <c r="E597" s="3">
        <v>-2777927.9</v>
      </c>
      <c r="F597" s="2" t="s">
        <v>38</v>
      </c>
      <c r="G597" s="2" t="s">
        <v>18</v>
      </c>
    </row>
    <row r="598" spans="1:7">
      <c r="A598" s="2">
        <v>597</v>
      </c>
      <c r="B598" s="2" t="s">
        <v>59</v>
      </c>
      <c r="C598" s="2" t="s">
        <v>12</v>
      </c>
      <c r="D598" s="2">
        <v>50</v>
      </c>
      <c r="E598" s="3">
        <v>-2782720.2</v>
      </c>
      <c r="F598" s="2" t="s">
        <v>28</v>
      </c>
      <c r="G598" s="2" t="s">
        <v>18</v>
      </c>
    </row>
    <row r="599" spans="1:7">
      <c r="A599" s="2">
        <v>598</v>
      </c>
      <c r="B599" s="2" t="s">
        <v>87</v>
      </c>
      <c r="C599" s="2" t="s">
        <v>16</v>
      </c>
      <c r="D599" s="2">
        <v>50</v>
      </c>
      <c r="E599" s="3">
        <v>-2787512.5</v>
      </c>
      <c r="F599" s="2" t="s">
        <v>32</v>
      </c>
      <c r="G599" s="2" t="s">
        <v>18</v>
      </c>
    </row>
    <row r="600" spans="1:7">
      <c r="A600" s="2">
        <v>599</v>
      </c>
      <c r="B600" s="2" t="s">
        <v>30</v>
      </c>
      <c r="C600" s="2" t="s">
        <v>16</v>
      </c>
      <c r="D600" s="2">
        <v>13</v>
      </c>
      <c r="E600" s="3">
        <v>-2792304.8</v>
      </c>
      <c r="F600" s="2" t="s">
        <v>32</v>
      </c>
      <c r="G600" s="2" t="s">
        <v>14</v>
      </c>
    </row>
    <row r="601" spans="1:7">
      <c r="A601" s="2">
        <v>600</v>
      </c>
      <c r="B601" s="2" t="s">
        <v>71</v>
      </c>
      <c r="C601" s="2" t="s">
        <v>12</v>
      </c>
      <c r="D601" s="2">
        <v>47</v>
      </c>
      <c r="E601" s="3">
        <v>-2797097.1</v>
      </c>
      <c r="F601" s="2" t="s">
        <v>17</v>
      </c>
      <c r="G601" s="2" t="s">
        <v>18</v>
      </c>
    </row>
    <row r="602" spans="1:7">
      <c r="A602" s="2">
        <v>601</v>
      </c>
      <c r="B602" s="2" t="s">
        <v>64</v>
      </c>
      <c r="C602" s="2" t="s">
        <v>8</v>
      </c>
      <c r="D602" s="2">
        <v>35</v>
      </c>
      <c r="E602" s="3">
        <v>-2801889.4</v>
      </c>
      <c r="F602" s="2" t="s">
        <v>38</v>
      </c>
      <c r="G602" s="2" t="s">
        <v>26</v>
      </c>
    </row>
    <row r="603" spans="1:7">
      <c r="A603" s="2">
        <v>602</v>
      </c>
      <c r="B603" s="2" t="s">
        <v>84</v>
      </c>
      <c r="C603" s="2" t="s">
        <v>16</v>
      </c>
      <c r="D603" s="2">
        <v>49</v>
      </c>
      <c r="E603" s="3">
        <v>-2806681.7</v>
      </c>
      <c r="F603" s="2" t="s">
        <v>28</v>
      </c>
      <c r="G603" s="2" t="s">
        <v>23</v>
      </c>
    </row>
    <row r="604" spans="1:7">
      <c r="A604" s="2">
        <v>603</v>
      </c>
      <c r="B604" s="2" t="s">
        <v>66</v>
      </c>
      <c r="C604" s="2" t="s">
        <v>8</v>
      </c>
      <c r="D604" s="2">
        <v>16</v>
      </c>
      <c r="E604" s="3">
        <v>-2811474</v>
      </c>
      <c r="F604" s="2" t="s">
        <v>25</v>
      </c>
      <c r="G604" s="2" t="s">
        <v>10</v>
      </c>
    </row>
    <row r="605" spans="1:7">
      <c r="A605" s="2">
        <v>604</v>
      </c>
      <c r="B605" s="2" t="s">
        <v>15</v>
      </c>
      <c r="C605" s="2" t="s">
        <v>16</v>
      </c>
      <c r="D605" s="2">
        <v>10</v>
      </c>
      <c r="E605" s="3">
        <v>-2816266.3</v>
      </c>
      <c r="F605" s="2" t="s">
        <v>20</v>
      </c>
      <c r="G605" s="2" t="s">
        <v>10</v>
      </c>
    </row>
    <row r="606" spans="1:7">
      <c r="A606" s="2">
        <v>605</v>
      </c>
      <c r="B606" s="2" t="s">
        <v>79</v>
      </c>
      <c r="C606" s="2" t="s">
        <v>22</v>
      </c>
      <c r="D606" s="2">
        <v>1</v>
      </c>
      <c r="E606" s="3">
        <v>-2821058.6</v>
      </c>
      <c r="F606" s="2" t="s">
        <v>38</v>
      </c>
      <c r="G606" s="2" t="s">
        <v>26</v>
      </c>
    </row>
    <row r="607" spans="1:7">
      <c r="A607" s="2">
        <v>606</v>
      </c>
      <c r="B607" s="2" t="s">
        <v>78</v>
      </c>
      <c r="C607" s="2" t="s">
        <v>22</v>
      </c>
      <c r="D607" s="2">
        <v>27</v>
      </c>
      <c r="E607" s="3">
        <v>-2825850.9</v>
      </c>
      <c r="F607" s="2" t="s">
        <v>9</v>
      </c>
      <c r="G607" s="2" t="s">
        <v>26</v>
      </c>
    </row>
    <row r="608" spans="1:7">
      <c r="A608" s="2">
        <v>607</v>
      </c>
      <c r="B608" s="2" t="s">
        <v>89</v>
      </c>
      <c r="C608" s="2" t="s">
        <v>12</v>
      </c>
      <c r="D608" s="2">
        <v>2</v>
      </c>
      <c r="E608" s="3">
        <v>-2830643.2000000002</v>
      </c>
      <c r="F608" s="2" t="s">
        <v>17</v>
      </c>
      <c r="G608" s="2" t="s">
        <v>29</v>
      </c>
    </row>
    <row r="609" spans="1:7">
      <c r="A609" s="2">
        <v>608</v>
      </c>
      <c r="B609" s="2" t="s">
        <v>47</v>
      </c>
      <c r="C609" s="2" t="s">
        <v>22</v>
      </c>
      <c r="D609" s="2">
        <v>15</v>
      </c>
      <c r="E609" s="3">
        <v>-2835435.5</v>
      </c>
      <c r="F609" s="2" t="s">
        <v>25</v>
      </c>
      <c r="G609" s="2" t="s">
        <v>26</v>
      </c>
    </row>
    <row r="610" spans="1:7">
      <c r="A610" s="2">
        <v>609</v>
      </c>
      <c r="B610" s="2" t="s">
        <v>92</v>
      </c>
      <c r="C610" s="2" t="s">
        <v>16</v>
      </c>
      <c r="D610" s="2">
        <v>35</v>
      </c>
      <c r="E610" s="3">
        <v>-2840227.8</v>
      </c>
      <c r="F610" s="2" t="s">
        <v>25</v>
      </c>
      <c r="G610" s="2" t="s">
        <v>26</v>
      </c>
    </row>
    <row r="611" spans="1:7">
      <c r="A611" s="2">
        <v>610</v>
      </c>
      <c r="B611" s="2" t="s">
        <v>59</v>
      </c>
      <c r="C611" s="2" t="s">
        <v>16</v>
      </c>
      <c r="D611" s="2">
        <v>23</v>
      </c>
      <c r="E611" s="3">
        <v>-2845020.1</v>
      </c>
      <c r="F611" s="2" t="s">
        <v>28</v>
      </c>
      <c r="G611" s="2" t="s">
        <v>23</v>
      </c>
    </row>
    <row r="612" spans="1:7">
      <c r="A612" s="2">
        <v>611</v>
      </c>
      <c r="B612" s="2" t="s">
        <v>83</v>
      </c>
      <c r="C612" s="2" t="s">
        <v>22</v>
      </c>
      <c r="D612" s="2">
        <v>41</v>
      </c>
      <c r="E612" s="3">
        <v>-2849812.4</v>
      </c>
      <c r="F612" s="2" t="s">
        <v>17</v>
      </c>
      <c r="G612" s="2" t="s">
        <v>29</v>
      </c>
    </row>
    <row r="613" spans="1:7">
      <c r="A613" s="2">
        <v>612</v>
      </c>
      <c r="B613" s="2" t="s">
        <v>94</v>
      </c>
      <c r="C613" s="2" t="s">
        <v>22</v>
      </c>
      <c r="D613" s="2">
        <v>45</v>
      </c>
      <c r="E613" s="3">
        <v>-2854604.7</v>
      </c>
      <c r="F613" s="2" t="s">
        <v>32</v>
      </c>
      <c r="G613" s="2" t="s">
        <v>23</v>
      </c>
    </row>
    <row r="614" spans="1:7">
      <c r="A614" s="2">
        <v>613</v>
      </c>
      <c r="B614" s="2" t="s">
        <v>91</v>
      </c>
      <c r="C614" s="2" t="s">
        <v>22</v>
      </c>
      <c r="D614" s="2">
        <v>1</v>
      </c>
      <c r="E614" s="3">
        <v>-2859397</v>
      </c>
      <c r="F614" s="2" t="s">
        <v>32</v>
      </c>
      <c r="G614" s="2" t="s">
        <v>18</v>
      </c>
    </row>
    <row r="615" spans="1:7">
      <c r="A615" s="2">
        <v>614</v>
      </c>
      <c r="B615" s="2" t="s">
        <v>33</v>
      </c>
      <c r="C615" s="2" t="s">
        <v>12</v>
      </c>
      <c r="D615" s="2">
        <v>22</v>
      </c>
      <c r="E615" s="3">
        <v>-2864189.3</v>
      </c>
      <c r="F615" s="2" t="s">
        <v>28</v>
      </c>
      <c r="G615" s="2" t="s">
        <v>26</v>
      </c>
    </row>
    <row r="616" spans="1:7">
      <c r="A616" s="2">
        <v>615</v>
      </c>
      <c r="B616" s="2" t="s">
        <v>39</v>
      </c>
      <c r="C616" s="2" t="s">
        <v>22</v>
      </c>
      <c r="D616" s="2">
        <v>1</v>
      </c>
      <c r="E616" s="3">
        <v>-2868981.6</v>
      </c>
      <c r="F616" s="2" t="s">
        <v>28</v>
      </c>
      <c r="G616" s="2" t="s">
        <v>26</v>
      </c>
    </row>
    <row r="617" spans="1:7">
      <c r="A617" s="2">
        <v>616</v>
      </c>
      <c r="B617" s="2" t="s">
        <v>35</v>
      </c>
      <c r="C617" s="2" t="s">
        <v>16</v>
      </c>
      <c r="D617" s="2">
        <v>49</v>
      </c>
      <c r="E617" s="3">
        <v>-2873773.9</v>
      </c>
      <c r="F617" s="2" t="s">
        <v>20</v>
      </c>
      <c r="G617" s="2" t="s">
        <v>29</v>
      </c>
    </row>
    <row r="618" spans="1:7">
      <c r="A618" s="2">
        <v>617</v>
      </c>
      <c r="B618" s="2" t="s">
        <v>82</v>
      </c>
      <c r="C618" s="2" t="s">
        <v>22</v>
      </c>
      <c r="D618" s="2">
        <v>43</v>
      </c>
      <c r="E618" s="3">
        <v>-2878566.2</v>
      </c>
      <c r="F618" s="2" t="s">
        <v>13</v>
      </c>
      <c r="G618" s="2" t="s">
        <v>18</v>
      </c>
    </row>
    <row r="619" spans="1:7">
      <c r="A619" s="2">
        <v>618</v>
      </c>
      <c r="B619" s="2" t="s">
        <v>93</v>
      </c>
      <c r="C619" s="2" t="s">
        <v>12</v>
      </c>
      <c r="D619" s="2">
        <v>25</v>
      </c>
      <c r="E619" s="3">
        <v>-2883358.5</v>
      </c>
      <c r="F619" s="2" t="s">
        <v>32</v>
      </c>
      <c r="G619" s="2" t="s">
        <v>23</v>
      </c>
    </row>
    <row r="620" spans="1:7">
      <c r="A620" s="2">
        <v>619</v>
      </c>
      <c r="B620" s="2" t="s">
        <v>63</v>
      </c>
      <c r="C620" s="2" t="s">
        <v>12</v>
      </c>
      <c r="D620" s="2">
        <v>48</v>
      </c>
      <c r="E620" s="3">
        <v>-2888150.8</v>
      </c>
      <c r="F620" s="2" t="s">
        <v>20</v>
      </c>
      <c r="G620" s="2" t="s">
        <v>14</v>
      </c>
    </row>
    <row r="621" spans="1:7">
      <c r="A621" s="2">
        <v>620</v>
      </c>
      <c r="B621" s="2" t="s">
        <v>89</v>
      </c>
      <c r="C621" s="2" t="s">
        <v>16</v>
      </c>
      <c r="D621" s="2">
        <v>47</v>
      </c>
      <c r="E621" s="3">
        <v>-2892943.1</v>
      </c>
      <c r="F621" s="2" t="s">
        <v>17</v>
      </c>
      <c r="G621" s="2" t="s">
        <v>26</v>
      </c>
    </row>
    <row r="622" spans="1:7">
      <c r="A622" s="2">
        <v>621</v>
      </c>
      <c r="B622" s="2" t="s">
        <v>51</v>
      </c>
      <c r="C622" s="2" t="s">
        <v>16</v>
      </c>
      <c r="D622" s="2">
        <v>20</v>
      </c>
      <c r="E622" s="3">
        <v>-2897735.4</v>
      </c>
      <c r="F622" s="2" t="s">
        <v>9</v>
      </c>
      <c r="G622" s="2" t="s">
        <v>14</v>
      </c>
    </row>
    <row r="623" spans="1:7">
      <c r="A623" s="2">
        <v>622</v>
      </c>
      <c r="B623" s="2" t="s">
        <v>74</v>
      </c>
      <c r="C623" s="2" t="s">
        <v>22</v>
      </c>
      <c r="D623" s="2">
        <v>7</v>
      </c>
      <c r="E623" s="3">
        <v>-2902527.7</v>
      </c>
      <c r="F623" s="2" t="s">
        <v>25</v>
      </c>
      <c r="G623" s="2" t="s">
        <v>14</v>
      </c>
    </row>
    <row r="624" spans="1:7">
      <c r="A624" s="2">
        <v>623</v>
      </c>
      <c r="B624" s="2" t="s">
        <v>68</v>
      </c>
      <c r="C624" s="2" t="s">
        <v>16</v>
      </c>
      <c r="D624" s="2">
        <v>14</v>
      </c>
      <c r="E624" s="3">
        <v>-2907320</v>
      </c>
      <c r="F624" s="2" t="s">
        <v>9</v>
      </c>
      <c r="G624" s="2" t="s">
        <v>14</v>
      </c>
    </row>
    <row r="625" spans="1:7">
      <c r="A625" s="2">
        <v>624</v>
      </c>
      <c r="B625" s="2" t="s">
        <v>56</v>
      </c>
      <c r="C625" s="2" t="s">
        <v>8</v>
      </c>
      <c r="D625" s="2">
        <v>34</v>
      </c>
      <c r="E625" s="3">
        <v>-2912112.3</v>
      </c>
      <c r="F625" s="2" t="s">
        <v>20</v>
      </c>
      <c r="G625" s="2" t="s">
        <v>10</v>
      </c>
    </row>
    <row r="626" spans="1:7">
      <c r="A626" s="2">
        <v>625</v>
      </c>
      <c r="B626" s="2" t="s">
        <v>24</v>
      </c>
      <c r="C626" s="2" t="s">
        <v>16</v>
      </c>
      <c r="D626" s="2">
        <v>16</v>
      </c>
      <c r="E626" s="3">
        <v>-2916904.6</v>
      </c>
      <c r="F626" s="2" t="s">
        <v>28</v>
      </c>
      <c r="G626" s="2" t="s">
        <v>14</v>
      </c>
    </row>
    <row r="627" spans="1:7">
      <c r="A627" s="2">
        <v>626</v>
      </c>
      <c r="B627" s="2" t="s">
        <v>36</v>
      </c>
      <c r="C627" s="2" t="s">
        <v>8</v>
      </c>
      <c r="D627" s="2">
        <v>27</v>
      </c>
      <c r="E627" s="3">
        <v>-2921696.9</v>
      </c>
      <c r="F627" s="2" t="s">
        <v>38</v>
      </c>
      <c r="G627" s="2" t="s">
        <v>23</v>
      </c>
    </row>
    <row r="628" spans="1:7">
      <c r="A628" s="2">
        <v>627</v>
      </c>
      <c r="B628" s="2" t="s">
        <v>44</v>
      </c>
      <c r="C628" s="2" t="s">
        <v>8</v>
      </c>
      <c r="D628" s="2">
        <v>32</v>
      </c>
      <c r="E628" s="3">
        <v>-2926489.2</v>
      </c>
      <c r="F628" s="2" t="s">
        <v>13</v>
      </c>
      <c r="G628" s="2" t="s">
        <v>14</v>
      </c>
    </row>
    <row r="629" spans="1:7">
      <c r="A629" s="2">
        <v>628</v>
      </c>
      <c r="B629" s="2" t="s">
        <v>79</v>
      </c>
      <c r="C629" s="2" t="s">
        <v>16</v>
      </c>
      <c r="D629" s="2">
        <v>4</v>
      </c>
      <c r="E629" s="3">
        <v>-2931281.5</v>
      </c>
      <c r="F629" s="2" t="s">
        <v>20</v>
      </c>
      <c r="G629" s="2" t="s">
        <v>26</v>
      </c>
    </row>
    <row r="630" spans="1:7">
      <c r="A630" s="2">
        <v>629</v>
      </c>
      <c r="B630" s="2" t="s">
        <v>77</v>
      </c>
      <c r="C630" s="2" t="s">
        <v>8</v>
      </c>
      <c r="D630" s="2">
        <v>10</v>
      </c>
      <c r="E630" s="3">
        <v>-2936073.8</v>
      </c>
      <c r="F630" s="2" t="s">
        <v>38</v>
      </c>
      <c r="G630" s="2" t="s">
        <v>10</v>
      </c>
    </row>
    <row r="631" spans="1:7">
      <c r="A631" s="2">
        <v>630</v>
      </c>
      <c r="B631" s="2" t="s">
        <v>19</v>
      </c>
      <c r="C631" s="2" t="s">
        <v>16</v>
      </c>
      <c r="D631" s="2">
        <v>46</v>
      </c>
      <c r="E631" s="3">
        <v>-2940866.1</v>
      </c>
      <c r="F631" s="2" t="s">
        <v>17</v>
      </c>
      <c r="G631" s="2" t="s">
        <v>18</v>
      </c>
    </row>
    <row r="632" spans="1:7">
      <c r="A632" s="2">
        <v>631</v>
      </c>
      <c r="B632" s="2" t="s">
        <v>88</v>
      </c>
      <c r="C632" s="2" t="s">
        <v>16</v>
      </c>
      <c r="D632" s="2">
        <v>18</v>
      </c>
      <c r="E632" s="3">
        <v>-2945658.4</v>
      </c>
      <c r="F632" s="2" t="s">
        <v>17</v>
      </c>
      <c r="G632" s="2" t="s">
        <v>29</v>
      </c>
    </row>
    <row r="633" spans="1:7">
      <c r="A633" s="2">
        <v>632</v>
      </c>
      <c r="B633" s="2" t="s">
        <v>67</v>
      </c>
      <c r="C633" s="2" t="s">
        <v>12</v>
      </c>
      <c r="D633" s="2">
        <v>6</v>
      </c>
      <c r="E633" s="3">
        <v>-2950450.7</v>
      </c>
      <c r="F633" s="2" t="s">
        <v>13</v>
      </c>
      <c r="G633" s="2" t="s">
        <v>26</v>
      </c>
    </row>
    <row r="634" spans="1:7">
      <c r="A634" s="2">
        <v>633</v>
      </c>
      <c r="B634" s="2" t="s">
        <v>69</v>
      </c>
      <c r="C634" s="2" t="s">
        <v>8</v>
      </c>
      <c r="D634" s="2">
        <v>3</v>
      </c>
      <c r="E634" s="3">
        <v>-2955243</v>
      </c>
      <c r="F634" s="2" t="s">
        <v>13</v>
      </c>
      <c r="G634" s="2" t="s">
        <v>18</v>
      </c>
    </row>
    <row r="635" spans="1:7">
      <c r="A635" s="2">
        <v>634</v>
      </c>
      <c r="B635" s="2" t="s">
        <v>34</v>
      </c>
      <c r="C635" s="2" t="s">
        <v>8</v>
      </c>
      <c r="D635" s="2">
        <v>15</v>
      </c>
      <c r="E635" s="3">
        <v>-2960035.3</v>
      </c>
      <c r="F635" s="2" t="s">
        <v>20</v>
      </c>
      <c r="G635" s="2" t="s">
        <v>18</v>
      </c>
    </row>
    <row r="636" spans="1:7">
      <c r="A636" s="2">
        <v>635</v>
      </c>
      <c r="B636" s="2" t="s">
        <v>49</v>
      </c>
      <c r="C636" s="2" t="s">
        <v>22</v>
      </c>
      <c r="D636" s="2">
        <v>34</v>
      </c>
      <c r="E636" s="3">
        <v>-2964827.6</v>
      </c>
      <c r="F636" s="2" t="s">
        <v>32</v>
      </c>
      <c r="G636" s="2" t="s">
        <v>29</v>
      </c>
    </row>
    <row r="637" spans="1:7">
      <c r="A637" s="2">
        <v>636</v>
      </c>
      <c r="B637" s="2" t="s">
        <v>79</v>
      </c>
      <c r="C637" s="2" t="s">
        <v>16</v>
      </c>
      <c r="D637" s="2">
        <v>27</v>
      </c>
      <c r="E637" s="3">
        <v>-2969619.9</v>
      </c>
      <c r="F637" s="2" t="s">
        <v>38</v>
      </c>
      <c r="G637" s="2" t="s">
        <v>14</v>
      </c>
    </row>
    <row r="638" spans="1:7">
      <c r="A638" s="2">
        <v>637</v>
      </c>
      <c r="B638" s="2" t="s">
        <v>55</v>
      </c>
      <c r="C638" s="2" t="s">
        <v>12</v>
      </c>
      <c r="D638" s="2">
        <v>45</v>
      </c>
      <c r="E638" s="3">
        <v>-2974412.2</v>
      </c>
      <c r="F638" s="2" t="s">
        <v>13</v>
      </c>
      <c r="G638" s="2" t="s">
        <v>14</v>
      </c>
    </row>
    <row r="639" spans="1:7">
      <c r="A639" s="2">
        <v>638</v>
      </c>
      <c r="B639" s="2" t="s">
        <v>27</v>
      </c>
      <c r="C639" s="2" t="s">
        <v>12</v>
      </c>
      <c r="D639" s="2">
        <v>24</v>
      </c>
      <c r="E639" s="3">
        <v>-2979204.5</v>
      </c>
      <c r="F639" s="2" t="s">
        <v>38</v>
      </c>
      <c r="G639" s="2" t="s">
        <v>23</v>
      </c>
    </row>
    <row r="640" spans="1:7">
      <c r="A640" s="2">
        <v>639</v>
      </c>
      <c r="B640" s="2" t="s">
        <v>88</v>
      </c>
      <c r="C640" s="2" t="s">
        <v>22</v>
      </c>
      <c r="D640" s="2">
        <v>30</v>
      </c>
      <c r="E640" s="3">
        <v>-2983996.8</v>
      </c>
      <c r="F640" s="2" t="s">
        <v>28</v>
      </c>
      <c r="G640" s="2" t="s">
        <v>14</v>
      </c>
    </row>
    <row r="641" spans="1:7">
      <c r="A641" s="2">
        <v>640</v>
      </c>
      <c r="B641" s="2" t="s">
        <v>36</v>
      </c>
      <c r="C641" s="2" t="s">
        <v>8</v>
      </c>
      <c r="D641" s="2">
        <v>48</v>
      </c>
      <c r="E641" s="3">
        <v>-2988789.1</v>
      </c>
      <c r="F641" s="2" t="s">
        <v>38</v>
      </c>
      <c r="G641" s="2" t="s">
        <v>14</v>
      </c>
    </row>
    <row r="642" spans="1:7">
      <c r="A642" s="2">
        <v>641</v>
      </c>
      <c r="B642" s="2" t="s">
        <v>75</v>
      </c>
      <c r="C642" s="2" t="s">
        <v>12</v>
      </c>
      <c r="D642" s="2">
        <v>6</v>
      </c>
      <c r="E642" s="3">
        <v>-2993581.4</v>
      </c>
      <c r="F642" s="2" t="s">
        <v>17</v>
      </c>
      <c r="G642" s="2" t="s">
        <v>23</v>
      </c>
    </row>
    <row r="643" spans="1:7">
      <c r="A643" s="2">
        <v>642</v>
      </c>
      <c r="B643" s="2" t="s">
        <v>11</v>
      </c>
      <c r="C643" s="2" t="s">
        <v>8</v>
      </c>
      <c r="D643" s="2">
        <v>38</v>
      </c>
      <c r="E643" s="3">
        <v>-2998373.7</v>
      </c>
      <c r="F643" s="2" t="s">
        <v>25</v>
      </c>
      <c r="G643" s="2" t="s">
        <v>26</v>
      </c>
    </row>
    <row r="644" spans="1:7">
      <c r="A644" s="2">
        <v>643</v>
      </c>
      <c r="B644" s="2" t="s">
        <v>69</v>
      </c>
      <c r="C644" s="2" t="s">
        <v>12</v>
      </c>
      <c r="D644" s="2">
        <v>7</v>
      </c>
      <c r="E644" s="3">
        <v>-3003166</v>
      </c>
      <c r="F644" s="2" t="s">
        <v>17</v>
      </c>
      <c r="G644" s="2" t="s">
        <v>29</v>
      </c>
    </row>
    <row r="645" spans="1:7">
      <c r="A645" s="2">
        <v>644</v>
      </c>
      <c r="B645" s="2" t="s">
        <v>80</v>
      </c>
      <c r="C645" s="2" t="s">
        <v>12</v>
      </c>
      <c r="D645" s="2">
        <v>33</v>
      </c>
      <c r="E645" s="3">
        <v>-3007958.3</v>
      </c>
      <c r="F645" s="2" t="s">
        <v>32</v>
      </c>
      <c r="G645" s="2" t="s">
        <v>23</v>
      </c>
    </row>
    <row r="646" spans="1:7">
      <c r="A646" s="2">
        <v>645</v>
      </c>
      <c r="B646" s="2" t="s">
        <v>58</v>
      </c>
      <c r="C646" s="2" t="s">
        <v>16</v>
      </c>
      <c r="D646" s="2">
        <v>9</v>
      </c>
      <c r="E646" s="3">
        <v>-3012750.6</v>
      </c>
      <c r="F646" s="2" t="s">
        <v>25</v>
      </c>
      <c r="G646" s="2" t="s">
        <v>26</v>
      </c>
    </row>
    <row r="647" spans="1:7">
      <c r="A647" s="2">
        <v>646</v>
      </c>
      <c r="B647" s="2" t="s">
        <v>36</v>
      </c>
      <c r="C647" s="2" t="s">
        <v>8</v>
      </c>
      <c r="D647" s="2">
        <v>41</v>
      </c>
      <c r="E647" s="3">
        <v>-3017542.9</v>
      </c>
      <c r="F647" s="2" t="s">
        <v>38</v>
      </c>
      <c r="G647" s="2" t="s">
        <v>14</v>
      </c>
    </row>
    <row r="648" spans="1:7">
      <c r="A648" s="2">
        <v>647</v>
      </c>
      <c r="B648" s="2" t="s">
        <v>35</v>
      </c>
      <c r="C648" s="2" t="s">
        <v>12</v>
      </c>
      <c r="D648" s="2">
        <v>26</v>
      </c>
      <c r="E648" s="3">
        <v>-3022335.2</v>
      </c>
      <c r="F648" s="2" t="s">
        <v>13</v>
      </c>
      <c r="G648" s="2" t="s">
        <v>26</v>
      </c>
    </row>
    <row r="649" spans="1:7">
      <c r="A649" s="2">
        <v>648</v>
      </c>
      <c r="B649" s="2" t="s">
        <v>80</v>
      </c>
      <c r="C649" s="2" t="s">
        <v>16</v>
      </c>
      <c r="D649" s="2">
        <v>5</v>
      </c>
      <c r="E649" s="3">
        <v>-3027127.5</v>
      </c>
      <c r="F649" s="2" t="s">
        <v>9</v>
      </c>
      <c r="G649" s="2" t="s">
        <v>14</v>
      </c>
    </row>
    <row r="650" spans="1:7">
      <c r="A650" s="2">
        <v>649</v>
      </c>
      <c r="B650" s="2" t="s">
        <v>80</v>
      </c>
      <c r="C650" s="2" t="s">
        <v>12</v>
      </c>
      <c r="D650" s="2">
        <v>38</v>
      </c>
      <c r="E650" s="3">
        <v>-3031919.8</v>
      </c>
      <c r="F650" s="2" t="s">
        <v>20</v>
      </c>
      <c r="G650" s="2" t="s">
        <v>14</v>
      </c>
    </row>
    <row r="651" spans="1:7">
      <c r="A651" s="2">
        <v>650</v>
      </c>
      <c r="B651" s="2" t="s">
        <v>45</v>
      </c>
      <c r="C651" s="2" t="s">
        <v>16</v>
      </c>
      <c r="D651" s="2">
        <v>37</v>
      </c>
      <c r="E651" s="3">
        <v>-3036712.1</v>
      </c>
      <c r="F651" s="2" t="s">
        <v>32</v>
      </c>
      <c r="G651" s="2" t="s">
        <v>23</v>
      </c>
    </row>
    <row r="652" spans="1:7">
      <c r="A652" s="2">
        <v>651</v>
      </c>
      <c r="B652" s="2" t="s">
        <v>90</v>
      </c>
      <c r="C652" s="2" t="s">
        <v>16</v>
      </c>
      <c r="D652" s="2">
        <v>4</v>
      </c>
      <c r="E652" s="3">
        <v>-3041504.4</v>
      </c>
      <c r="F652" s="2" t="s">
        <v>13</v>
      </c>
      <c r="G652" s="2" t="s">
        <v>29</v>
      </c>
    </row>
    <row r="653" spans="1:7">
      <c r="A653" s="2">
        <v>652</v>
      </c>
      <c r="B653" s="2" t="s">
        <v>91</v>
      </c>
      <c r="C653" s="2" t="s">
        <v>8</v>
      </c>
      <c r="D653" s="2">
        <v>28</v>
      </c>
      <c r="E653" s="3">
        <v>-3046296.7</v>
      </c>
      <c r="F653" s="2" t="s">
        <v>28</v>
      </c>
      <c r="G653" s="2" t="s">
        <v>10</v>
      </c>
    </row>
    <row r="654" spans="1:7">
      <c r="A654" s="2">
        <v>653</v>
      </c>
      <c r="B654" s="2" t="s">
        <v>19</v>
      </c>
      <c r="C654" s="2" t="s">
        <v>16</v>
      </c>
      <c r="D654" s="2">
        <v>43</v>
      </c>
      <c r="E654" s="3">
        <v>-3051089</v>
      </c>
      <c r="F654" s="2" t="s">
        <v>13</v>
      </c>
      <c r="G654" s="2" t="s">
        <v>26</v>
      </c>
    </row>
    <row r="655" spans="1:7">
      <c r="A655" s="2">
        <v>654</v>
      </c>
      <c r="B655" s="2" t="s">
        <v>91</v>
      </c>
      <c r="C655" s="2" t="s">
        <v>12</v>
      </c>
      <c r="D655" s="2">
        <v>9</v>
      </c>
      <c r="E655" s="3">
        <v>-3055881.3</v>
      </c>
      <c r="F655" s="2" t="s">
        <v>25</v>
      </c>
      <c r="G655" s="2" t="s">
        <v>26</v>
      </c>
    </row>
    <row r="656" spans="1:7">
      <c r="A656" s="2">
        <v>655</v>
      </c>
      <c r="B656" s="2" t="s">
        <v>73</v>
      </c>
      <c r="C656" s="2" t="s">
        <v>22</v>
      </c>
      <c r="D656" s="2">
        <v>16</v>
      </c>
      <c r="E656" s="3">
        <v>-3060673.6</v>
      </c>
      <c r="F656" s="2" t="s">
        <v>25</v>
      </c>
      <c r="G656" s="2" t="s">
        <v>23</v>
      </c>
    </row>
    <row r="657" spans="1:7">
      <c r="A657" s="2">
        <v>656</v>
      </c>
      <c r="B657" s="2" t="s">
        <v>7</v>
      </c>
      <c r="C657" s="2" t="s">
        <v>12</v>
      </c>
      <c r="D657" s="2">
        <v>19</v>
      </c>
      <c r="E657" s="3">
        <v>-3065465.9</v>
      </c>
      <c r="F657" s="2" t="s">
        <v>17</v>
      </c>
      <c r="G657" s="2" t="s">
        <v>29</v>
      </c>
    </row>
    <row r="658" spans="1:7">
      <c r="A658" s="2">
        <v>657</v>
      </c>
      <c r="B658" s="2" t="s">
        <v>90</v>
      </c>
      <c r="C658" s="2" t="s">
        <v>12</v>
      </c>
      <c r="D658" s="2">
        <v>17</v>
      </c>
      <c r="E658" s="3">
        <v>-3070258.2</v>
      </c>
      <c r="F658" s="2" t="s">
        <v>20</v>
      </c>
      <c r="G658" s="2" t="s">
        <v>14</v>
      </c>
    </row>
    <row r="659" spans="1:7">
      <c r="A659" s="2">
        <v>658</v>
      </c>
      <c r="B659" s="2" t="s">
        <v>37</v>
      </c>
      <c r="C659" s="2" t="s">
        <v>16</v>
      </c>
      <c r="D659" s="2">
        <v>21</v>
      </c>
      <c r="E659" s="3">
        <v>-3075050.5</v>
      </c>
      <c r="F659" s="2" t="s">
        <v>9</v>
      </c>
      <c r="G659" s="2" t="s">
        <v>26</v>
      </c>
    </row>
    <row r="660" spans="1:7">
      <c r="A660" s="2">
        <v>659</v>
      </c>
      <c r="B660" s="2" t="s">
        <v>94</v>
      </c>
      <c r="C660" s="2" t="s">
        <v>12</v>
      </c>
      <c r="D660" s="2">
        <v>26</v>
      </c>
      <c r="E660" s="3">
        <v>-3079842.8</v>
      </c>
      <c r="F660" s="2" t="s">
        <v>38</v>
      </c>
      <c r="G660" s="2" t="s">
        <v>29</v>
      </c>
    </row>
    <row r="661" spans="1:7">
      <c r="A661" s="2">
        <v>660</v>
      </c>
      <c r="B661" s="2" t="s">
        <v>49</v>
      </c>
      <c r="C661" s="2" t="s">
        <v>16</v>
      </c>
      <c r="D661" s="2">
        <v>45</v>
      </c>
      <c r="E661" s="3">
        <v>-3084635.1</v>
      </c>
      <c r="F661" s="2" t="s">
        <v>13</v>
      </c>
      <c r="G661" s="2" t="s">
        <v>18</v>
      </c>
    </row>
    <row r="662" spans="1:7">
      <c r="A662" s="2">
        <v>661</v>
      </c>
      <c r="B662" s="2" t="s">
        <v>48</v>
      </c>
      <c r="C662" s="2" t="s">
        <v>8</v>
      </c>
      <c r="D662" s="2">
        <v>48</v>
      </c>
      <c r="E662" s="3">
        <v>-3089427.4</v>
      </c>
      <c r="F662" s="2" t="s">
        <v>28</v>
      </c>
      <c r="G662" s="2" t="s">
        <v>18</v>
      </c>
    </row>
    <row r="663" spans="1:7">
      <c r="A663" s="2">
        <v>662</v>
      </c>
      <c r="B663" s="2" t="s">
        <v>72</v>
      </c>
      <c r="C663" s="2" t="s">
        <v>16</v>
      </c>
      <c r="D663" s="2">
        <v>21</v>
      </c>
      <c r="E663" s="3">
        <v>-3094219.7</v>
      </c>
      <c r="F663" s="2" t="s">
        <v>20</v>
      </c>
      <c r="G663" s="2" t="s">
        <v>10</v>
      </c>
    </row>
    <row r="664" spans="1:7">
      <c r="A664" s="2">
        <v>663</v>
      </c>
      <c r="B664" s="2" t="s">
        <v>71</v>
      </c>
      <c r="C664" s="2" t="s">
        <v>8</v>
      </c>
      <c r="D664" s="2">
        <v>21</v>
      </c>
      <c r="E664" s="3">
        <v>-3099012</v>
      </c>
      <c r="F664" s="2" t="s">
        <v>13</v>
      </c>
      <c r="G664" s="2" t="s">
        <v>26</v>
      </c>
    </row>
    <row r="665" spans="1:7">
      <c r="A665" s="2">
        <v>664</v>
      </c>
      <c r="B665" s="2" t="s">
        <v>33</v>
      </c>
      <c r="C665" s="2" t="s">
        <v>22</v>
      </c>
      <c r="D665" s="2">
        <v>29</v>
      </c>
      <c r="E665" s="3">
        <v>-3103804.3</v>
      </c>
      <c r="F665" s="2" t="s">
        <v>13</v>
      </c>
      <c r="G665" s="2" t="s">
        <v>14</v>
      </c>
    </row>
    <row r="666" spans="1:7">
      <c r="A666" s="2">
        <v>665</v>
      </c>
      <c r="B666" s="2" t="s">
        <v>58</v>
      </c>
      <c r="C666" s="2" t="s">
        <v>12</v>
      </c>
      <c r="D666" s="2">
        <v>18</v>
      </c>
      <c r="E666" s="3">
        <v>-3108596.6</v>
      </c>
      <c r="F666" s="2" t="s">
        <v>25</v>
      </c>
      <c r="G666" s="2" t="s">
        <v>26</v>
      </c>
    </row>
    <row r="667" spans="1:7">
      <c r="A667" s="2">
        <v>666</v>
      </c>
      <c r="B667" s="2" t="s">
        <v>68</v>
      </c>
      <c r="C667" s="2" t="s">
        <v>8</v>
      </c>
      <c r="D667" s="2">
        <v>15</v>
      </c>
      <c r="E667" s="3">
        <v>-3113388.9</v>
      </c>
      <c r="F667" s="2" t="s">
        <v>25</v>
      </c>
      <c r="G667" s="2" t="s">
        <v>10</v>
      </c>
    </row>
    <row r="668" spans="1:7">
      <c r="A668" s="2">
        <v>667</v>
      </c>
      <c r="B668" s="2" t="s">
        <v>70</v>
      </c>
      <c r="C668" s="2" t="s">
        <v>22</v>
      </c>
      <c r="D668" s="2">
        <v>5</v>
      </c>
      <c r="E668" s="3">
        <v>-3118181.2</v>
      </c>
      <c r="F668" s="2" t="s">
        <v>9</v>
      </c>
      <c r="G668" s="2" t="s">
        <v>18</v>
      </c>
    </row>
    <row r="669" spans="1:7">
      <c r="A669" s="2">
        <v>668</v>
      </c>
      <c r="B669" s="2" t="s">
        <v>27</v>
      </c>
      <c r="C669" s="2" t="s">
        <v>16</v>
      </c>
      <c r="D669" s="2">
        <v>13</v>
      </c>
      <c r="E669" s="3">
        <v>-3122973.5</v>
      </c>
      <c r="F669" s="2" t="s">
        <v>32</v>
      </c>
      <c r="G669" s="2" t="s">
        <v>10</v>
      </c>
    </row>
    <row r="670" spans="1:7">
      <c r="A670" s="2">
        <v>669</v>
      </c>
      <c r="B670" s="2" t="s">
        <v>33</v>
      </c>
      <c r="C670" s="2" t="s">
        <v>22</v>
      </c>
      <c r="D670" s="2">
        <v>9</v>
      </c>
      <c r="E670" s="3">
        <v>-3127765.8</v>
      </c>
      <c r="F670" s="2" t="s">
        <v>9</v>
      </c>
      <c r="G670" s="2" t="s">
        <v>26</v>
      </c>
    </row>
    <row r="671" spans="1:7">
      <c r="A671" s="2">
        <v>670</v>
      </c>
      <c r="B671" s="2" t="s">
        <v>35</v>
      </c>
      <c r="C671" s="2" t="s">
        <v>8</v>
      </c>
      <c r="D671" s="2">
        <v>50</v>
      </c>
      <c r="E671" s="3">
        <v>-3132558.1</v>
      </c>
      <c r="F671" s="2" t="s">
        <v>13</v>
      </c>
      <c r="G671" s="2" t="s">
        <v>26</v>
      </c>
    </row>
    <row r="672" spans="1:7">
      <c r="A672" s="2">
        <v>671</v>
      </c>
      <c r="B672" s="2" t="s">
        <v>70</v>
      </c>
      <c r="C672" s="2" t="s">
        <v>12</v>
      </c>
      <c r="D672" s="2">
        <v>50</v>
      </c>
      <c r="E672" s="3">
        <v>-3137350.4</v>
      </c>
      <c r="F672" s="2" t="s">
        <v>32</v>
      </c>
      <c r="G672" s="2" t="s">
        <v>18</v>
      </c>
    </row>
    <row r="673" spans="1:7">
      <c r="A673" s="2">
        <v>672</v>
      </c>
      <c r="B673" s="2" t="s">
        <v>54</v>
      </c>
      <c r="C673" s="2" t="s">
        <v>22</v>
      </c>
      <c r="D673" s="2">
        <v>38</v>
      </c>
      <c r="E673" s="3">
        <v>-3142142.7</v>
      </c>
      <c r="F673" s="2" t="s">
        <v>32</v>
      </c>
      <c r="G673" s="2" t="s">
        <v>18</v>
      </c>
    </row>
    <row r="674" spans="1:7">
      <c r="A674" s="2">
        <v>673</v>
      </c>
      <c r="B674" s="2" t="s">
        <v>74</v>
      </c>
      <c r="C674" s="2" t="s">
        <v>22</v>
      </c>
      <c r="D674" s="2">
        <v>7</v>
      </c>
      <c r="E674" s="3">
        <v>-3146935</v>
      </c>
      <c r="F674" s="2" t="s">
        <v>32</v>
      </c>
      <c r="G674" s="2" t="s">
        <v>29</v>
      </c>
    </row>
    <row r="675" spans="1:7">
      <c r="A675" s="2">
        <v>674</v>
      </c>
      <c r="B675" s="2" t="s">
        <v>47</v>
      </c>
      <c r="C675" s="2" t="s">
        <v>16</v>
      </c>
      <c r="D675" s="2">
        <v>10</v>
      </c>
      <c r="E675" s="3">
        <v>-3151727.3</v>
      </c>
      <c r="F675" s="2" t="s">
        <v>20</v>
      </c>
      <c r="G675" s="2" t="s">
        <v>14</v>
      </c>
    </row>
    <row r="676" spans="1:7">
      <c r="A676" s="2">
        <v>675</v>
      </c>
      <c r="B676" s="2" t="s">
        <v>37</v>
      </c>
      <c r="C676" s="2" t="s">
        <v>16</v>
      </c>
      <c r="D676" s="2">
        <v>7</v>
      </c>
      <c r="E676" s="3">
        <v>-3156519.6</v>
      </c>
      <c r="F676" s="2" t="s">
        <v>28</v>
      </c>
      <c r="G676" s="2" t="s">
        <v>18</v>
      </c>
    </row>
    <row r="677" spans="1:7">
      <c r="A677" s="2">
        <v>676</v>
      </c>
      <c r="B677" s="2" t="s">
        <v>65</v>
      </c>
      <c r="C677" s="2" t="s">
        <v>12</v>
      </c>
      <c r="D677" s="2">
        <v>11</v>
      </c>
      <c r="E677" s="3">
        <v>-3161311.9</v>
      </c>
      <c r="F677" s="2" t="s">
        <v>13</v>
      </c>
      <c r="G677" s="2" t="s">
        <v>14</v>
      </c>
    </row>
    <row r="678" spans="1:7">
      <c r="A678" s="2">
        <v>677</v>
      </c>
      <c r="B678" s="2" t="s">
        <v>71</v>
      </c>
      <c r="C678" s="2" t="s">
        <v>16</v>
      </c>
      <c r="D678" s="2">
        <v>29</v>
      </c>
      <c r="E678" s="3">
        <v>-3166104.2</v>
      </c>
      <c r="F678" s="2" t="s">
        <v>17</v>
      </c>
      <c r="G678" s="2" t="s">
        <v>10</v>
      </c>
    </row>
    <row r="679" spans="1:7">
      <c r="A679" s="2">
        <v>678</v>
      </c>
      <c r="B679" s="2" t="s">
        <v>19</v>
      </c>
      <c r="C679" s="2" t="s">
        <v>8</v>
      </c>
      <c r="D679" s="2">
        <v>30</v>
      </c>
      <c r="E679" s="3">
        <v>-3170896.5</v>
      </c>
      <c r="F679" s="2" t="s">
        <v>20</v>
      </c>
      <c r="G679" s="2" t="s">
        <v>10</v>
      </c>
    </row>
    <row r="680" spans="1:7">
      <c r="A680" s="2">
        <v>679</v>
      </c>
      <c r="B680" s="2" t="s">
        <v>27</v>
      </c>
      <c r="C680" s="2" t="s">
        <v>8</v>
      </c>
      <c r="D680" s="2">
        <v>21</v>
      </c>
      <c r="E680" s="3">
        <v>-3175688.8</v>
      </c>
      <c r="F680" s="2" t="s">
        <v>20</v>
      </c>
      <c r="G680" s="2" t="s">
        <v>18</v>
      </c>
    </row>
    <row r="681" spans="1:7">
      <c r="A681" s="2">
        <v>680</v>
      </c>
      <c r="B681" s="2" t="s">
        <v>49</v>
      </c>
      <c r="C681" s="2" t="s">
        <v>22</v>
      </c>
      <c r="D681" s="2">
        <v>27</v>
      </c>
      <c r="E681" s="3">
        <v>-3180481.1</v>
      </c>
      <c r="F681" s="2" t="s">
        <v>13</v>
      </c>
      <c r="G681" s="2" t="s">
        <v>14</v>
      </c>
    </row>
    <row r="682" spans="1:7">
      <c r="A682" s="2">
        <v>681</v>
      </c>
      <c r="B682" s="2" t="s">
        <v>71</v>
      </c>
      <c r="C682" s="2" t="s">
        <v>16</v>
      </c>
      <c r="D682" s="2">
        <v>8</v>
      </c>
      <c r="E682" s="3">
        <v>-3185273.4</v>
      </c>
      <c r="F682" s="2" t="s">
        <v>13</v>
      </c>
      <c r="G682" s="2" t="s">
        <v>18</v>
      </c>
    </row>
    <row r="683" spans="1:7">
      <c r="A683" s="2">
        <v>682</v>
      </c>
      <c r="B683" s="2" t="s">
        <v>65</v>
      </c>
      <c r="C683" s="2" t="s">
        <v>16</v>
      </c>
      <c r="D683" s="2">
        <v>35</v>
      </c>
      <c r="E683" s="3">
        <v>-3190065.7</v>
      </c>
      <c r="F683" s="2" t="s">
        <v>17</v>
      </c>
      <c r="G683" s="2" t="s">
        <v>18</v>
      </c>
    </row>
    <row r="684" spans="1:7">
      <c r="A684" s="2">
        <v>683</v>
      </c>
      <c r="B684" s="2" t="s">
        <v>71</v>
      </c>
      <c r="C684" s="2" t="s">
        <v>22</v>
      </c>
      <c r="D684" s="2">
        <v>23</v>
      </c>
      <c r="E684" s="3">
        <v>-3194858</v>
      </c>
      <c r="F684" s="2" t="s">
        <v>17</v>
      </c>
      <c r="G684" s="2" t="s">
        <v>29</v>
      </c>
    </row>
    <row r="685" spans="1:7">
      <c r="A685" s="2">
        <v>684</v>
      </c>
      <c r="B685" s="2" t="s">
        <v>85</v>
      </c>
      <c r="C685" s="2" t="s">
        <v>12</v>
      </c>
      <c r="D685" s="2">
        <v>50</v>
      </c>
      <c r="E685" s="3">
        <v>-3199650.3</v>
      </c>
      <c r="F685" s="2" t="s">
        <v>32</v>
      </c>
      <c r="G685" s="2" t="s">
        <v>10</v>
      </c>
    </row>
    <row r="686" spans="1:7">
      <c r="A686" s="2">
        <v>685</v>
      </c>
      <c r="B686" s="2" t="s">
        <v>53</v>
      </c>
      <c r="C686" s="2" t="s">
        <v>16</v>
      </c>
      <c r="D686" s="2">
        <v>14</v>
      </c>
      <c r="E686" s="3">
        <v>-3204442.6</v>
      </c>
      <c r="F686" s="2" t="s">
        <v>17</v>
      </c>
      <c r="G686" s="2" t="s">
        <v>14</v>
      </c>
    </row>
    <row r="687" spans="1:7">
      <c r="A687" s="2">
        <v>686</v>
      </c>
      <c r="B687" s="2" t="s">
        <v>61</v>
      </c>
      <c r="C687" s="2" t="s">
        <v>16</v>
      </c>
      <c r="D687" s="2">
        <v>29</v>
      </c>
      <c r="E687" s="3">
        <v>-3209234.9</v>
      </c>
      <c r="F687" s="2" t="s">
        <v>17</v>
      </c>
      <c r="G687" s="2" t="s">
        <v>10</v>
      </c>
    </row>
    <row r="688" spans="1:7">
      <c r="A688" s="2">
        <v>687</v>
      </c>
      <c r="B688" s="2" t="s">
        <v>59</v>
      </c>
      <c r="C688" s="2" t="s">
        <v>12</v>
      </c>
      <c r="D688" s="2">
        <v>20</v>
      </c>
      <c r="E688" s="3">
        <v>-3214027.2</v>
      </c>
      <c r="F688" s="2" t="s">
        <v>38</v>
      </c>
      <c r="G688" s="2" t="s">
        <v>29</v>
      </c>
    </row>
    <row r="689" spans="1:7">
      <c r="A689" s="2">
        <v>688</v>
      </c>
      <c r="B689" s="2" t="s">
        <v>48</v>
      </c>
      <c r="C689" s="2" t="s">
        <v>16</v>
      </c>
      <c r="D689" s="2">
        <v>30</v>
      </c>
      <c r="E689" s="3">
        <v>-3218819.5</v>
      </c>
      <c r="F689" s="2" t="s">
        <v>28</v>
      </c>
      <c r="G689" s="2" t="s">
        <v>23</v>
      </c>
    </row>
    <row r="690" spans="1:7">
      <c r="A690" s="2">
        <v>689</v>
      </c>
      <c r="B690" s="2" t="s">
        <v>60</v>
      </c>
      <c r="C690" s="2" t="s">
        <v>8</v>
      </c>
      <c r="D690" s="2">
        <v>17</v>
      </c>
      <c r="E690" s="3">
        <v>-3223611.8</v>
      </c>
      <c r="F690" s="2" t="s">
        <v>25</v>
      </c>
      <c r="G690" s="2" t="s">
        <v>10</v>
      </c>
    </row>
    <row r="691" spans="1:7">
      <c r="A691" s="2">
        <v>690</v>
      </c>
      <c r="B691" s="2" t="s">
        <v>30</v>
      </c>
      <c r="C691" s="2" t="s">
        <v>8</v>
      </c>
      <c r="D691" s="2">
        <v>8</v>
      </c>
      <c r="E691" s="3">
        <v>-3228404.1</v>
      </c>
      <c r="F691" s="2" t="s">
        <v>17</v>
      </c>
      <c r="G691" s="2" t="s">
        <v>29</v>
      </c>
    </row>
    <row r="692" spans="1:7">
      <c r="A692" s="2">
        <v>691</v>
      </c>
      <c r="B692" s="2" t="s">
        <v>52</v>
      </c>
      <c r="C692" s="2" t="s">
        <v>12</v>
      </c>
      <c r="D692" s="2">
        <v>6</v>
      </c>
      <c r="E692" s="3">
        <v>-3233196.4</v>
      </c>
      <c r="F692" s="2" t="s">
        <v>9</v>
      </c>
      <c r="G692" s="2" t="s">
        <v>26</v>
      </c>
    </row>
    <row r="693" spans="1:7">
      <c r="A693" s="2">
        <v>692</v>
      </c>
      <c r="B693" s="2" t="s">
        <v>11</v>
      </c>
      <c r="C693" s="2" t="s">
        <v>12</v>
      </c>
      <c r="D693" s="2">
        <v>11</v>
      </c>
      <c r="E693" s="3">
        <v>-3237988.7</v>
      </c>
      <c r="F693" s="2" t="s">
        <v>25</v>
      </c>
      <c r="G693" s="2" t="s">
        <v>10</v>
      </c>
    </row>
    <row r="694" spans="1:7">
      <c r="A694" s="2">
        <v>693</v>
      </c>
      <c r="B694" s="2" t="s">
        <v>34</v>
      </c>
      <c r="C694" s="2" t="s">
        <v>8</v>
      </c>
      <c r="D694" s="2">
        <v>44</v>
      </c>
      <c r="E694" s="3">
        <v>-3242781</v>
      </c>
      <c r="F694" s="2" t="s">
        <v>9</v>
      </c>
      <c r="G694" s="2" t="s">
        <v>14</v>
      </c>
    </row>
    <row r="695" spans="1:7">
      <c r="A695" s="2">
        <v>694</v>
      </c>
      <c r="B695" s="2" t="s">
        <v>84</v>
      </c>
      <c r="C695" s="2" t="s">
        <v>8</v>
      </c>
      <c r="D695" s="2">
        <v>20</v>
      </c>
      <c r="E695" s="3">
        <v>-3247573.3</v>
      </c>
      <c r="F695" s="2" t="s">
        <v>38</v>
      </c>
      <c r="G695" s="2" t="s">
        <v>29</v>
      </c>
    </row>
    <row r="696" spans="1:7">
      <c r="A696" s="2">
        <v>695</v>
      </c>
      <c r="B696" s="2" t="s">
        <v>65</v>
      </c>
      <c r="C696" s="2" t="s">
        <v>8</v>
      </c>
      <c r="D696" s="2">
        <v>46</v>
      </c>
      <c r="E696" s="3">
        <v>-3252365.6</v>
      </c>
      <c r="F696" s="2" t="s">
        <v>32</v>
      </c>
      <c r="G696" s="2" t="s">
        <v>23</v>
      </c>
    </row>
    <row r="697" spans="1:7">
      <c r="A697" s="2">
        <v>696</v>
      </c>
      <c r="B697" s="2" t="s">
        <v>34</v>
      </c>
      <c r="C697" s="2" t="s">
        <v>8</v>
      </c>
      <c r="D697" s="2">
        <v>45</v>
      </c>
      <c r="E697" s="3">
        <v>-3257157.9</v>
      </c>
      <c r="F697" s="2" t="s">
        <v>32</v>
      </c>
      <c r="G697" s="2" t="s">
        <v>10</v>
      </c>
    </row>
    <row r="698" spans="1:7">
      <c r="A698" s="2">
        <v>697</v>
      </c>
      <c r="B698" s="2" t="s">
        <v>67</v>
      </c>
      <c r="C698" s="2" t="s">
        <v>12</v>
      </c>
      <c r="D698" s="2">
        <v>39</v>
      </c>
      <c r="E698" s="3">
        <v>-3261950.2</v>
      </c>
      <c r="F698" s="2" t="s">
        <v>17</v>
      </c>
      <c r="G698" s="2" t="s">
        <v>29</v>
      </c>
    </row>
    <row r="699" spans="1:7">
      <c r="A699" s="2">
        <v>698</v>
      </c>
      <c r="B699" s="2" t="s">
        <v>84</v>
      </c>
      <c r="C699" s="2" t="s">
        <v>12</v>
      </c>
      <c r="D699" s="2">
        <v>3</v>
      </c>
      <c r="E699" s="3">
        <v>-3266742.5</v>
      </c>
      <c r="F699" s="2" t="s">
        <v>25</v>
      </c>
      <c r="G699" s="2" t="s">
        <v>23</v>
      </c>
    </row>
    <row r="700" spans="1:7">
      <c r="A700" s="2">
        <v>699</v>
      </c>
      <c r="B700" s="2" t="s">
        <v>91</v>
      </c>
      <c r="C700" s="2" t="s">
        <v>22</v>
      </c>
      <c r="D700" s="2">
        <v>14</v>
      </c>
      <c r="E700" s="3">
        <v>-3271534.8</v>
      </c>
      <c r="F700" s="2" t="s">
        <v>20</v>
      </c>
      <c r="G700" s="2" t="s">
        <v>26</v>
      </c>
    </row>
    <row r="701" spans="1:7">
      <c r="A701" s="2">
        <v>700</v>
      </c>
      <c r="B701" s="2" t="s">
        <v>47</v>
      </c>
      <c r="C701" s="2" t="s">
        <v>12</v>
      </c>
      <c r="D701" s="2">
        <v>21</v>
      </c>
      <c r="E701" s="3">
        <v>-3276327.1</v>
      </c>
      <c r="F701" s="2" t="s">
        <v>20</v>
      </c>
      <c r="G701" s="2" t="s">
        <v>14</v>
      </c>
    </row>
    <row r="702" spans="1:7">
      <c r="A702" s="2">
        <v>701</v>
      </c>
      <c r="B702" s="2" t="s">
        <v>24</v>
      </c>
      <c r="C702" s="2" t="s">
        <v>8</v>
      </c>
      <c r="D702" s="2">
        <v>10</v>
      </c>
      <c r="E702" s="3">
        <v>-3281119.4</v>
      </c>
      <c r="F702" s="2" t="s">
        <v>38</v>
      </c>
      <c r="G702" s="2" t="s">
        <v>10</v>
      </c>
    </row>
    <row r="703" spans="1:7">
      <c r="A703" s="2">
        <v>702</v>
      </c>
      <c r="B703" s="2" t="s">
        <v>30</v>
      </c>
      <c r="C703" s="2" t="s">
        <v>16</v>
      </c>
      <c r="D703" s="2">
        <v>6</v>
      </c>
      <c r="E703" s="3">
        <v>-3285911.7</v>
      </c>
      <c r="F703" s="2" t="s">
        <v>32</v>
      </c>
      <c r="G703" s="2" t="s">
        <v>26</v>
      </c>
    </row>
    <row r="704" spans="1:7">
      <c r="A704" s="2">
        <v>703</v>
      </c>
      <c r="B704" s="2" t="s">
        <v>62</v>
      </c>
      <c r="C704" s="2" t="s">
        <v>8</v>
      </c>
      <c r="D704" s="2">
        <v>46</v>
      </c>
      <c r="E704" s="3">
        <v>-3290704</v>
      </c>
      <c r="F704" s="2" t="s">
        <v>25</v>
      </c>
      <c r="G704" s="2" t="s">
        <v>18</v>
      </c>
    </row>
    <row r="705" spans="1:7">
      <c r="A705" s="2">
        <v>704</v>
      </c>
      <c r="B705" s="2" t="s">
        <v>93</v>
      </c>
      <c r="C705" s="2" t="s">
        <v>8</v>
      </c>
      <c r="D705" s="2">
        <v>16</v>
      </c>
      <c r="E705" s="3">
        <v>-3295496.3</v>
      </c>
      <c r="F705" s="2" t="s">
        <v>28</v>
      </c>
      <c r="G705" s="2" t="s">
        <v>14</v>
      </c>
    </row>
    <row r="706" spans="1:7">
      <c r="A706" s="2">
        <v>705</v>
      </c>
      <c r="B706" s="2" t="s">
        <v>61</v>
      </c>
      <c r="C706" s="2" t="s">
        <v>12</v>
      </c>
      <c r="D706" s="2">
        <v>23</v>
      </c>
      <c r="E706" s="3">
        <v>-3300288.6</v>
      </c>
      <c r="F706" s="2" t="s">
        <v>38</v>
      </c>
      <c r="G706" s="2" t="s">
        <v>14</v>
      </c>
    </row>
    <row r="707" spans="1:7">
      <c r="A707" s="2">
        <v>706</v>
      </c>
      <c r="B707" s="2" t="s">
        <v>94</v>
      </c>
      <c r="C707" s="2" t="s">
        <v>22</v>
      </c>
      <c r="D707" s="2">
        <v>26</v>
      </c>
      <c r="E707" s="3">
        <v>-3305080.9</v>
      </c>
      <c r="F707" s="2" t="s">
        <v>17</v>
      </c>
      <c r="G707" s="2" t="s">
        <v>14</v>
      </c>
    </row>
    <row r="708" spans="1:7">
      <c r="A708" s="2">
        <v>707</v>
      </c>
      <c r="B708" s="2" t="s">
        <v>56</v>
      </c>
      <c r="C708" s="2" t="s">
        <v>16</v>
      </c>
      <c r="D708" s="2">
        <v>33</v>
      </c>
      <c r="E708" s="3">
        <v>-3309873.2</v>
      </c>
      <c r="F708" s="2" t="s">
        <v>20</v>
      </c>
      <c r="G708" s="2" t="s">
        <v>14</v>
      </c>
    </row>
    <row r="709" spans="1:7">
      <c r="A709" s="2">
        <v>708</v>
      </c>
      <c r="B709" s="2" t="s">
        <v>47</v>
      </c>
      <c r="C709" s="2" t="s">
        <v>16</v>
      </c>
      <c r="D709" s="2">
        <v>4</v>
      </c>
      <c r="E709" s="3">
        <v>-3314665.5</v>
      </c>
      <c r="F709" s="2" t="s">
        <v>28</v>
      </c>
      <c r="G709" s="2" t="s">
        <v>23</v>
      </c>
    </row>
    <row r="710" spans="1:7">
      <c r="A710" s="2">
        <v>709</v>
      </c>
      <c r="B710" s="2" t="s">
        <v>63</v>
      </c>
      <c r="C710" s="2" t="s">
        <v>22</v>
      </c>
      <c r="D710" s="2">
        <v>44</v>
      </c>
      <c r="E710" s="3">
        <v>-3319457.8</v>
      </c>
      <c r="F710" s="2" t="s">
        <v>9</v>
      </c>
      <c r="G710" s="2" t="s">
        <v>26</v>
      </c>
    </row>
    <row r="711" spans="1:7">
      <c r="A711" s="2">
        <v>710</v>
      </c>
      <c r="B711" s="2" t="s">
        <v>86</v>
      </c>
      <c r="C711" s="2" t="s">
        <v>8</v>
      </c>
      <c r="D711" s="2">
        <v>20</v>
      </c>
      <c r="E711" s="3">
        <v>-3324250.1</v>
      </c>
      <c r="F711" s="2" t="s">
        <v>9</v>
      </c>
      <c r="G711" s="2" t="s">
        <v>18</v>
      </c>
    </row>
    <row r="712" spans="1:7">
      <c r="A712" s="2">
        <v>711</v>
      </c>
      <c r="B712" s="2" t="s">
        <v>48</v>
      </c>
      <c r="C712" s="2" t="s">
        <v>12</v>
      </c>
      <c r="D712" s="2">
        <v>17</v>
      </c>
      <c r="E712" s="3">
        <v>-3329042.4</v>
      </c>
      <c r="F712" s="2" t="s">
        <v>38</v>
      </c>
      <c r="G712" s="2" t="s">
        <v>10</v>
      </c>
    </row>
    <row r="713" spans="1:7">
      <c r="A713" s="2">
        <v>712</v>
      </c>
      <c r="B713" s="2" t="s">
        <v>21</v>
      </c>
      <c r="C713" s="2" t="s">
        <v>8</v>
      </c>
      <c r="D713" s="2">
        <v>12</v>
      </c>
      <c r="E713" s="3">
        <v>-3333834.7</v>
      </c>
      <c r="F713" s="2" t="s">
        <v>17</v>
      </c>
      <c r="G713" s="2" t="s">
        <v>14</v>
      </c>
    </row>
    <row r="714" spans="1:7">
      <c r="A714" s="2">
        <v>713</v>
      </c>
      <c r="B714" s="2" t="s">
        <v>51</v>
      </c>
      <c r="C714" s="2" t="s">
        <v>16</v>
      </c>
      <c r="D714" s="2">
        <v>2</v>
      </c>
      <c r="E714" s="3">
        <v>-3338627</v>
      </c>
      <c r="F714" s="2" t="s">
        <v>32</v>
      </c>
      <c r="G714" s="2" t="s">
        <v>10</v>
      </c>
    </row>
    <row r="715" spans="1:7">
      <c r="A715" s="2">
        <v>714</v>
      </c>
      <c r="B715" s="2" t="s">
        <v>70</v>
      </c>
      <c r="C715" s="2" t="s">
        <v>16</v>
      </c>
      <c r="D715" s="2">
        <v>26</v>
      </c>
      <c r="E715" s="3">
        <v>-3343419.3</v>
      </c>
      <c r="F715" s="2" t="s">
        <v>32</v>
      </c>
      <c r="G715" s="2" t="s">
        <v>29</v>
      </c>
    </row>
    <row r="716" spans="1:7">
      <c r="A716" s="2">
        <v>715</v>
      </c>
      <c r="B716" s="2" t="s">
        <v>94</v>
      </c>
      <c r="C716" s="2" t="s">
        <v>8</v>
      </c>
      <c r="D716" s="2">
        <v>29</v>
      </c>
      <c r="E716" s="3">
        <v>-3348211.6</v>
      </c>
      <c r="F716" s="2" t="s">
        <v>32</v>
      </c>
      <c r="G716" s="2" t="s">
        <v>26</v>
      </c>
    </row>
    <row r="717" spans="1:7">
      <c r="A717" s="2">
        <v>716</v>
      </c>
      <c r="B717" s="2" t="s">
        <v>64</v>
      </c>
      <c r="C717" s="2" t="s">
        <v>16</v>
      </c>
      <c r="D717" s="2">
        <v>36</v>
      </c>
      <c r="E717" s="3">
        <v>-3353003.9</v>
      </c>
      <c r="F717" s="2" t="s">
        <v>28</v>
      </c>
      <c r="G717" s="2" t="s">
        <v>26</v>
      </c>
    </row>
    <row r="718" spans="1:7">
      <c r="A718" s="2">
        <v>717</v>
      </c>
      <c r="B718" s="2" t="s">
        <v>73</v>
      </c>
      <c r="C718" s="2" t="s">
        <v>12</v>
      </c>
      <c r="D718" s="2">
        <v>48</v>
      </c>
      <c r="E718" s="3">
        <v>-3357796.2</v>
      </c>
      <c r="F718" s="2" t="s">
        <v>9</v>
      </c>
      <c r="G718" s="2" t="s">
        <v>14</v>
      </c>
    </row>
    <row r="719" spans="1:7">
      <c r="A719" s="2">
        <v>718</v>
      </c>
      <c r="B719" s="2" t="s">
        <v>90</v>
      </c>
      <c r="C719" s="2" t="s">
        <v>16</v>
      </c>
      <c r="D719" s="2">
        <v>36</v>
      </c>
      <c r="E719" s="3">
        <v>-3362588.5</v>
      </c>
      <c r="F719" s="2" t="s">
        <v>25</v>
      </c>
      <c r="G719" s="2" t="s">
        <v>14</v>
      </c>
    </row>
    <row r="720" spans="1:7">
      <c r="A720" s="2">
        <v>719</v>
      </c>
      <c r="B720" s="2" t="s">
        <v>93</v>
      </c>
      <c r="C720" s="2" t="s">
        <v>12</v>
      </c>
      <c r="D720" s="2">
        <v>16</v>
      </c>
      <c r="E720" s="3">
        <v>-3367380.8</v>
      </c>
      <c r="F720" s="2" t="s">
        <v>38</v>
      </c>
      <c r="G720" s="2" t="s">
        <v>26</v>
      </c>
    </row>
    <row r="721" spans="1:7">
      <c r="A721" s="2">
        <v>720</v>
      </c>
      <c r="B721" s="2" t="s">
        <v>79</v>
      </c>
      <c r="C721" s="2" t="s">
        <v>8</v>
      </c>
      <c r="D721" s="2">
        <v>7</v>
      </c>
      <c r="E721" s="3">
        <v>-3372173.1</v>
      </c>
      <c r="F721" s="2" t="s">
        <v>13</v>
      </c>
      <c r="G721" s="2" t="s">
        <v>10</v>
      </c>
    </row>
    <row r="722" spans="1:7">
      <c r="A722" s="2">
        <v>721</v>
      </c>
      <c r="B722" s="2" t="s">
        <v>77</v>
      </c>
      <c r="C722" s="2" t="s">
        <v>8</v>
      </c>
      <c r="D722" s="2">
        <v>30</v>
      </c>
      <c r="E722" s="3">
        <v>-3376965.4</v>
      </c>
      <c r="F722" s="2" t="s">
        <v>38</v>
      </c>
      <c r="G722" s="2" t="s">
        <v>18</v>
      </c>
    </row>
    <row r="723" spans="1:7">
      <c r="A723" s="2">
        <v>722</v>
      </c>
      <c r="B723" s="2" t="s">
        <v>89</v>
      </c>
      <c r="C723" s="2" t="s">
        <v>12</v>
      </c>
      <c r="D723" s="2">
        <v>7</v>
      </c>
      <c r="E723" s="3">
        <v>-3381757.7</v>
      </c>
      <c r="F723" s="2" t="s">
        <v>28</v>
      </c>
      <c r="G723" s="2" t="s">
        <v>29</v>
      </c>
    </row>
    <row r="724" spans="1:7">
      <c r="A724" s="2">
        <v>723</v>
      </c>
      <c r="B724" s="2" t="s">
        <v>73</v>
      </c>
      <c r="C724" s="2" t="s">
        <v>12</v>
      </c>
      <c r="D724" s="2">
        <v>9</v>
      </c>
      <c r="E724" s="3">
        <v>-3386550</v>
      </c>
      <c r="F724" s="2" t="s">
        <v>25</v>
      </c>
      <c r="G724" s="2" t="s">
        <v>26</v>
      </c>
    </row>
    <row r="725" spans="1:7">
      <c r="A725" s="2">
        <v>724</v>
      </c>
      <c r="B725" s="2" t="s">
        <v>77</v>
      </c>
      <c r="C725" s="2" t="s">
        <v>12</v>
      </c>
      <c r="D725" s="2">
        <v>8</v>
      </c>
      <c r="E725" s="3">
        <v>-3391342.3</v>
      </c>
      <c r="F725" s="2" t="s">
        <v>38</v>
      </c>
      <c r="G725" s="2" t="s">
        <v>18</v>
      </c>
    </row>
    <row r="726" spans="1:7">
      <c r="A726" s="2">
        <v>725</v>
      </c>
      <c r="B726" s="2" t="s">
        <v>83</v>
      </c>
      <c r="C726" s="2" t="s">
        <v>16</v>
      </c>
      <c r="D726" s="2">
        <v>1</v>
      </c>
      <c r="E726" s="3">
        <v>-3396134.6</v>
      </c>
      <c r="F726" s="2" t="s">
        <v>28</v>
      </c>
      <c r="G726" s="2" t="s">
        <v>10</v>
      </c>
    </row>
    <row r="727" spans="1:7">
      <c r="A727" s="2">
        <v>726</v>
      </c>
      <c r="B727" s="2" t="s">
        <v>88</v>
      </c>
      <c r="C727" s="2" t="s">
        <v>8</v>
      </c>
      <c r="D727" s="2">
        <v>4</v>
      </c>
      <c r="E727" s="3">
        <v>-3400926.9</v>
      </c>
      <c r="F727" s="2" t="s">
        <v>32</v>
      </c>
      <c r="G727" s="2" t="s">
        <v>23</v>
      </c>
    </row>
    <row r="728" spans="1:7">
      <c r="A728" s="2">
        <v>727</v>
      </c>
      <c r="B728" s="2" t="s">
        <v>42</v>
      </c>
      <c r="C728" s="2" t="s">
        <v>16</v>
      </c>
      <c r="D728" s="2">
        <v>50</v>
      </c>
      <c r="E728" s="3">
        <v>-3405719.2</v>
      </c>
      <c r="F728" s="2" t="s">
        <v>28</v>
      </c>
      <c r="G728" s="2" t="s">
        <v>14</v>
      </c>
    </row>
    <row r="729" spans="1:7">
      <c r="A729" s="2">
        <v>728</v>
      </c>
      <c r="B729" s="2" t="s">
        <v>67</v>
      </c>
      <c r="C729" s="2" t="s">
        <v>16</v>
      </c>
      <c r="D729" s="2">
        <v>15</v>
      </c>
      <c r="E729" s="3">
        <v>-3410511.5</v>
      </c>
      <c r="F729" s="2" t="s">
        <v>38</v>
      </c>
      <c r="G729" s="2" t="s">
        <v>23</v>
      </c>
    </row>
    <row r="730" spans="1:7">
      <c r="A730" s="2">
        <v>729</v>
      </c>
      <c r="B730" s="2" t="s">
        <v>70</v>
      </c>
      <c r="C730" s="2" t="s">
        <v>12</v>
      </c>
      <c r="D730" s="2">
        <v>9</v>
      </c>
      <c r="E730" s="3">
        <v>-3415303.8</v>
      </c>
      <c r="F730" s="2" t="s">
        <v>9</v>
      </c>
      <c r="G730" s="2" t="s">
        <v>26</v>
      </c>
    </row>
    <row r="731" spans="1:7">
      <c r="A731" s="2">
        <v>730</v>
      </c>
      <c r="B731" s="2" t="s">
        <v>92</v>
      </c>
      <c r="C731" s="2" t="s">
        <v>16</v>
      </c>
      <c r="D731" s="2">
        <v>13</v>
      </c>
      <c r="E731" s="3">
        <v>-3420096.1</v>
      </c>
      <c r="F731" s="2" t="s">
        <v>38</v>
      </c>
      <c r="G731" s="2" t="s">
        <v>10</v>
      </c>
    </row>
    <row r="732" spans="1:7">
      <c r="A732" s="2">
        <v>731</v>
      </c>
      <c r="B732" s="2" t="s">
        <v>86</v>
      </c>
      <c r="C732" s="2" t="s">
        <v>22</v>
      </c>
      <c r="D732" s="2">
        <v>26</v>
      </c>
      <c r="E732" s="3">
        <v>-3424888.4</v>
      </c>
      <c r="F732" s="2" t="s">
        <v>20</v>
      </c>
      <c r="G732" s="2" t="s">
        <v>10</v>
      </c>
    </row>
    <row r="733" spans="1:7">
      <c r="A733" s="2">
        <v>732</v>
      </c>
      <c r="B733" s="2" t="s">
        <v>54</v>
      </c>
      <c r="C733" s="2" t="s">
        <v>22</v>
      </c>
      <c r="D733" s="2">
        <v>24</v>
      </c>
      <c r="E733" s="3">
        <v>-3429680.7</v>
      </c>
      <c r="F733" s="2" t="s">
        <v>13</v>
      </c>
      <c r="G733" s="2" t="s">
        <v>10</v>
      </c>
    </row>
    <row r="734" spans="1:7">
      <c r="A734" s="2">
        <v>733</v>
      </c>
      <c r="B734" s="2" t="s">
        <v>15</v>
      </c>
      <c r="C734" s="2" t="s">
        <v>22</v>
      </c>
      <c r="D734" s="2">
        <v>44</v>
      </c>
      <c r="E734" s="3">
        <v>-3434473</v>
      </c>
      <c r="F734" s="2" t="s">
        <v>28</v>
      </c>
      <c r="G734" s="2" t="s">
        <v>10</v>
      </c>
    </row>
    <row r="735" spans="1:7">
      <c r="A735" s="2">
        <v>734</v>
      </c>
      <c r="B735" s="2" t="s">
        <v>61</v>
      </c>
      <c r="C735" s="2" t="s">
        <v>22</v>
      </c>
      <c r="D735" s="2">
        <v>41</v>
      </c>
      <c r="E735" s="3">
        <v>-3439265.3</v>
      </c>
      <c r="F735" s="2" t="s">
        <v>17</v>
      </c>
      <c r="G735" s="2" t="s">
        <v>26</v>
      </c>
    </row>
    <row r="736" spans="1:7">
      <c r="A736" s="2">
        <v>735</v>
      </c>
      <c r="B736" s="2" t="s">
        <v>11</v>
      </c>
      <c r="C736" s="2" t="s">
        <v>22</v>
      </c>
      <c r="D736" s="2">
        <v>42</v>
      </c>
      <c r="E736" s="3">
        <v>-3444057.6</v>
      </c>
      <c r="F736" s="2" t="s">
        <v>20</v>
      </c>
      <c r="G736" s="2" t="s">
        <v>14</v>
      </c>
    </row>
    <row r="737" spans="1:7">
      <c r="A737" s="2">
        <v>736</v>
      </c>
      <c r="B737" s="2" t="s">
        <v>39</v>
      </c>
      <c r="C737" s="2" t="s">
        <v>12</v>
      </c>
      <c r="D737" s="2">
        <v>6</v>
      </c>
      <c r="E737" s="3">
        <v>-3448849.9</v>
      </c>
      <c r="F737" s="2" t="s">
        <v>38</v>
      </c>
      <c r="G737" s="2" t="s">
        <v>23</v>
      </c>
    </row>
    <row r="738" spans="1:7">
      <c r="A738" s="2">
        <v>737</v>
      </c>
      <c r="B738" s="2" t="s">
        <v>42</v>
      </c>
      <c r="C738" s="2" t="s">
        <v>16</v>
      </c>
      <c r="D738" s="2">
        <v>38</v>
      </c>
      <c r="E738" s="3">
        <v>-3453642.2</v>
      </c>
      <c r="F738" s="2" t="s">
        <v>28</v>
      </c>
      <c r="G738" s="2" t="s">
        <v>29</v>
      </c>
    </row>
    <row r="739" spans="1:7">
      <c r="A739" s="2">
        <v>738</v>
      </c>
      <c r="B739" s="2" t="s">
        <v>31</v>
      </c>
      <c r="C739" s="2" t="s">
        <v>16</v>
      </c>
      <c r="D739" s="2">
        <v>38</v>
      </c>
      <c r="E739" s="3">
        <v>-3458434.5</v>
      </c>
      <c r="F739" s="2" t="s">
        <v>13</v>
      </c>
      <c r="G739" s="2" t="s">
        <v>14</v>
      </c>
    </row>
    <row r="740" spans="1:7">
      <c r="A740" s="2">
        <v>739</v>
      </c>
      <c r="B740" s="2" t="s">
        <v>66</v>
      </c>
      <c r="C740" s="2" t="s">
        <v>22</v>
      </c>
      <c r="D740" s="2">
        <v>17</v>
      </c>
      <c r="E740" s="3">
        <v>-3463226.8</v>
      </c>
      <c r="F740" s="2" t="s">
        <v>32</v>
      </c>
      <c r="G740" s="2" t="s">
        <v>10</v>
      </c>
    </row>
    <row r="741" spans="1:7">
      <c r="A741" s="2">
        <v>740</v>
      </c>
      <c r="B741" s="2" t="s">
        <v>41</v>
      </c>
      <c r="C741" s="2" t="s">
        <v>16</v>
      </c>
      <c r="D741" s="2">
        <v>5</v>
      </c>
      <c r="E741" s="3">
        <v>-3468019.1</v>
      </c>
      <c r="F741" s="2" t="s">
        <v>13</v>
      </c>
      <c r="G741" s="2" t="s">
        <v>26</v>
      </c>
    </row>
    <row r="742" spans="1:7">
      <c r="A742" s="2">
        <v>741</v>
      </c>
      <c r="B742" s="2" t="s">
        <v>94</v>
      </c>
      <c r="C742" s="2" t="s">
        <v>22</v>
      </c>
      <c r="D742" s="2">
        <v>2</v>
      </c>
      <c r="E742" s="3">
        <v>-3472811.4</v>
      </c>
      <c r="F742" s="2" t="s">
        <v>20</v>
      </c>
      <c r="G742" s="2" t="s">
        <v>10</v>
      </c>
    </row>
    <row r="743" spans="1:7">
      <c r="A743" s="2">
        <v>742</v>
      </c>
      <c r="B743" s="2" t="s">
        <v>87</v>
      </c>
      <c r="C743" s="2" t="s">
        <v>16</v>
      </c>
      <c r="D743" s="2">
        <v>5</v>
      </c>
      <c r="E743" s="3">
        <v>-3477603.7</v>
      </c>
      <c r="F743" s="2" t="s">
        <v>17</v>
      </c>
      <c r="G743" s="2" t="s">
        <v>14</v>
      </c>
    </row>
    <row r="744" spans="1:7">
      <c r="A744" s="2">
        <v>743</v>
      </c>
      <c r="B744" s="2" t="s">
        <v>37</v>
      </c>
      <c r="C744" s="2" t="s">
        <v>12</v>
      </c>
      <c r="D744" s="2">
        <v>13</v>
      </c>
      <c r="E744" s="3">
        <v>-3482396</v>
      </c>
      <c r="F744" s="2" t="s">
        <v>9</v>
      </c>
      <c r="G744" s="2" t="s">
        <v>23</v>
      </c>
    </row>
    <row r="745" spans="1:7">
      <c r="A745" s="2">
        <v>744</v>
      </c>
      <c r="B745" s="2" t="s">
        <v>43</v>
      </c>
      <c r="C745" s="2" t="s">
        <v>8</v>
      </c>
      <c r="D745" s="2">
        <v>42</v>
      </c>
      <c r="E745" s="3">
        <v>-3487188.3</v>
      </c>
      <c r="F745" s="2" t="s">
        <v>20</v>
      </c>
      <c r="G745" s="2" t="s">
        <v>23</v>
      </c>
    </row>
    <row r="746" spans="1:7">
      <c r="A746" s="2">
        <v>745</v>
      </c>
      <c r="B746" s="2" t="s">
        <v>43</v>
      </c>
      <c r="C746" s="2" t="s">
        <v>22</v>
      </c>
      <c r="D746" s="2">
        <v>29</v>
      </c>
      <c r="E746" s="3">
        <v>-3491980.6</v>
      </c>
      <c r="F746" s="2" t="s">
        <v>25</v>
      </c>
      <c r="G746" s="2" t="s">
        <v>18</v>
      </c>
    </row>
    <row r="747" spans="1:7">
      <c r="A747" s="2">
        <v>746</v>
      </c>
      <c r="B747" s="2" t="s">
        <v>88</v>
      </c>
      <c r="C747" s="2" t="s">
        <v>12</v>
      </c>
      <c r="D747" s="2">
        <v>9</v>
      </c>
      <c r="E747" s="3">
        <v>-3496772.9</v>
      </c>
      <c r="F747" s="2" t="s">
        <v>32</v>
      </c>
      <c r="G747" s="2" t="s">
        <v>18</v>
      </c>
    </row>
    <row r="748" spans="1:7">
      <c r="A748" s="2">
        <v>747</v>
      </c>
      <c r="B748" s="2" t="s">
        <v>45</v>
      </c>
      <c r="C748" s="2" t="s">
        <v>12</v>
      </c>
      <c r="D748" s="2">
        <v>6</v>
      </c>
      <c r="E748" s="3">
        <v>-3501565.2</v>
      </c>
      <c r="F748" s="2" t="s">
        <v>9</v>
      </c>
      <c r="G748" s="2" t="s">
        <v>26</v>
      </c>
    </row>
    <row r="749" spans="1:7">
      <c r="A749" s="2">
        <v>748</v>
      </c>
      <c r="B749" s="2" t="s">
        <v>31</v>
      </c>
      <c r="C749" s="2" t="s">
        <v>22</v>
      </c>
      <c r="D749" s="2">
        <v>22</v>
      </c>
      <c r="E749" s="3">
        <v>-3506357.5</v>
      </c>
      <c r="F749" s="2" t="s">
        <v>38</v>
      </c>
      <c r="G749" s="2" t="s">
        <v>18</v>
      </c>
    </row>
    <row r="750" spans="1:7">
      <c r="A750" s="2">
        <v>749</v>
      </c>
      <c r="B750" s="2" t="s">
        <v>62</v>
      </c>
      <c r="C750" s="2" t="s">
        <v>22</v>
      </c>
      <c r="D750" s="2">
        <v>8</v>
      </c>
      <c r="E750" s="3">
        <v>-3511149.8</v>
      </c>
      <c r="F750" s="2" t="s">
        <v>38</v>
      </c>
      <c r="G750" s="2" t="s">
        <v>10</v>
      </c>
    </row>
    <row r="751" spans="1:7">
      <c r="A751" s="2">
        <v>750</v>
      </c>
      <c r="B751" s="2" t="s">
        <v>42</v>
      </c>
      <c r="C751" s="2" t="s">
        <v>12</v>
      </c>
      <c r="D751" s="2">
        <v>3</v>
      </c>
      <c r="E751" s="3">
        <v>-3515942.1</v>
      </c>
      <c r="F751" s="2" t="s">
        <v>32</v>
      </c>
      <c r="G751" s="2" t="s">
        <v>14</v>
      </c>
    </row>
    <row r="752" spans="1:7">
      <c r="A752" s="2">
        <v>751</v>
      </c>
      <c r="B752" s="2" t="s">
        <v>82</v>
      </c>
      <c r="C752" s="2" t="s">
        <v>22</v>
      </c>
      <c r="D752" s="2">
        <v>30</v>
      </c>
      <c r="E752" s="3">
        <v>-3520734.4</v>
      </c>
      <c r="F752" s="2" t="s">
        <v>28</v>
      </c>
      <c r="G752" s="2" t="s">
        <v>26</v>
      </c>
    </row>
    <row r="753" spans="1:7">
      <c r="A753" s="2">
        <v>752</v>
      </c>
      <c r="B753" s="2" t="s">
        <v>66</v>
      </c>
      <c r="C753" s="2" t="s">
        <v>22</v>
      </c>
      <c r="D753" s="2">
        <v>4</v>
      </c>
      <c r="E753" s="3">
        <v>-3525526.7</v>
      </c>
      <c r="F753" s="2" t="s">
        <v>17</v>
      </c>
      <c r="G753" s="2" t="s">
        <v>26</v>
      </c>
    </row>
    <row r="754" spans="1:7">
      <c r="A754" s="2">
        <v>753</v>
      </c>
      <c r="B754" s="2" t="s">
        <v>62</v>
      </c>
      <c r="C754" s="2" t="s">
        <v>8</v>
      </c>
      <c r="D754" s="2">
        <v>11</v>
      </c>
      <c r="E754" s="3">
        <v>-3530319</v>
      </c>
      <c r="F754" s="2" t="s">
        <v>9</v>
      </c>
      <c r="G754" s="2" t="s">
        <v>14</v>
      </c>
    </row>
    <row r="755" spans="1:7">
      <c r="A755" s="2">
        <v>754</v>
      </c>
      <c r="B755" s="2" t="s">
        <v>93</v>
      </c>
      <c r="C755" s="2" t="s">
        <v>8</v>
      </c>
      <c r="D755" s="2">
        <v>37</v>
      </c>
      <c r="E755" s="3">
        <v>-3535111.3</v>
      </c>
      <c r="F755" s="2" t="s">
        <v>13</v>
      </c>
      <c r="G755" s="2" t="s">
        <v>18</v>
      </c>
    </row>
    <row r="756" spans="1:7">
      <c r="A756" s="2">
        <v>755</v>
      </c>
      <c r="B756" s="2" t="s">
        <v>48</v>
      </c>
      <c r="C756" s="2" t="s">
        <v>22</v>
      </c>
      <c r="D756" s="2">
        <v>28</v>
      </c>
      <c r="E756" s="3">
        <v>-3539903.6</v>
      </c>
      <c r="F756" s="2" t="s">
        <v>25</v>
      </c>
      <c r="G756" s="2" t="s">
        <v>23</v>
      </c>
    </row>
    <row r="757" spans="1:7">
      <c r="A757" s="2">
        <v>756</v>
      </c>
      <c r="B757" s="2" t="s">
        <v>56</v>
      </c>
      <c r="C757" s="2" t="s">
        <v>12</v>
      </c>
      <c r="D757" s="2">
        <v>47</v>
      </c>
      <c r="E757" s="3">
        <v>-3544695.9</v>
      </c>
      <c r="F757" s="2" t="s">
        <v>38</v>
      </c>
      <c r="G757" s="2" t="s">
        <v>18</v>
      </c>
    </row>
    <row r="758" spans="1:7">
      <c r="A758" s="2">
        <v>757</v>
      </c>
      <c r="B758" s="2" t="s">
        <v>39</v>
      </c>
      <c r="C758" s="2" t="s">
        <v>16</v>
      </c>
      <c r="D758" s="2">
        <v>26</v>
      </c>
      <c r="E758" s="3">
        <v>-3549488.2</v>
      </c>
      <c r="F758" s="2" t="s">
        <v>17</v>
      </c>
      <c r="G758" s="2" t="s">
        <v>14</v>
      </c>
    </row>
    <row r="759" spans="1:7">
      <c r="A759" s="2">
        <v>758</v>
      </c>
      <c r="B759" s="2" t="s">
        <v>75</v>
      </c>
      <c r="C759" s="2" t="s">
        <v>22</v>
      </c>
      <c r="D759" s="2">
        <v>32</v>
      </c>
      <c r="E759" s="3">
        <v>-3554280.5</v>
      </c>
      <c r="F759" s="2" t="s">
        <v>17</v>
      </c>
      <c r="G759" s="2" t="s">
        <v>10</v>
      </c>
    </row>
    <row r="760" spans="1:7">
      <c r="A760" s="2">
        <v>759</v>
      </c>
      <c r="B760" s="2" t="s">
        <v>53</v>
      </c>
      <c r="C760" s="2" t="s">
        <v>22</v>
      </c>
      <c r="D760" s="2">
        <v>2</v>
      </c>
      <c r="E760" s="3">
        <v>-3559072.8</v>
      </c>
      <c r="F760" s="2" t="s">
        <v>17</v>
      </c>
      <c r="G760" s="2" t="s">
        <v>18</v>
      </c>
    </row>
    <row r="761" spans="1:7">
      <c r="A761" s="2">
        <v>760</v>
      </c>
      <c r="B761" s="2" t="s">
        <v>59</v>
      </c>
      <c r="C761" s="2" t="s">
        <v>16</v>
      </c>
      <c r="D761" s="2">
        <v>25</v>
      </c>
      <c r="E761" s="3">
        <v>-3563865.1</v>
      </c>
      <c r="F761" s="2" t="s">
        <v>28</v>
      </c>
      <c r="G761" s="2" t="s">
        <v>26</v>
      </c>
    </row>
    <row r="762" spans="1:7">
      <c r="A762" s="2">
        <v>761</v>
      </c>
      <c r="B762" s="2" t="s">
        <v>30</v>
      </c>
      <c r="C762" s="2" t="s">
        <v>16</v>
      </c>
      <c r="D762" s="2">
        <v>44</v>
      </c>
      <c r="E762" s="3">
        <v>-3568657.4</v>
      </c>
      <c r="F762" s="2" t="s">
        <v>32</v>
      </c>
      <c r="G762" s="2" t="s">
        <v>29</v>
      </c>
    </row>
    <row r="763" spans="1:7">
      <c r="A763" s="2">
        <v>762</v>
      </c>
      <c r="B763" s="2" t="s">
        <v>52</v>
      </c>
      <c r="C763" s="2" t="s">
        <v>16</v>
      </c>
      <c r="D763" s="2">
        <v>28</v>
      </c>
      <c r="E763" s="3">
        <v>-3573449.7</v>
      </c>
      <c r="F763" s="2" t="s">
        <v>28</v>
      </c>
      <c r="G763" s="2" t="s">
        <v>29</v>
      </c>
    </row>
    <row r="764" spans="1:7">
      <c r="A764" s="2">
        <v>763</v>
      </c>
      <c r="B764" s="2" t="s">
        <v>92</v>
      </c>
      <c r="C764" s="2" t="s">
        <v>8</v>
      </c>
      <c r="D764" s="2">
        <v>12</v>
      </c>
      <c r="E764" s="3">
        <v>-3578242</v>
      </c>
      <c r="F764" s="2" t="s">
        <v>38</v>
      </c>
      <c r="G764" s="2" t="s">
        <v>23</v>
      </c>
    </row>
    <row r="765" spans="1:7">
      <c r="A765" s="2">
        <v>764</v>
      </c>
      <c r="B765" s="2" t="s">
        <v>78</v>
      </c>
      <c r="C765" s="2" t="s">
        <v>8</v>
      </c>
      <c r="D765" s="2">
        <v>23</v>
      </c>
      <c r="E765" s="3">
        <v>-3583034.3</v>
      </c>
      <c r="F765" s="2" t="s">
        <v>28</v>
      </c>
      <c r="G765" s="2" t="s">
        <v>14</v>
      </c>
    </row>
    <row r="766" spans="1:7">
      <c r="A766" s="2">
        <v>765</v>
      </c>
      <c r="B766" s="2" t="s">
        <v>55</v>
      </c>
      <c r="C766" s="2" t="s">
        <v>8</v>
      </c>
      <c r="D766" s="2">
        <v>14</v>
      </c>
      <c r="E766" s="3">
        <v>-3587826.6</v>
      </c>
      <c r="F766" s="2" t="s">
        <v>13</v>
      </c>
      <c r="G766" s="2" t="s">
        <v>10</v>
      </c>
    </row>
    <row r="767" spans="1:7">
      <c r="A767" s="2">
        <v>766</v>
      </c>
      <c r="B767" s="2" t="s">
        <v>70</v>
      </c>
      <c r="C767" s="2" t="s">
        <v>12</v>
      </c>
      <c r="D767" s="2">
        <v>12</v>
      </c>
      <c r="E767" s="3">
        <v>-3592618.9</v>
      </c>
      <c r="F767" s="2" t="s">
        <v>38</v>
      </c>
      <c r="G767" s="2" t="s">
        <v>26</v>
      </c>
    </row>
    <row r="768" spans="1:7">
      <c r="A768" s="2">
        <v>767</v>
      </c>
      <c r="B768" s="2" t="s">
        <v>15</v>
      </c>
      <c r="C768" s="2" t="s">
        <v>22</v>
      </c>
      <c r="D768" s="2">
        <v>18</v>
      </c>
      <c r="E768" s="3">
        <v>-3597411.2</v>
      </c>
      <c r="F768" s="2" t="s">
        <v>28</v>
      </c>
      <c r="G768" s="2" t="s">
        <v>29</v>
      </c>
    </row>
    <row r="769" spans="1:7">
      <c r="A769" s="2">
        <v>768</v>
      </c>
      <c r="B769" s="2" t="s">
        <v>19</v>
      </c>
      <c r="C769" s="2" t="s">
        <v>8</v>
      </c>
      <c r="D769" s="2">
        <v>18</v>
      </c>
      <c r="E769" s="3">
        <v>-3602203.5</v>
      </c>
      <c r="F769" s="2" t="s">
        <v>32</v>
      </c>
      <c r="G769" s="2" t="s">
        <v>18</v>
      </c>
    </row>
    <row r="770" spans="1:7">
      <c r="A770" s="2">
        <v>769</v>
      </c>
      <c r="B770" s="2" t="s">
        <v>27</v>
      </c>
      <c r="C770" s="2" t="s">
        <v>12</v>
      </c>
      <c r="D770" s="2">
        <v>29</v>
      </c>
      <c r="E770" s="3">
        <v>-3606995.8</v>
      </c>
      <c r="F770" s="2" t="s">
        <v>25</v>
      </c>
      <c r="G770" s="2" t="s">
        <v>26</v>
      </c>
    </row>
    <row r="771" spans="1:7">
      <c r="A771" s="2">
        <v>770</v>
      </c>
      <c r="B771" s="2" t="s">
        <v>37</v>
      </c>
      <c r="C771" s="2" t="s">
        <v>12</v>
      </c>
      <c r="D771" s="2">
        <v>10</v>
      </c>
      <c r="E771" s="3">
        <v>-3611788.1</v>
      </c>
      <c r="F771" s="2" t="s">
        <v>17</v>
      </c>
      <c r="G771" s="2" t="s">
        <v>10</v>
      </c>
    </row>
    <row r="772" spans="1:7">
      <c r="A772" s="2">
        <v>771</v>
      </c>
      <c r="B772" s="2" t="s">
        <v>77</v>
      </c>
      <c r="C772" s="2" t="s">
        <v>16</v>
      </c>
      <c r="D772" s="2">
        <v>3</v>
      </c>
      <c r="E772" s="3">
        <v>-3616580.4</v>
      </c>
      <c r="F772" s="2" t="s">
        <v>13</v>
      </c>
      <c r="G772" s="2" t="s">
        <v>14</v>
      </c>
    </row>
    <row r="773" spans="1:7">
      <c r="A773" s="2">
        <v>772</v>
      </c>
      <c r="B773" s="2" t="s">
        <v>51</v>
      </c>
      <c r="C773" s="2" t="s">
        <v>16</v>
      </c>
      <c r="D773" s="2">
        <v>40</v>
      </c>
      <c r="E773" s="3">
        <v>-3621372.7</v>
      </c>
      <c r="F773" s="2" t="s">
        <v>25</v>
      </c>
      <c r="G773" s="2" t="s">
        <v>26</v>
      </c>
    </row>
    <row r="774" spans="1:7">
      <c r="A774" s="2">
        <v>773</v>
      </c>
      <c r="B774" s="2" t="s">
        <v>57</v>
      </c>
      <c r="C774" s="2" t="s">
        <v>8</v>
      </c>
      <c r="D774" s="2">
        <v>40</v>
      </c>
      <c r="E774" s="3">
        <v>-3626165</v>
      </c>
      <c r="F774" s="2" t="s">
        <v>20</v>
      </c>
      <c r="G774" s="2" t="s">
        <v>26</v>
      </c>
    </row>
    <row r="775" spans="1:7">
      <c r="A775" s="2">
        <v>774</v>
      </c>
      <c r="B775" s="2" t="s">
        <v>68</v>
      </c>
      <c r="C775" s="2" t="s">
        <v>22</v>
      </c>
      <c r="D775" s="2">
        <v>40</v>
      </c>
      <c r="E775" s="3">
        <v>-3630957.3</v>
      </c>
      <c r="F775" s="2" t="s">
        <v>13</v>
      </c>
      <c r="G775" s="2" t="s">
        <v>18</v>
      </c>
    </row>
    <row r="776" spans="1:7">
      <c r="A776" s="2">
        <v>775</v>
      </c>
      <c r="B776" s="2" t="s">
        <v>64</v>
      </c>
      <c r="C776" s="2" t="s">
        <v>22</v>
      </c>
      <c r="D776" s="2">
        <v>16</v>
      </c>
      <c r="E776" s="3">
        <v>-3635749.6</v>
      </c>
      <c r="F776" s="2" t="s">
        <v>32</v>
      </c>
      <c r="G776" s="2" t="s">
        <v>10</v>
      </c>
    </row>
    <row r="777" spans="1:7">
      <c r="A777" s="2">
        <v>776</v>
      </c>
      <c r="B777" s="2" t="s">
        <v>42</v>
      </c>
      <c r="C777" s="2" t="s">
        <v>22</v>
      </c>
      <c r="D777" s="2">
        <v>42</v>
      </c>
      <c r="E777" s="3">
        <v>-3640541.9</v>
      </c>
      <c r="F777" s="2" t="s">
        <v>13</v>
      </c>
      <c r="G777" s="2" t="s">
        <v>14</v>
      </c>
    </row>
    <row r="778" spans="1:7">
      <c r="A778" s="2">
        <v>777</v>
      </c>
      <c r="B778" s="2" t="s">
        <v>84</v>
      </c>
      <c r="C778" s="2" t="s">
        <v>12</v>
      </c>
      <c r="D778" s="2">
        <v>19</v>
      </c>
      <c r="E778" s="3">
        <v>-3645334.2</v>
      </c>
      <c r="F778" s="2" t="s">
        <v>32</v>
      </c>
      <c r="G778" s="2" t="s">
        <v>26</v>
      </c>
    </row>
    <row r="779" spans="1:7">
      <c r="A779" s="2">
        <v>778</v>
      </c>
      <c r="B779" s="2" t="s">
        <v>62</v>
      </c>
      <c r="C779" s="2" t="s">
        <v>12</v>
      </c>
      <c r="D779" s="2">
        <v>32</v>
      </c>
      <c r="E779" s="3">
        <v>-3650126.5</v>
      </c>
      <c r="F779" s="2" t="s">
        <v>25</v>
      </c>
      <c r="G779" s="2" t="s">
        <v>10</v>
      </c>
    </row>
    <row r="780" spans="1:7">
      <c r="A780" s="2">
        <v>779</v>
      </c>
      <c r="B780" s="2" t="s">
        <v>90</v>
      </c>
      <c r="C780" s="2" t="s">
        <v>12</v>
      </c>
      <c r="D780" s="2">
        <v>27</v>
      </c>
      <c r="E780" s="3">
        <v>-3654918.8</v>
      </c>
      <c r="F780" s="2" t="s">
        <v>13</v>
      </c>
      <c r="G780" s="2" t="s">
        <v>26</v>
      </c>
    </row>
    <row r="781" spans="1:7">
      <c r="A781" s="2">
        <v>780</v>
      </c>
      <c r="B781" s="2" t="s">
        <v>75</v>
      </c>
      <c r="C781" s="2" t="s">
        <v>12</v>
      </c>
      <c r="D781" s="2">
        <v>36</v>
      </c>
      <c r="E781" s="3">
        <v>-3659711.1</v>
      </c>
      <c r="F781" s="2" t="s">
        <v>28</v>
      </c>
      <c r="G781" s="2" t="s">
        <v>29</v>
      </c>
    </row>
    <row r="782" spans="1:7">
      <c r="A782" s="2">
        <v>781</v>
      </c>
      <c r="B782" s="2" t="s">
        <v>63</v>
      </c>
      <c r="C782" s="2" t="s">
        <v>22</v>
      </c>
      <c r="D782" s="2">
        <v>31</v>
      </c>
      <c r="E782" s="3">
        <v>-3664503.4</v>
      </c>
      <c r="F782" s="2" t="s">
        <v>17</v>
      </c>
      <c r="G782" s="2" t="s">
        <v>29</v>
      </c>
    </row>
    <row r="783" spans="1:7">
      <c r="A783" s="2">
        <v>782</v>
      </c>
      <c r="B783" s="2" t="s">
        <v>15</v>
      </c>
      <c r="C783" s="2" t="s">
        <v>22</v>
      </c>
      <c r="D783" s="2">
        <v>4</v>
      </c>
      <c r="E783" s="3">
        <v>-3669295.7</v>
      </c>
      <c r="F783" s="2" t="s">
        <v>9</v>
      </c>
      <c r="G783" s="2" t="s">
        <v>14</v>
      </c>
    </row>
    <row r="784" spans="1:7">
      <c r="A784" s="2">
        <v>783</v>
      </c>
      <c r="B784" s="2" t="s">
        <v>60</v>
      </c>
      <c r="C784" s="2" t="s">
        <v>16</v>
      </c>
      <c r="D784" s="2">
        <v>6</v>
      </c>
      <c r="E784" s="3">
        <v>-3674088</v>
      </c>
      <c r="F784" s="2" t="s">
        <v>25</v>
      </c>
      <c r="G784" s="2" t="s">
        <v>29</v>
      </c>
    </row>
    <row r="785" spans="1:7">
      <c r="A785" s="2">
        <v>784</v>
      </c>
      <c r="B785" s="2" t="s">
        <v>80</v>
      </c>
      <c r="C785" s="2" t="s">
        <v>22</v>
      </c>
      <c r="D785" s="2">
        <v>18</v>
      </c>
      <c r="E785" s="3">
        <v>-3678880.3</v>
      </c>
      <c r="F785" s="2" t="s">
        <v>32</v>
      </c>
      <c r="G785" s="2" t="s">
        <v>14</v>
      </c>
    </row>
    <row r="786" spans="1:7">
      <c r="A786" s="2">
        <v>785</v>
      </c>
      <c r="B786" s="2" t="s">
        <v>15</v>
      </c>
      <c r="C786" s="2" t="s">
        <v>12</v>
      </c>
      <c r="D786" s="2">
        <v>25</v>
      </c>
      <c r="E786" s="3">
        <v>-3683672.6</v>
      </c>
      <c r="F786" s="2" t="s">
        <v>25</v>
      </c>
      <c r="G786" s="2" t="s">
        <v>26</v>
      </c>
    </row>
    <row r="787" spans="1:7">
      <c r="A787" s="2">
        <v>786</v>
      </c>
      <c r="B787" s="2" t="s">
        <v>64</v>
      </c>
      <c r="C787" s="2" t="s">
        <v>12</v>
      </c>
      <c r="D787" s="2">
        <v>9</v>
      </c>
      <c r="E787" s="3">
        <v>-3688464.9</v>
      </c>
      <c r="F787" s="2" t="s">
        <v>32</v>
      </c>
      <c r="G787" s="2" t="s">
        <v>23</v>
      </c>
    </row>
    <row r="788" spans="1:7">
      <c r="A788" s="2">
        <v>787</v>
      </c>
      <c r="B788" s="2" t="s">
        <v>48</v>
      </c>
      <c r="C788" s="2" t="s">
        <v>8</v>
      </c>
      <c r="D788" s="2">
        <v>27</v>
      </c>
      <c r="E788" s="3">
        <v>-3693257.2</v>
      </c>
      <c r="F788" s="2" t="s">
        <v>25</v>
      </c>
      <c r="G788" s="2" t="s">
        <v>29</v>
      </c>
    </row>
    <row r="789" spans="1:7">
      <c r="A789" s="2">
        <v>788</v>
      </c>
      <c r="B789" s="2" t="s">
        <v>83</v>
      </c>
      <c r="C789" s="2" t="s">
        <v>22</v>
      </c>
      <c r="D789" s="2">
        <v>13</v>
      </c>
      <c r="E789" s="3">
        <v>-3698049.5</v>
      </c>
      <c r="F789" s="2" t="s">
        <v>28</v>
      </c>
      <c r="G789" s="2" t="s">
        <v>10</v>
      </c>
    </row>
    <row r="790" spans="1:7">
      <c r="A790" s="2">
        <v>789</v>
      </c>
      <c r="B790" s="2" t="s">
        <v>49</v>
      </c>
      <c r="C790" s="2" t="s">
        <v>22</v>
      </c>
      <c r="D790" s="2">
        <v>42</v>
      </c>
      <c r="E790" s="3">
        <v>-3702841.8</v>
      </c>
      <c r="F790" s="2" t="s">
        <v>25</v>
      </c>
      <c r="G790" s="2" t="s">
        <v>10</v>
      </c>
    </row>
    <row r="791" spans="1:7">
      <c r="A791" s="2">
        <v>790</v>
      </c>
      <c r="B791" s="2" t="s">
        <v>89</v>
      </c>
      <c r="C791" s="2" t="s">
        <v>16</v>
      </c>
      <c r="D791" s="2">
        <v>34</v>
      </c>
      <c r="E791" s="3">
        <v>-3707634.1</v>
      </c>
      <c r="F791" s="2" t="s">
        <v>13</v>
      </c>
      <c r="G791" s="2" t="s">
        <v>14</v>
      </c>
    </row>
    <row r="792" spans="1:7">
      <c r="A792" s="2">
        <v>791</v>
      </c>
      <c r="B792" s="2" t="s">
        <v>39</v>
      </c>
      <c r="C792" s="2" t="s">
        <v>16</v>
      </c>
      <c r="D792" s="2">
        <v>16</v>
      </c>
      <c r="E792" s="3">
        <v>-3712426.4</v>
      </c>
      <c r="F792" s="2" t="s">
        <v>25</v>
      </c>
      <c r="G792" s="2" t="s">
        <v>23</v>
      </c>
    </row>
    <row r="793" spans="1:7">
      <c r="A793" s="2">
        <v>792</v>
      </c>
      <c r="B793" s="2" t="s">
        <v>50</v>
      </c>
      <c r="C793" s="2" t="s">
        <v>12</v>
      </c>
      <c r="D793" s="2">
        <v>41</v>
      </c>
      <c r="E793" s="3">
        <v>-3717218.7</v>
      </c>
      <c r="F793" s="2" t="s">
        <v>25</v>
      </c>
      <c r="G793" s="2" t="s">
        <v>26</v>
      </c>
    </row>
    <row r="794" spans="1:7">
      <c r="A794" s="2">
        <v>793</v>
      </c>
      <c r="B794" s="2" t="s">
        <v>49</v>
      </c>
      <c r="C794" s="2" t="s">
        <v>8</v>
      </c>
      <c r="D794" s="2">
        <v>35</v>
      </c>
      <c r="E794" s="3">
        <v>-3722011</v>
      </c>
      <c r="F794" s="2" t="s">
        <v>17</v>
      </c>
      <c r="G794" s="2" t="s">
        <v>18</v>
      </c>
    </row>
    <row r="795" spans="1:7">
      <c r="A795" s="2">
        <v>794</v>
      </c>
      <c r="B795" s="2" t="s">
        <v>11</v>
      </c>
      <c r="C795" s="2" t="s">
        <v>22</v>
      </c>
      <c r="D795" s="2">
        <v>2</v>
      </c>
      <c r="E795" s="3">
        <v>-3726803.3</v>
      </c>
      <c r="F795" s="2" t="s">
        <v>20</v>
      </c>
      <c r="G795" s="2" t="s">
        <v>10</v>
      </c>
    </row>
    <row r="796" spans="1:7">
      <c r="A796" s="2">
        <v>795</v>
      </c>
      <c r="B796" s="2" t="s">
        <v>76</v>
      </c>
      <c r="C796" s="2" t="s">
        <v>22</v>
      </c>
      <c r="D796" s="2">
        <v>25</v>
      </c>
      <c r="E796" s="3">
        <v>-3731595.6</v>
      </c>
      <c r="F796" s="2" t="s">
        <v>20</v>
      </c>
      <c r="G796" s="2" t="s">
        <v>23</v>
      </c>
    </row>
    <row r="797" spans="1:7">
      <c r="A797" s="2">
        <v>796</v>
      </c>
      <c r="B797" s="2" t="s">
        <v>39</v>
      </c>
      <c r="C797" s="2" t="s">
        <v>8</v>
      </c>
      <c r="D797" s="2">
        <v>46</v>
      </c>
      <c r="E797" s="3">
        <v>-3736387.9</v>
      </c>
      <c r="F797" s="2" t="s">
        <v>25</v>
      </c>
      <c r="G797" s="2" t="s">
        <v>10</v>
      </c>
    </row>
    <row r="798" spans="1:7">
      <c r="A798" s="2">
        <v>797</v>
      </c>
      <c r="B798" s="2" t="s">
        <v>49</v>
      </c>
      <c r="C798" s="2" t="s">
        <v>22</v>
      </c>
      <c r="D798" s="2">
        <v>23</v>
      </c>
      <c r="E798" s="3">
        <v>-3741180.2</v>
      </c>
      <c r="F798" s="2" t="s">
        <v>17</v>
      </c>
      <c r="G798" s="2" t="s">
        <v>14</v>
      </c>
    </row>
    <row r="799" spans="1:7">
      <c r="A799" s="2">
        <v>798</v>
      </c>
      <c r="B799" s="2" t="s">
        <v>24</v>
      </c>
      <c r="C799" s="2" t="s">
        <v>16</v>
      </c>
      <c r="D799" s="2">
        <v>31</v>
      </c>
      <c r="E799" s="3">
        <v>-3745972.5</v>
      </c>
      <c r="F799" s="2" t="s">
        <v>25</v>
      </c>
      <c r="G799" s="2" t="s">
        <v>14</v>
      </c>
    </row>
    <row r="800" spans="1:7">
      <c r="A800" s="2">
        <v>799</v>
      </c>
      <c r="B800" s="2" t="s">
        <v>88</v>
      </c>
      <c r="C800" s="2" t="s">
        <v>8</v>
      </c>
      <c r="D800" s="2">
        <v>35</v>
      </c>
      <c r="E800" s="3">
        <v>-3750764.8</v>
      </c>
      <c r="F800" s="2" t="s">
        <v>38</v>
      </c>
      <c r="G800" s="2" t="s">
        <v>18</v>
      </c>
    </row>
    <row r="801" spans="1:7">
      <c r="A801" s="2">
        <v>800</v>
      </c>
      <c r="B801" s="2" t="s">
        <v>60</v>
      </c>
      <c r="C801" s="2" t="s">
        <v>22</v>
      </c>
      <c r="D801" s="2">
        <v>32</v>
      </c>
      <c r="E801" s="3">
        <v>-3755557.1</v>
      </c>
      <c r="F801" s="2" t="s">
        <v>17</v>
      </c>
      <c r="G801" s="2" t="s">
        <v>14</v>
      </c>
    </row>
    <row r="802" spans="1:7">
      <c r="A802" s="2">
        <v>801</v>
      </c>
      <c r="B802" s="2" t="s">
        <v>36</v>
      </c>
      <c r="C802" s="2" t="s">
        <v>16</v>
      </c>
      <c r="D802" s="2">
        <v>23</v>
      </c>
      <c r="E802" s="3">
        <v>-3760349.4</v>
      </c>
      <c r="F802" s="2" t="s">
        <v>13</v>
      </c>
      <c r="G802" s="2" t="s">
        <v>18</v>
      </c>
    </row>
    <row r="803" spans="1:7">
      <c r="A803" s="2">
        <v>802</v>
      </c>
      <c r="B803" s="2" t="s">
        <v>71</v>
      </c>
      <c r="C803" s="2" t="s">
        <v>16</v>
      </c>
      <c r="D803" s="2">
        <v>37</v>
      </c>
      <c r="E803" s="3">
        <v>-3765141.7</v>
      </c>
      <c r="F803" s="2" t="s">
        <v>13</v>
      </c>
      <c r="G803" s="2" t="s">
        <v>26</v>
      </c>
    </row>
    <row r="804" spans="1:7">
      <c r="A804" s="2">
        <v>803</v>
      </c>
      <c r="B804" s="2" t="s">
        <v>70</v>
      </c>
      <c r="C804" s="2" t="s">
        <v>12</v>
      </c>
      <c r="D804" s="2">
        <v>33</v>
      </c>
      <c r="E804" s="3">
        <v>-3769934</v>
      </c>
      <c r="F804" s="2" t="s">
        <v>28</v>
      </c>
      <c r="G804" s="2" t="s">
        <v>14</v>
      </c>
    </row>
    <row r="805" spans="1:7">
      <c r="A805" s="2">
        <v>804</v>
      </c>
      <c r="B805" s="2" t="s">
        <v>88</v>
      </c>
      <c r="C805" s="2" t="s">
        <v>22</v>
      </c>
      <c r="D805" s="2">
        <v>21</v>
      </c>
      <c r="E805" s="3">
        <v>-3774726.3</v>
      </c>
      <c r="F805" s="2" t="s">
        <v>9</v>
      </c>
      <c r="G805" s="2" t="s">
        <v>10</v>
      </c>
    </row>
    <row r="806" spans="1:7">
      <c r="A806" s="2">
        <v>805</v>
      </c>
      <c r="B806" s="2" t="s">
        <v>73</v>
      </c>
      <c r="C806" s="2" t="s">
        <v>8</v>
      </c>
      <c r="D806" s="2">
        <v>25</v>
      </c>
      <c r="E806" s="3">
        <v>-3779518.6</v>
      </c>
      <c r="F806" s="2" t="s">
        <v>28</v>
      </c>
      <c r="G806" s="2" t="s">
        <v>14</v>
      </c>
    </row>
    <row r="807" spans="1:7">
      <c r="A807" s="2">
        <v>806</v>
      </c>
      <c r="B807" s="2" t="s">
        <v>78</v>
      </c>
      <c r="C807" s="2" t="s">
        <v>16</v>
      </c>
      <c r="D807" s="2">
        <v>18</v>
      </c>
      <c r="E807" s="3">
        <v>-3784310.9</v>
      </c>
      <c r="F807" s="2" t="s">
        <v>25</v>
      </c>
      <c r="G807" s="2" t="s">
        <v>29</v>
      </c>
    </row>
    <row r="808" spans="1:7">
      <c r="A808" s="2">
        <v>807</v>
      </c>
      <c r="B808" s="2" t="s">
        <v>67</v>
      </c>
      <c r="C808" s="2" t="s">
        <v>16</v>
      </c>
      <c r="D808" s="2">
        <v>12</v>
      </c>
      <c r="E808" s="3">
        <v>-3789103.2</v>
      </c>
      <c r="F808" s="2" t="s">
        <v>32</v>
      </c>
      <c r="G808" s="2" t="s">
        <v>26</v>
      </c>
    </row>
    <row r="809" spans="1:7">
      <c r="A809" s="2">
        <v>808</v>
      </c>
      <c r="B809" s="2" t="s">
        <v>68</v>
      </c>
      <c r="C809" s="2" t="s">
        <v>12</v>
      </c>
      <c r="D809" s="2">
        <v>2</v>
      </c>
      <c r="E809" s="3">
        <v>-3793895.5</v>
      </c>
      <c r="F809" s="2" t="s">
        <v>20</v>
      </c>
      <c r="G809" s="2" t="s">
        <v>26</v>
      </c>
    </row>
    <row r="810" spans="1:7">
      <c r="A810" s="2">
        <v>809</v>
      </c>
      <c r="B810" s="2" t="s">
        <v>76</v>
      </c>
      <c r="C810" s="2" t="s">
        <v>8</v>
      </c>
      <c r="D810" s="2">
        <v>21</v>
      </c>
      <c r="E810" s="3">
        <v>-3798687.8</v>
      </c>
      <c r="F810" s="2" t="s">
        <v>25</v>
      </c>
      <c r="G810" s="2" t="s">
        <v>23</v>
      </c>
    </row>
    <row r="811" spans="1:7">
      <c r="A811" s="2">
        <v>810</v>
      </c>
      <c r="B811" s="2" t="s">
        <v>70</v>
      </c>
      <c r="C811" s="2" t="s">
        <v>12</v>
      </c>
      <c r="D811" s="2">
        <v>39</v>
      </c>
      <c r="E811" s="3">
        <v>-3803480.1</v>
      </c>
      <c r="F811" s="2" t="s">
        <v>25</v>
      </c>
      <c r="G811" s="2" t="s">
        <v>10</v>
      </c>
    </row>
    <row r="812" spans="1:7">
      <c r="A812" s="2">
        <v>811</v>
      </c>
      <c r="B812" s="2" t="s">
        <v>78</v>
      </c>
      <c r="C812" s="2" t="s">
        <v>16</v>
      </c>
      <c r="D812" s="2">
        <v>15</v>
      </c>
      <c r="E812" s="3">
        <v>-3808272.4</v>
      </c>
      <c r="F812" s="2" t="s">
        <v>38</v>
      </c>
      <c r="G812" s="2" t="s">
        <v>26</v>
      </c>
    </row>
    <row r="813" spans="1:7">
      <c r="A813" s="2">
        <v>812</v>
      </c>
      <c r="B813" s="2" t="s">
        <v>58</v>
      </c>
      <c r="C813" s="2" t="s">
        <v>22</v>
      </c>
      <c r="D813" s="2">
        <v>2</v>
      </c>
      <c r="E813" s="3">
        <v>-3813064.7</v>
      </c>
      <c r="F813" s="2" t="s">
        <v>28</v>
      </c>
      <c r="G813" s="2" t="s">
        <v>23</v>
      </c>
    </row>
    <row r="814" spans="1:7">
      <c r="A814" s="2">
        <v>813</v>
      </c>
      <c r="B814" s="2" t="s">
        <v>7</v>
      </c>
      <c r="C814" s="2" t="s">
        <v>8</v>
      </c>
      <c r="D814" s="2">
        <v>50</v>
      </c>
      <c r="E814" s="3">
        <v>-3817857</v>
      </c>
      <c r="F814" s="2" t="s">
        <v>32</v>
      </c>
      <c r="G814" s="2" t="s">
        <v>29</v>
      </c>
    </row>
    <row r="815" spans="1:7">
      <c r="A815" s="2">
        <v>814</v>
      </c>
      <c r="B815" s="2" t="s">
        <v>59</v>
      </c>
      <c r="C815" s="2" t="s">
        <v>22</v>
      </c>
      <c r="D815" s="2">
        <v>18</v>
      </c>
      <c r="E815" s="3">
        <v>-3822649.3</v>
      </c>
      <c r="F815" s="2" t="s">
        <v>32</v>
      </c>
      <c r="G815" s="2" t="s">
        <v>26</v>
      </c>
    </row>
    <row r="816" spans="1:7">
      <c r="A816" s="2">
        <v>815</v>
      </c>
      <c r="B816" s="2" t="s">
        <v>56</v>
      </c>
      <c r="C816" s="2" t="s">
        <v>22</v>
      </c>
      <c r="D816" s="2">
        <v>4</v>
      </c>
      <c r="E816" s="3">
        <v>-3827441.6</v>
      </c>
      <c r="F816" s="2" t="s">
        <v>32</v>
      </c>
      <c r="G816" s="2" t="s">
        <v>23</v>
      </c>
    </row>
    <row r="817" spans="1:7">
      <c r="A817" s="2">
        <v>816</v>
      </c>
      <c r="B817" s="2" t="s">
        <v>60</v>
      </c>
      <c r="C817" s="2" t="s">
        <v>12</v>
      </c>
      <c r="D817" s="2">
        <v>31</v>
      </c>
      <c r="E817" s="3">
        <v>-3832233.9</v>
      </c>
      <c r="F817" s="2" t="s">
        <v>38</v>
      </c>
      <c r="G817" s="2" t="s">
        <v>29</v>
      </c>
    </row>
    <row r="818" spans="1:7">
      <c r="A818" s="2">
        <v>817</v>
      </c>
      <c r="B818" s="2" t="s">
        <v>33</v>
      </c>
      <c r="C818" s="2" t="s">
        <v>16</v>
      </c>
      <c r="D818" s="2">
        <v>34</v>
      </c>
      <c r="E818" s="3">
        <v>-3837026.2</v>
      </c>
      <c r="F818" s="2" t="s">
        <v>17</v>
      </c>
      <c r="G818" s="2" t="s">
        <v>14</v>
      </c>
    </row>
    <row r="819" spans="1:7">
      <c r="A819" s="2">
        <v>818</v>
      </c>
      <c r="B819" s="2" t="s">
        <v>85</v>
      </c>
      <c r="C819" s="2" t="s">
        <v>22</v>
      </c>
      <c r="D819" s="2">
        <v>23</v>
      </c>
      <c r="E819" s="3">
        <v>-3841818.5</v>
      </c>
      <c r="F819" s="2" t="s">
        <v>20</v>
      </c>
      <c r="G819" s="2" t="s">
        <v>14</v>
      </c>
    </row>
    <row r="820" spans="1:7">
      <c r="A820" s="2">
        <v>819</v>
      </c>
      <c r="B820" s="2" t="s">
        <v>68</v>
      </c>
      <c r="C820" s="2" t="s">
        <v>8</v>
      </c>
      <c r="D820" s="2">
        <v>50</v>
      </c>
      <c r="E820" s="3">
        <v>-3846610.8</v>
      </c>
      <c r="F820" s="2" t="s">
        <v>9</v>
      </c>
      <c r="G820" s="2" t="s">
        <v>26</v>
      </c>
    </row>
    <row r="821" spans="1:7">
      <c r="A821" s="2">
        <v>820</v>
      </c>
      <c r="B821" s="2" t="s">
        <v>83</v>
      </c>
      <c r="C821" s="2" t="s">
        <v>12</v>
      </c>
      <c r="D821" s="2">
        <v>38</v>
      </c>
      <c r="E821" s="3">
        <v>-3851403.1</v>
      </c>
      <c r="F821" s="2" t="s">
        <v>25</v>
      </c>
      <c r="G821" s="2" t="s">
        <v>29</v>
      </c>
    </row>
    <row r="822" spans="1:7">
      <c r="A822" s="2">
        <v>821</v>
      </c>
      <c r="B822" s="2" t="s">
        <v>54</v>
      </c>
      <c r="C822" s="2" t="s">
        <v>8</v>
      </c>
      <c r="D822" s="2">
        <v>15</v>
      </c>
      <c r="E822" s="3">
        <v>-3856195.4</v>
      </c>
      <c r="F822" s="2" t="s">
        <v>9</v>
      </c>
      <c r="G822" s="2" t="s">
        <v>10</v>
      </c>
    </row>
    <row r="823" spans="1:7">
      <c r="A823" s="2">
        <v>822</v>
      </c>
      <c r="B823" s="2" t="s">
        <v>62</v>
      </c>
      <c r="C823" s="2" t="s">
        <v>22</v>
      </c>
      <c r="D823" s="2">
        <v>11</v>
      </c>
      <c r="E823" s="3">
        <v>-3860987.7</v>
      </c>
      <c r="F823" s="2" t="s">
        <v>17</v>
      </c>
      <c r="G823" s="2" t="s">
        <v>26</v>
      </c>
    </row>
    <row r="824" spans="1:7">
      <c r="A824" s="2">
        <v>823</v>
      </c>
      <c r="B824" s="2" t="s">
        <v>7</v>
      </c>
      <c r="C824" s="2" t="s">
        <v>8</v>
      </c>
      <c r="D824" s="2">
        <v>7</v>
      </c>
      <c r="E824" s="3">
        <v>-3865780</v>
      </c>
      <c r="F824" s="2" t="s">
        <v>25</v>
      </c>
      <c r="G824" s="2" t="s">
        <v>14</v>
      </c>
    </row>
    <row r="825" spans="1:7">
      <c r="A825" s="2">
        <v>824</v>
      </c>
      <c r="B825" s="2" t="s">
        <v>42</v>
      </c>
      <c r="C825" s="2" t="s">
        <v>12</v>
      </c>
      <c r="D825" s="2">
        <v>16</v>
      </c>
      <c r="E825" s="3">
        <v>-3870572.3</v>
      </c>
      <c r="F825" s="2" t="s">
        <v>13</v>
      </c>
      <c r="G825" s="2" t="s">
        <v>10</v>
      </c>
    </row>
    <row r="826" spans="1:7">
      <c r="A826" s="2">
        <v>825</v>
      </c>
      <c r="B826" s="2" t="s">
        <v>65</v>
      </c>
      <c r="C826" s="2" t="s">
        <v>12</v>
      </c>
      <c r="D826" s="2">
        <v>43</v>
      </c>
      <c r="E826" s="3">
        <v>-3875364.6</v>
      </c>
      <c r="F826" s="2" t="s">
        <v>9</v>
      </c>
      <c r="G826" s="2" t="s">
        <v>23</v>
      </c>
    </row>
    <row r="827" spans="1:7">
      <c r="A827" s="2">
        <v>826</v>
      </c>
      <c r="B827" s="2" t="s">
        <v>75</v>
      </c>
      <c r="C827" s="2" t="s">
        <v>16</v>
      </c>
      <c r="D827" s="2">
        <v>16</v>
      </c>
      <c r="E827" s="3">
        <v>-3880156.9</v>
      </c>
      <c r="F827" s="2" t="s">
        <v>9</v>
      </c>
      <c r="G827" s="2" t="s">
        <v>14</v>
      </c>
    </row>
    <row r="828" spans="1:7">
      <c r="A828" s="2">
        <v>827</v>
      </c>
      <c r="B828" s="2" t="s">
        <v>74</v>
      </c>
      <c r="C828" s="2" t="s">
        <v>8</v>
      </c>
      <c r="D828" s="2">
        <v>18</v>
      </c>
      <c r="E828" s="3">
        <v>-3884949.2</v>
      </c>
      <c r="F828" s="2" t="s">
        <v>25</v>
      </c>
      <c r="G828" s="2" t="s">
        <v>29</v>
      </c>
    </row>
    <row r="829" spans="1:7">
      <c r="A829" s="2">
        <v>828</v>
      </c>
      <c r="B829" s="2" t="s">
        <v>33</v>
      </c>
      <c r="C829" s="2" t="s">
        <v>12</v>
      </c>
      <c r="D829" s="2">
        <v>35</v>
      </c>
      <c r="E829" s="3">
        <v>-3889741.5</v>
      </c>
      <c r="F829" s="2" t="s">
        <v>25</v>
      </c>
      <c r="G829" s="2" t="s">
        <v>26</v>
      </c>
    </row>
    <row r="830" spans="1:7">
      <c r="A830" s="2">
        <v>829</v>
      </c>
      <c r="B830" s="2" t="s">
        <v>63</v>
      </c>
      <c r="C830" s="2" t="s">
        <v>12</v>
      </c>
      <c r="D830" s="2">
        <v>48</v>
      </c>
      <c r="E830" s="3">
        <v>-3894533.8</v>
      </c>
      <c r="F830" s="2" t="s">
        <v>32</v>
      </c>
      <c r="G830" s="2" t="s">
        <v>26</v>
      </c>
    </row>
    <row r="831" spans="1:7">
      <c r="A831" s="2">
        <v>830</v>
      </c>
      <c r="B831" s="2" t="s">
        <v>33</v>
      </c>
      <c r="C831" s="2" t="s">
        <v>16</v>
      </c>
      <c r="D831" s="2">
        <v>4</v>
      </c>
      <c r="E831" s="3">
        <v>-3899326.1</v>
      </c>
      <c r="F831" s="2" t="s">
        <v>32</v>
      </c>
      <c r="G831" s="2" t="s">
        <v>29</v>
      </c>
    </row>
    <row r="832" spans="1:7">
      <c r="A832" s="2">
        <v>831</v>
      </c>
      <c r="B832" s="2" t="s">
        <v>42</v>
      </c>
      <c r="C832" s="2" t="s">
        <v>12</v>
      </c>
      <c r="D832" s="2">
        <v>49</v>
      </c>
      <c r="E832" s="3">
        <v>-3904118.4</v>
      </c>
      <c r="F832" s="2" t="s">
        <v>38</v>
      </c>
      <c r="G832" s="2" t="s">
        <v>14</v>
      </c>
    </row>
    <row r="833" spans="1:7">
      <c r="A833" s="2">
        <v>832</v>
      </c>
      <c r="B833" s="2" t="s">
        <v>30</v>
      </c>
      <c r="C833" s="2" t="s">
        <v>22</v>
      </c>
      <c r="D833" s="2">
        <v>15</v>
      </c>
      <c r="E833" s="3">
        <v>-3908910.7</v>
      </c>
      <c r="F833" s="2" t="s">
        <v>13</v>
      </c>
      <c r="G833" s="2" t="s">
        <v>29</v>
      </c>
    </row>
    <row r="834" spans="1:7">
      <c r="A834" s="2">
        <v>833</v>
      </c>
      <c r="B834" s="2" t="s">
        <v>34</v>
      </c>
      <c r="C834" s="2" t="s">
        <v>8</v>
      </c>
      <c r="D834" s="2">
        <v>37</v>
      </c>
      <c r="E834" s="3">
        <v>-3913703</v>
      </c>
      <c r="F834" s="2" t="s">
        <v>38</v>
      </c>
      <c r="G834" s="2" t="s">
        <v>26</v>
      </c>
    </row>
    <row r="835" spans="1:7">
      <c r="A835" s="2">
        <v>834</v>
      </c>
      <c r="B835" s="2" t="s">
        <v>88</v>
      </c>
      <c r="C835" s="2" t="s">
        <v>16</v>
      </c>
      <c r="D835" s="2">
        <v>25</v>
      </c>
      <c r="E835" s="3">
        <v>-3918495.3</v>
      </c>
      <c r="F835" s="2" t="s">
        <v>28</v>
      </c>
      <c r="G835" s="2" t="s">
        <v>14</v>
      </c>
    </row>
    <row r="836" spans="1:7">
      <c r="A836" s="2">
        <v>835</v>
      </c>
      <c r="B836" s="2" t="s">
        <v>88</v>
      </c>
      <c r="C836" s="2" t="s">
        <v>22</v>
      </c>
      <c r="D836" s="2">
        <v>23</v>
      </c>
      <c r="E836" s="3">
        <v>-3923287.6</v>
      </c>
      <c r="F836" s="2" t="s">
        <v>13</v>
      </c>
      <c r="G836" s="2" t="s">
        <v>18</v>
      </c>
    </row>
    <row r="837" spans="1:7">
      <c r="A837" s="2">
        <v>836</v>
      </c>
      <c r="B837" s="2" t="s">
        <v>70</v>
      </c>
      <c r="C837" s="2" t="s">
        <v>22</v>
      </c>
      <c r="D837" s="2">
        <v>12</v>
      </c>
      <c r="E837" s="3">
        <v>-3928079.9</v>
      </c>
      <c r="F837" s="2" t="s">
        <v>32</v>
      </c>
      <c r="G837" s="2" t="s">
        <v>14</v>
      </c>
    </row>
    <row r="838" spans="1:7">
      <c r="A838" s="2">
        <v>837</v>
      </c>
      <c r="B838" s="2" t="s">
        <v>33</v>
      </c>
      <c r="C838" s="2" t="s">
        <v>8</v>
      </c>
      <c r="D838" s="2">
        <v>12</v>
      </c>
      <c r="E838" s="3">
        <v>-3932872.2</v>
      </c>
      <c r="F838" s="2" t="s">
        <v>32</v>
      </c>
      <c r="G838" s="2" t="s">
        <v>10</v>
      </c>
    </row>
    <row r="839" spans="1:7">
      <c r="A839" s="2">
        <v>838</v>
      </c>
      <c r="B839" s="2" t="s">
        <v>79</v>
      </c>
      <c r="C839" s="2" t="s">
        <v>16</v>
      </c>
      <c r="D839" s="2">
        <v>16</v>
      </c>
      <c r="E839" s="3">
        <v>-3937664.5</v>
      </c>
      <c r="F839" s="2" t="s">
        <v>32</v>
      </c>
      <c r="G839" s="2" t="s">
        <v>23</v>
      </c>
    </row>
    <row r="840" spans="1:7">
      <c r="A840" s="2">
        <v>839</v>
      </c>
      <c r="B840" s="2" t="s">
        <v>15</v>
      </c>
      <c r="C840" s="2" t="s">
        <v>12</v>
      </c>
      <c r="D840" s="2">
        <v>38</v>
      </c>
      <c r="E840" s="3">
        <v>-3942456.8</v>
      </c>
      <c r="F840" s="2" t="s">
        <v>20</v>
      </c>
      <c r="G840" s="2" t="s">
        <v>29</v>
      </c>
    </row>
    <row r="841" spans="1:7">
      <c r="A841" s="2">
        <v>840</v>
      </c>
      <c r="B841" s="2" t="s">
        <v>90</v>
      </c>
      <c r="C841" s="2" t="s">
        <v>16</v>
      </c>
      <c r="D841" s="2">
        <v>21</v>
      </c>
      <c r="E841" s="3">
        <v>-3947249.1</v>
      </c>
      <c r="F841" s="2" t="s">
        <v>25</v>
      </c>
      <c r="G841" s="2" t="s">
        <v>23</v>
      </c>
    </row>
    <row r="842" spans="1:7">
      <c r="A842" s="2">
        <v>841</v>
      </c>
      <c r="B842" s="2" t="s">
        <v>71</v>
      </c>
      <c r="C842" s="2" t="s">
        <v>12</v>
      </c>
      <c r="D842" s="2">
        <v>48</v>
      </c>
      <c r="E842" s="3">
        <v>-3952041.4</v>
      </c>
      <c r="F842" s="2" t="s">
        <v>9</v>
      </c>
      <c r="G842" s="2" t="s">
        <v>14</v>
      </c>
    </row>
    <row r="843" spans="1:7">
      <c r="A843" s="2">
        <v>842</v>
      </c>
      <c r="B843" s="2" t="s">
        <v>36</v>
      </c>
      <c r="C843" s="2" t="s">
        <v>8</v>
      </c>
      <c r="D843" s="2">
        <v>45</v>
      </c>
      <c r="E843" s="3">
        <v>-3956833.7</v>
      </c>
      <c r="F843" s="2" t="s">
        <v>9</v>
      </c>
      <c r="G843" s="2" t="s">
        <v>14</v>
      </c>
    </row>
    <row r="844" spans="1:7">
      <c r="A844" s="2">
        <v>843</v>
      </c>
      <c r="B844" s="2" t="s">
        <v>54</v>
      </c>
      <c r="C844" s="2" t="s">
        <v>8</v>
      </c>
      <c r="D844" s="2">
        <v>23</v>
      </c>
      <c r="E844" s="3">
        <v>-3961626</v>
      </c>
      <c r="F844" s="2" t="s">
        <v>17</v>
      </c>
      <c r="G844" s="2" t="s">
        <v>14</v>
      </c>
    </row>
    <row r="845" spans="1:7">
      <c r="A845" s="2">
        <v>844</v>
      </c>
      <c r="B845" s="2" t="s">
        <v>7</v>
      </c>
      <c r="C845" s="2" t="s">
        <v>22</v>
      </c>
      <c r="D845" s="2">
        <v>38</v>
      </c>
      <c r="E845" s="3">
        <v>-3966418.3</v>
      </c>
      <c r="F845" s="2" t="s">
        <v>9</v>
      </c>
      <c r="G845" s="2" t="s">
        <v>10</v>
      </c>
    </row>
    <row r="846" spans="1:7">
      <c r="A846" s="2">
        <v>845</v>
      </c>
      <c r="B846" s="2" t="s">
        <v>42</v>
      </c>
      <c r="C846" s="2" t="s">
        <v>22</v>
      </c>
      <c r="D846" s="2">
        <v>2</v>
      </c>
      <c r="E846" s="3">
        <v>-3971210.6</v>
      </c>
      <c r="F846" s="2" t="s">
        <v>32</v>
      </c>
      <c r="G846" s="2" t="s">
        <v>23</v>
      </c>
    </row>
    <row r="847" spans="1:7">
      <c r="A847" s="2">
        <v>846</v>
      </c>
      <c r="B847" s="2" t="s">
        <v>21</v>
      </c>
      <c r="C847" s="2" t="s">
        <v>22</v>
      </c>
      <c r="D847" s="2">
        <v>46</v>
      </c>
      <c r="E847" s="3">
        <v>-3976002.9</v>
      </c>
      <c r="F847" s="2" t="s">
        <v>13</v>
      </c>
      <c r="G847" s="2" t="s">
        <v>23</v>
      </c>
    </row>
    <row r="848" spans="1:7">
      <c r="A848" s="2">
        <v>847</v>
      </c>
      <c r="B848" s="2" t="s">
        <v>49</v>
      </c>
      <c r="C848" s="2" t="s">
        <v>8</v>
      </c>
      <c r="D848" s="2">
        <v>45</v>
      </c>
      <c r="E848" s="3">
        <v>-3980795.2</v>
      </c>
      <c r="F848" s="2" t="s">
        <v>13</v>
      </c>
      <c r="G848" s="2" t="s">
        <v>29</v>
      </c>
    </row>
    <row r="849" spans="1:7">
      <c r="A849" s="2">
        <v>848</v>
      </c>
      <c r="B849" s="2" t="s">
        <v>31</v>
      </c>
      <c r="C849" s="2" t="s">
        <v>12</v>
      </c>
      <c r="D849" s="2">
        <v>23</v>
      </c>
      <c r="E849" s="3">
        <v>-3985587.5</v>
      </c>
      <c r="F849" s="2" t="s">
        <v>38</v>
      </c>
      <c r="G849" s="2" t="s">
        <v>14</v>
      </c>
    </row>
    <row r="850" spans="1:7">
      <c r="A850" s="2">
        <v>849</v>
      </c>
      <c r="B850" s="2" t="s">
        <v>72</v>
      </c>
      <c r="C850" s="2" t="s">
        <v>8</v>
      </c>
      <c r="D850" s="2">
        <v>37</v>
      </c>
      <c r="E850" s="3">
        <v>-3990379.8</v>
      </c>
      <c r="F850" s="2" t="s">
        <v>13</v>
      </c>
      <c r="G850" s="2" t="s">
        <v>29</v>
      </c>
    </row>
    <row r="851" spans="1:7">
      <c r="A851" s="2">
        <v>850</v>
      </c>
      <c r="B851" s="2" t="s">
        <v>42</v>
      </c>
      <c r="C851" s="2" t="s">
        <v>8</v>
      </c>
      <c r="D851" s="2">
        <v>37</v>
      </c>
      <c r="E851" s="3">
        <v>-3995172.1</v>
      </c>
      <c r="F851" s="2" t="s">
        <v>17</v>
      </c>
      <c r="G851" s="2" t="s">
        <v>10</v>
      </c>
    </row>
    <row r="852" spans="1:7">
      <c r="A852" s="2">
        <v>851</v>
      </c>
      <c r="B852" s="2" t="s">
        <v>50</v>
      </c>
      <c r="C852" s="2" t="s">
        <v>22</v>
      </c>
      <c r="D852" s="2">
        <v>10</v>
      </c>
      <c r="E852" s="3">
        <v>-3999964.4</v>
      </c>
      <c r="F852" s="2" t="s">
        <v>13</v>
      </c>
      <c r="G852" s="2" t="s">
        <v>18</v>
      </c>
    </row>
    <row r="853" spans="1:7">
      <c r="A853" s="2">
        <v>852</v>
      </c>
      <c r="B853" s="2" t="s">
        <v>57</v>
      </c>
      <c r="C853" s="2" t="s">
        <v>16</v>
      </c>
      <c r="D853" s="2">
        <v>37</v>
      </c>
      <c r="E853" s="3">
        <v>-4004756.7</v>
      </c>
      <c r="F853" s="2" t="s">
        <v>38</v>
      </c>
      <c r="G853" s="2" t="s">
        <v>26</v>
      </c>
    </row>
    <row r="854" spans="1:7">
      <c r="A854" s="2">
        <v>853</v>
      </c>
      <c r="B854" s="2" t="s">
        <v>7</v>
      </c>
      <c r="C854" s="2" t="s">
        <v>22</v>
      </c>
      <c r="D854" s="2">
        <v>13</v>
      </c>
      <c r="E854" s="3">
        <v>-4009549</v>
      </c>
      <c r="F854" s="2" t="s">
        <v>20</v>
      </c>
      <c r="G854" s="2" t="s">
        <v>26</v>
      </c>
    </row>
    <row r="855" spans="1:7">
      <c r="A855" s="2">
        <v>854</v>
      </c>
      <c r="B855" s="2" t="s">
        <v>83</v>
      </c>
      <c r="C855" s="2" t="s">
        <v>16</v>
      </c>
      <c r="D855" s="2">
        <v>32</v>
      </c>
      <c r="E855" s="3">
        <v>-4014341.3</v>
      </c>
      <c r="F855" s="2" t="s">
        <v>9</v>
      </c>
      <c r="G855" s="2" t="s">
        <v>10</v>
      </c>
    </row>
    <row r="856" spans="1:7">
      <c r="A856" s="2">
        <v>855</v>
      </c>
      <c r="B856" s="2" t="s">
        <v>35</v>
      </c>
      <c r="C856" s="2" t="s">
        <v>12</v>
      </c>
      <c r="D856" s="2">
        <v>35</v>
      </c>
      <c r="E856" s="3">
        <v>-4019133.6</v>
      </c>
      <c r="F856" s="2" t="s">
        <v>9</v>
      </c>
      <c r="G856" s="2" t="s">
        <v>18</v>
      </c>
    </row>
    <row r="857" spans="1:7">
      <c r="A857" s="2">
        <v>856</v>
      </c>
      <c r="B857" s="2" t="s">
        <v>74</v>
      </c>
      <c r="C857" s="2" t="s">
        <v>12</v>
      </c>
      <c r="D857" s="2">
        <v>20</v>
      </c>
      <c r="E857" s="3">
        <v>-4023925.9</v>
      </c>
      <c r="F857" s="2" t="s">
        <v>38</v>
      </c>
      <c r="G857" s="2" t="s">
        <v>14</v>
      </c>
    </row>
    <row r="858" spans="1:7">
      <c r="A858" s="2">
        <v>857</v>
      </c>
      <c r="B858" s="2" t="s">
        <v>56</v>
      </c>
      <c r="C858" s="2" t="s">
        <v>12</v>
      </c>
      <c r="D858" s="2">
        <v>12</v>
      </c>
      <c r="E858" s="3">
        <v>-4028718.2</v>
      </c>
      <c r="F858" s="2" t="s">
        <v>32</v>
      </c>
      <c r="G858" s="2" t="s">
        <v>26</v>
      </c>
    </row>
    <row r="859" spans="1:7">
      <c r="A859" s="2">
        <v>858</v>
      </c>
      <c r="B859" s="2" t="s">
        <v>90</v>
      </c>
      <c r="C859" s="2" t="s">
        <v>22</v>
      </c>
      <c r="D859" s="2">
        <v>32</v>
      </c>
      <c r="E859" s="3">
        <v>-4033510.5</v>
      </c>
      <c r="F859" s="2" t="s">
        <v>13</v>
      </c>
      <c r="G859" s="2" t="s">
        <v>23</v>
      </c>
    </row>
    <row r="860" spans="1:7">
      <c r="A860" s="2">
        <v>859</v>
      </c>
      <c r="B860" s="2" t="s">
        <v>84</v>
      </c>
      <c r="C860" s="2" t="s">
        <v>22</v>
      </c>
      <c r="D860" s="2">
        <v>3</v>
      </c>
      <c r="E860" s="3">
        <v>-4038302.8</v>
      </c>
      <c r="F860" s="2" t="s">
        <v>38</v>
      </c>
      <c r="G860" s="2" t="s">
        <v>23</v>
      </c>
    </row>
    <row r="861" spans="1:7">
      <c r="A861" s="2">
        <v>860</v>
      </c>
      <c r="B861" s="2" t="s">
        <v>55</v>
      </c>
      <c r="C861" s="2" t="s">
        <v>22</v>
      </c>
      <c r="D861" s="2">
        <v>6</v>
      </c>
      <c r="E861" s="3">
        <v>-4043095.1</v>
      </c>
      <c r="F861" s="2" t="s">
        <v>13</v>
      </c>
      <c r="G861" s="2" t="s">
        <v>29</v>
      </c>
    </row>
    <row r="862" spans="1:7">
      <c r="A862" s="2">
        <v>861</v>
      </c>
      <c r="B862" s="2" t="s">
        <v>76</v>
      </c>
      <c r="C862" s="2" t="s">
        <v>8</v>
      </c>
      <c r="D862" s="2">
        <v>4</v>
      </c>
      <c r="E862" s="3">
        <v>-4047887.4</v>
      </c>
      <c r="F862" s="2" t="s">
        <v>38</v>
      </c>
      <c r="G862" s="2" t="s">
        <v>18</v>
      </c>
    </row>
    <row r="863" spans="1:7">
      <c r="A863" s="2">
        <v>862</v>
      </c>
      <c r="B863" s="2" t="s">
        <v>42</v>
      </c>
      <c r="C863" s="2" t="s">
        <v>22</v>
      </c>
      <c r="D863" s="2">
        <v>15</v>
      </c>
      <c r="E863" s="3">
        <v>-4052679.7</v>
      </c>
      <c r="F863" s="2" t="s">
        <v>32</v>
      </c>
      <c r="G863" s="2" t="s">
        <v>29</v>
      </c>
    </row>
    <row r="864" spans="1:7">
      <c r="A864" s="2">
        <v>863</v>
      </c>
      <c r="B864" s="2" t="s">
        <v>70</v>
      </c>
      <c r="C864" s="2" t="s">
        <v>8</v>
      </c>
      <c r="D864" s="2">
        <v>39</v>
      </c>
      <c r="E864" s="3">
        <v>-4057472</v>
      </c>
      <c r="F864" s="2" t="s">
        <v>28</v>
      </c>
      <c r="G864" s="2" t="s">
        <v>14</v>
      </c>
    </row>
    <row r="865" spans="1:7">
      <c r="A865" s="2">
        <v>864</v>
      </c>
      <c r="B865" s="2" t="s">
        <v>62</v>
      </c>
      <c r="C865" s="2" t="s">
        <v>12</v>
      </c>
      <c r="D865" s="2">
        <v>15</v>
      </c>
      <c r="E865" s="3">
        <v>-4062264.3</v>
      </c>
      <c r="F865" s="2" t="s">
        <v>9</v>
      </c>
      <c r="G865" s="2" t="s">
        <v>23</v>
      </c>
    </row>
    <row r="866" spans="1:7">
      <c r="A866" s="2">
        <v>865</v>
      </c>
      <c r="B866" s="2" t="s">
        <v>43</v>
      </c>
      <c r="C866" s="2" t="s">
        <v>22</v>
      </c>
      <c r="D866" s="2">
        <v>2</v>
      </c>
      <c r="E866" s="3">
        <v>-4067056.6</v>
      </c>
      <c r="F866" s="2" t="s">
        <v>13</v>
      </c>
      <c r="G866" s="2" t="s">
        <v>29</v>
      </c>
    </row>
    <row r="867" spans="1:7">
      <c r="A867" s="2">
        <v>866</v>
      </c>
      <c r="B867" s="2" t="s">
        <v>7</v>
      </c>
      <c r="C867" s="2" t="s">
        <v>8</v>
      </c>
      <c r="D867" s="2">
        <v>34</v>
      </c>
      <c r="E867" s="3">
        <v>-4071848.9</v>
      </c>
      <c r="F867" s="2" t="s">
        <v>28</v>
      </c>
      <c r="G867" s="2" t="s">
        <v>18</v>
      </c>
    </row>
    <row r="868" spans="1:7">
      <c r="A868" s="2">
        <v>867</v>
      </c>
      <c r="B868" s="2" t="s">
        <v>80</v>
      </c>
      <c r="C868" s="2" t="s">
        <v>12</v>
      </c>
      <c r="D868" s="2">
        <v>31</v>
      </c>
      <c r="E868" s="3">
        <v>-4076641.2</v>
      </c>
      <c r="F868" s="2" t="s">
        <v>28</v>
      </c>
      <c r="G868" s="2" t="s">
        <v>14</v>
      </c>
    </row>
    <row r="869" spans="1:7">
      <c r="A869" s="2">
        <v>868</v>
      </c>
      <c r="B869" s="2" t="s">
        <v>70</v>
      </c>
      <c r="C869" s="2" t="s">
        <v>12</v>
      </c>
      <c r="D869" s="2">
        <v>1</v>
      </c>
      <c r="E869" s="3">
        <v>-4081433.5</v>
      </c>
      <c r="F869" s="2" t="s">
        <v>9</v>
      </c>
      <c r="G869" s="2" t="s">
        <v>14</v>
      </c>
    </row>
    <row r="870" spans="1:7">
      <c r="A870" s="2">
        <v>869</v>
      </c>
      <c r="B870" s="2" t="s">
        <v>93</v>
      </c>
      <c r="C870" s="2" t="s">
        <v>22</v>
      </c>
      <c r="D870" s="2">
        <v>22</v>
      </c>
      <c r="E870" s="3">
        <v>-4086225.8</v>
      </c>
      <c r="F870" s="2" t="s">
        <v>25</v>
      </c>
      <c r="G870" s="2" t="s">
        <v>18</v>
      </c>
    </row>
    <row r="871" spans="1:7">
      <c r="A871" s="2">
        <v>870</v>
      </c>
      <c r="B871" s="2" t="s">
        <v>66</v>
      </c>
      <c r="C871" s="2" t="s">
        <v>16</v>
      </c>
      <c r="D871" s="2">
        <v>40</v>
      </c>
      <c r="E871" s="3">
        <v>-4091018.1</v>
      </c>
      <c r="F871" s="2" t="s">
        <v>13</v>
      </c>
      <c r="G871" s="2" t="s">
        <v>29</v>
      </c>
    </row>
    <row r="872" spans="1:7">
      <c r="A872" s="2">
        <v>871</v>
      </c>
      <c r="B872" s="2" t="s">
        <v>79</v>
      </c>
      <c r="C872" s="2" t="s">
        <v>16</v>
      </c>
      <c r="D872" s="2">
        <v>13</v>
      </c>
      <c r="E872" s="3">
        <v>-4095810.4</v>
      </c>
      <c r="F872" s="2" t="s">
        <v>28</v>
      </c>
      <c r="G872" s="2" t="s">
        <v>10</v>
      </c>
    </row>
    <row r="873" spans="1:7">
      <c r="A873" s="2">
        <v>872</v>
      </c>
      <c r="B873" s="2" t="s">
        <v>7</v>
      </c>
      <c r="C873" s="2" t="s">
        <v>12</v>
      </c>
      <c r="D873" s="2">
        <v>9</v>
      </c>
      <c r="E873" s="3">
        <v>-4100602.7</v>
      </c>
      <c r="F873" s="2" t="s">
        <v>38</v>
      </c>
      <c r="G873" s="2" t="s">
        <v>29</v>
      </c>
    </row>
    <row r="874" spans="1:7">
      <c r="A874" s="2">
        <v>873</v>
      </c>
      <c r="B874" s="2" t="s">
        <v>81</v>
      </c>
      <c r="C874" s="2" t="s">
        <v>16</v>
      </c>
      <c r="D874" s="2">
        <v>22</v>
      </c>
      <c r="E874" s="3">
        <v>-4105395</v>
      </c>
      <c r="F874" s="2" t="s">
        <v>25</v>
      </c>
      <c r="G874" s="2" t="s">
        <v>26</v>
      </c>
    </row>
    <row r="875" spans="1:7">
      <c r="A875" s="2">
        <v>874</v>
      </c>
      <c r="B875" s="2" t="s">
        <v>42</v>
      </c>
      <c r="C875" s="2" t="s">
        <v>16</v>
      </c>
      <c r="D875" s="2">
        <v>46</v>
      </c>
      <c r="E875" s="3">
        <v>-4110187.3</v>
      </c>
      <c r="F875" s="2" t="s">
        <v>9</v>
      </c>
      <c r="G875" s="2" t="s">
        <v>18</v>
      </c>
    </row>
    <row r="876" spans="1:7">
      <c r="A876" s="2">
        <v>875</v>
      </c>
      <c r="B876" s="2" t="s">
        <v>72</v>
      </c>
      <c r="C876" s="2" t="s">
        <v>8</v>
      </c>
      <c r="D876" s="2">
        <v>12</v>
      </c>
      <c r="E876" s="3">
        <v>-4114979.6</v>
      </c>
      <c r="F876" s="2" t="s">
        <v>9</v>
      </c>
      <c r="G876" s="2" t="s">
        <v>23</v>
      </c>
    </row>
    <row r="877" spans="1:7">
      <c r="A877" s="2">
        <v>876</v>
      </c>
      <c r="B877" s="2" t="s">
        <v>44</v>
      </c>
      <c r="C877" s="2" t="s">
        <v>8</v>
      </c>
      <c r="D877" s="2">
        <v>21</v>
      </c>
      <c r="E877" s="3">
        <v>-4119771.9</v>
      </c>
      <c r="F877" s="2" t="s">
        <v>20</v>
      </c>
      <c r="G877" s="2" t="s">
        <v>29</v>
      </c>
    </row>
    <row r="878" spans="1:7">
      <c r="A878" s="2">
        <v>877</v>
      </c>
      <c r="B878" s="2" t="s">
        <v>91</v>
      </c>
      <c r="C878" s="2" t="s">
        <v>8</v>
      </c>
      <c r="D878" s="2">
        <v>4</v>
      </c>
      <c r="E878" s="3">
        <v>-4124564.2</v>
      </c>
      <c r="F878" s="2" t="s">
        <v>20</v>
      </c>
      <c r="G878" s="2" t="s">
        <v>10</v>
      </c>
    </row>
    <row r="879" spans="1:7">
      <c r="A879" s="2">
        <v>878</v>
      </c>
      <c r="B879" s="2" t="s">
        <v>60</v>
      </c>
      <c r="C879" s="2" t="s">
        <v>12</v>
      </c>
      <c r="D879" s="2">
        <v>2</v>
      </c>
      <c r="E879" s="3">
        <v>-4129356.5</v>
      </c>
      <c r="F879" s="2" t="s">
        <v>25</v>
      </c>
      <c r="G879" s="2" t="s">
        <v>29</v>
      </c>
    </row>
    <row r="880" spans="1:7">
      <c r="A880" s="2">
        <v>879</v>
      </c>
      <c r="B880" s="2" t="s">
        <v>11</v>
      </c>
      <c r="C880" s="2" t="s">
        <v>16</v>
      </c>
      <c r="D880" s="2">
        <v>10</v>
      </c>
      <c r="E880" s="3">
        <v>-4134148.8</v>
      </c>
      <c r="F880" s="2" t="s">
        <v>25</v>
      </c>
      <c r="G880" s="2" t="s">
        <v>23</v>
      </c>
    </row>
    <row r="881" spans="1:7">
      <c r="A881" s="2">
        <v>880</v>
      </c>
      <c r="B881" s="2" t="s">
        <v>83</v>
      </c>
      <c r="C881" s="2" t="s">
        <v>22</v>
      </c>
      <c r="D881" s="2">
        <v>38</v>
      </c>
      <c r="E881" s="3">
        <v>-4138941.1</v>
      </c>
      <c r="F881" s="2" t="s">
        <v>13</v>
      </c>
      <c r="G881" s="2" t="s">
        <v>14</v>
      </c>
    </row>
    <row r="882" spans="1:7">
      <c r="A882" s="2">
        <v>881</v>
      </c>
      <c r="B882" s="2" t="s">
        <v>15</v>
      </c>
      <c r="C882" s="2" t="s">
        <v>16</v>
      </c>
      <c r="D882" s="2">
        <v>46</v>
      </c>
      <c r="E882" s="3">
        <v>-4143733.4</v>
      </c>
      <c r="F882" s="2" t="s">
        <v>13</v>
      </c>
      <c r="G882" s="2" t="s">
        <v>29</v>
      </c>
    </row>
    <row r="883" spans="1:7">
      <c r="A883" s="2">
        <v>882</v>
      </c>
      <c r="B883" s="2" t="s">
        <v>40</v>
      </c>
      <c r="C883" s="2" t="s">
        <v>12</v>
      </c>
      <c r="D883" s="2">
        <v>10</v>
      </c>
      <c r="E883" s="3">
        <v>-4148525.7</v>
      </c>
      <c r="F883" s="2" t="s">
        <v>17</v>
      </c>
      <c r="G883" s="2" t="s">
        <v>14</v>
      </c>
    </row>
    <row r="884" spans="1:7">
      <c r="A884" s="2">
        <v>883</v>
      </c>
      <c r="B884" s="2" t="s">
        <v>71</v>
      </c>
      <c r="C884" s="2" t="s">
        <v>8</v>
      </c>
      <c r="D884" s="2">
        <v>50</v>
      </c>
      <c r="E884" s="3">
        <v>-4153318</v>
      </c>
      <c r="F884" s="2" t="s">
        <v>9</v>
      </c>
      <c r="G884" s="2" t="s">
        <v>26</v>
      </c>
    </row>
    <row r="885" spans="1:7">
      <c r="A885" s="2">
        <v>884</v>
      </c>
      <c r="B885" s="2" t="s">
        <v>55</v>
      </c>
      <c r="C885" s="2" t="s">
        <v>12</v>
      </c>
      <c r="D885" s="2">
        <v>8</v>
      </c>
      <c r="E885" s="3">
        <v>-4158110.3</v>
      </c>
      <c r="F885" s="2" t="s">
        <v>38</v>
      </c>
      <c r="G885" s="2" t="s">
        <v>23</v>
      </c>
    </row>
    <row r="886" spans="1:7">
      <c r="A886" s="2">
        <v>885</v>
      </c>
      <c r="B886" s="2" t="s">
        <v>73</v>
      </c>
      <c r="C886" s="2" t="s">
        <v>8</v>
      </c>
      <c r="D886" s="2">
        <v>34</v>
      </c>
      <c r="E886" s="3">
        <v>-4162902.6</v>
      </c>
      <c r="F886" s="2" t="s">
        <v>25</v>
      </c>
      <c r="G886" s="2" t="s">
        <v>10</v>
      </c>
    </row>
    <row r="887" spans="1:7">
      <c r="A887" s="2">
        <v>886</v>
      </c>
      <c r="B887" s="2" t="s">
        <v>7</v>
      </c>
      <c r="C887" s="2" t="s">
        <v>12</v>
      </c>
      <c r="D887" s="2">
        <v>24</v>
      </c>
      <c r="E887" s="3">
        <v>-4167694.9</v>
      </c>
      <c r="F887" s="2" t="s">
        <v>9</v>
      </c>
      <c r="G887" s="2" t="s">
        <v>29</v>
      </c>
    </row>
    <row r="888" spans="1:7">
      <c r="A888" s="2">
        <v>887</v>
      </c>
      <c r="B888" s="2" t="s">
        <v>73</v>
      </c>
      <c r="C888" s="2" t="s">
        <v>22</v>
      </c>
      <c r="D888" s="2">
        <v>5</v>
      </c>
      <c r="E888" s="3">
        <v>-4172487.2</v>
      </c>
      <c r="F888" s="2" t="s">
        <v>32</v>
      </c>
      <c r="G888" s="2" t="s">
        <v>14</v>
      </c>
    </row>
    <row r="889" spans="1:7">
      <c r="A889" s="2">
        <v>888</v>
      </c>
      <c r="B889" s="2" t="s">
        <v>86</v>
      </c>
      <c r="C889" s="2" t="s">
        <v>8</v>
      </c>
      <c r="D889" s="2">
        <v>24</v>
      </c>
      <c r="E889" s="3">
        <v>-4177279.5</v>
      </c>
      <c r="F889" s="2" t="s">
        <v>9</v>
      </c>
      <c r="G889" s="2" t="s">
        <v>10</v>
      </c>
    </row>
    <row r="890" spans="1:7">
      <c r="A890" s="2">
        <v>889</v>
      </c>
      <c r="B890" s="2" t="s">
        <v>74</v>
      </c>
      <c r="C890" s="2" t="s">
        <v>8</v>
      </c>
      <c r="D890" s="2">
        <v>46</v>
      </c>
      <c r="E890" s="3">
        <v>-4182071.8</v>
      </c>
      <c r="F890" s="2" t="s">
        <v>20</v>
      </c>
      <c r="G890" s="2" t="s">
        <v>14</v>
      </c>
    </row>
    <row r="891" spans="1:7">
      <c r="A891" s="2">
        <v>890</v>
      </c>
      <c r="B891" s="2" t="s">
        <v>55</v>
      </c>
      <c r="C891" s="2" t="s">
        <v>16</v>
      </c>
      <c r="D891" s="2">
        <v>43</v>
      </c>
      <c r="E891" s="3">
        <v>-4186864.1</v>
      </c>
      <c r="F891" s="2" t="s">
        <v>28</v>
      </c>
      <c r="G891" s="2" t="s">
        <v>14</v>
      </c>
    </row>
    <row r="892" spans="1:7">
      <c r="A892" s="2">
        <v>891</v>
      </c>
      <c r="B892" s="2" t="s">
        <v>39</v>
      </c>
      <c r="C892" s="2" t="s">
        <v>12</v>
      </c>
      <c r="D892" s="2">
        <v>26</v>
      </c>
      <c r="E892" s="3">
        <v>-4191656.4</v>
      </c>
      <c r="F892" s="2" t="s">
        <v>17</v>
      </c>
      <c r="G892" s="2" t="s">
        <v>14</v>
      </c>
    </row>
    <row r="893" spans="1:7">
      <c r="A893" s="2">
        <v>892</v>
      </c>
      <c r="B893" s="2" t="s">
        <v>81</v>
      </c>
      <c r="C893" s="2" t="s">
        <v>16</v>
      </c>
      <c r="D893" s="2">
        <v>38</v>
      </c>
      <c r="E893" s="3">
        <v>-4196448.7</v>
      </c>
      <c r="F893" s="2" t="s">
        <v>25</v>
      </c>
      <c r="G893" s="2" t="s">
        <v>29</v>
      </c>
    </row>
    <row r="894" spans="1:7">
      <c r="A894" s="2">
        <v>893</v>
      </c>
      <c r="B894" s="2" t="s">
        <v>78</v>
      </c>
      <c r="C894" s="2" t="s">
        <v>12</v>
      </c>
      <c r="D894" s="2">
        <v>7</v>
      </c>
      <c r="E894" s="3">
        <v>-4201241</v>
      </c>
      <c r="F894" s="2" t="s">
        <v>20</v>
      </c>
      <c r="G894" s="2" t="s">
        <v>14</v>
      </c>
    </row>
    <row r="895" spans="1:7">
      <c r="A895" s="2">
        <v>894</v>
      </c>
      <c r="B895" s="2" t="s">
        <v>88</v>
      </c>
      <c r="C895" s="2" t="s">
        <v>22</v>
      </c>
      <c r="D895" s="2">
        <v>22</v>
      </c>
      <c r="E895" s="3">
        <v>-4206033.3</v>
      </c>
      <c r="F895" s="2" t="s">
        <v>20</v>
      </c>
      <c r="G895" s="2" t="s">
        <v>26</v>
      </c>
    </row>
    <row r="896" spans="1:7">
      <c r="A896" s="2">
        <v>895</v>
      </c>
      <c r="B896" s="2" t="s">
        <v>65</v>
      </c>
      <c r="C896" s="2" t="s">
        <v>16</v>
      </c>
      <c r="D896" s="2">
        <v>20</v>
      </c>
      <c r="E896" s="3">
        <v>-4210825.5999999996</v>
      </c>
      <c r="F896" s="2" t="s">
        <v>20</v>
      </c>
      <c r="G896" s="2" t="s">
        <v>26</v>
      </c>
    </row>
    <row r="897" spans="1:7">
      <c r="A897" s="2">
        <v>896</v>
      </c>
      <c r="B897" s="2" t="s">
        <v>93</v>
      </c>
      <c r="C897" s="2" t="s">
        <v>8</v>
      </c>
      <c r="D897" s="2">
        <v>21</v>
      </c>
      <c r="E897" s="3">
        <v>-4215617.9000000004</v>
      </c>
      <c r="F897" s="2" t="s">
        <v>9</v>
      </c>
      <c r="G897" s="2" t="s">
        <v>23</v>
      </c>
    </row>
    <row r="898" spans="1:7">
      <c r="A898" s="2">
        <v>897</v>
      </c>
      <c r="B898" s="2" t="s">
        <v>11</v>
      </c>
      <c r="C898" s="2" t="s">
        <v>22</v>
      </c>
      <c r="D898" s="2">
        <v>9</v>
      </c>
      <c r="E898" s="3">
        <v>-4220410.2</v>
      </c>
      <c r="F898" s="2" t="s">
        <v>17</v>
      </c>
      <c r="G898" s="2" t="s">
        <v>18</v>
      </c>
    </row>
    <row r="899" spans="1:7">
      <c r="A899" s="2">
        <v>898</v>
      </c>
      <c r="B899" s="2" t="s">
        <v>34</v>
      </c>
      <c r="C899" s="2" t="s">
        <v>12</v>
      </c>
      <c r="D899" s="2">
        <v>11</v>
      </c>
      <c r="E899" s="3">
        <v>-4225202.5</v>
      </c>
      <c r="F899" s="2" t="s">
        <v>20</v>
      </c>
      <c r="G899" s="2" t="s">
        <v>10</v>
      </c>
    </row>
    <row r="900" spans="1:7">
      <c r="A900" s="2">
        <v>899</v>
      </c>
      <c r="B900" s="2" t="s">
        <v>92</v>
      </c>
      <c r="C900" s="2" t="s">
        <v>8</v>
      </c>
      <c r="D900" s="2">
        <v>47</v>
      </c>
      <c r="E900" s="3">
        <v>-4229994.8</v>
      </c>
      <c r="F900" s="2" t="s">
        <v>13</v>
      </c>
      <c r="G900" s="2" t="s">
        <v>26</v>
      </c>
    </row>
    <row r="901" spans="1:7">
      <c r="A901" s="2">
        <v>900</v>
      </c>
      <c r="B901" s="2" t="s">
        <v>90</v>
      </c>
      <c r="C901" s="2" t="s">
        <v>12</v>
      </c>
      <c r="D901" s="2">
        <v>28</v>
      </c>
      <c r="E901" s="3">
        <v>-4234787.0999999996</v>
      </c>
      <c r="F901" s="2" t="s">
        <v>25</v>
      </c>
      <c r="G901" s="2" t="s">
        <v>10</v>
      </c>
    </row>
    <row r="902" spans="1:7">
      <c r="A902" s="2">
        <v>901</v>
      </c>
      <c r="B902" s="2" t="s">
        <v>49</v>
      </c>
      <c r="C902" s="2" t="s">
        <v>8</v>
      </c>
      <c r="D902" s="2">
        <v>41</v>
      </c>
      <c r="E902" s="3">
        <v>-4239579.4000000004</v>
      </c>
      <c r="F902" s="2" t="s">
        <v>13</v>
      </c>
      <c r="G902" s="2" t="s">
        <v>26</v>
      </c>
    </row>
    <row r="903" spans="1:7">
      <c r="A903" s="2">
        <v>902</v>
      </c>
      <c r="B903" s="2" t="s">
        <v>89</v>
      </c>
      <c r="C903" s="2" t="s">
        <v>12</v>
      </c>
      <c r="D903" s="2">
        <v>32</v>
      </c>
      <c r="E903" s="3">
        <v>-4244371.7</v>
      </c>
      <c r="F903" s="2" t="s">
        <v>13</v>
      </c>
      <c r="G903" s="2" t="s">
        <v>29</v>
      </c>
    </row>
    <row r="904" spans="1:7">
      <c r="A904" s="2">
        <v>903</v>
      </c>
      <c r="B904" s="2" t="s">
        <v>7</v>
      </c>
      <c r="C904" s="2" t="s">
        <v>8</v>
      </c>
      <c r="D904" s="2">
        <v>42</v>
      </c>
      <c r="E904" s="3">
        <v>-4249164</v>
      </c>
      <c r="F904" s="2" t="s">
        <v>38</v>
      </c>
      <c r="G904" s="2" t="s">
        <v>29</v>
      </c>
    </row>
    <row r="905" spans="1:7">
      <c r="A905" s="2">
        <v>904</v>
      </c>
      <c r="B905" s="2" t="s">
        <v>66</v>
      </c>
      <c r="C905" s="2" t="s">
        <v>12</v>
      </c>
      <c r="D905" s="2">
        <v>21</v>
      </c>
      <c r="E905" s="3">
        <v>-4253956.3</v>
      </c>
      <c r="F905" s="2" t="s">
        <v>25</v>
      </c>
      <c r="G905" s="2" t="s">
        <v>29</v>
      </c>
    </row>
    <row r="906" spans="1:7">
      <c r="A906" s="2">
        <v>905</v>
      </c>
      <c r="B906" s="2" t="s">
        <v>33</v>
      </c>
      <c r="C906" s="2" t="s">
        <v>16</v>
      </c>
      <c r="D906" s="2">
        <v>12</v>
      </c>
      <c r="E906" s="3">
        <v>-4258748.5999999996</v>
      </c>
      <c r="F906" s="2" t="s">
        <v>17</v>
      </c>
      <c r="G906" s="2" t="s">
        <v>26</v>
      </c>
    </row>
    <row r="907" spans="1:7">
      <c r="A907" s="2">
        <v>906</v>
      </c>
      <c r="B907" s="2" t="s">
        <v>90</v>
      </c>
      <c r="C907" s="2" t="s">
        <v>8</v>
      </c>
      <c r="D907" s="2">
        <v>46</v>
      </c>
      <c r="E907" s="3">
        <v>-4263540.9000000004</v>
      </c>
      <c r="F907" s="2" t="s">
        <v>25</v>
      </c>
      <c r="G907" s="2" t="s">
        <v>18</v>
      </c>
    </row>
    <row r="908" spans="1:7">
      <c r="A908" s="2">
        <v>907</v>
      </c>
      <c r="B908" s="2" t="s">
        <v>76</v>
      </c>
      <c r="C908" s="2" t="s">
        <v>8</v>
      </c>
      <c r="D908" s="2">
        <v>36</v>
      </c>
      <c r="E908" s="3">
        <v>-4268333.2</v>
      </c>
      <c r="F908" s="2" t="s">
        <v>25</v>
      </c>
      <c r="G908" s="2" t="s">
        <v>23</v>
      </c>
    </row>
    <row r="909" spans="1:7">
      <c r="A909" s="2">
        <v>908</v>
      </c>
      <c r="B909" s="2" t="s">
        <v>44</v>
      </c>
      <c r="C909" s="2" t="s">
        <v>16</v>
      </c>
      <c r="D909" s="2">
        <v>45</v>
      </c>
      <c r="E909" s="3">
        <v>-4273125.5</v>
      </c>
      <c r="F909" s="2" t="s">
        <v>25</v>
      </c>
      <c r="G909" s="2" t="s">
        <v>10</v>
      </c>
    </row>
    <row r="910" spans="1:7">
      <c r="A910" s="2">
        <v>909</v>
      </c>
      <c r="B910" s="2" t="s">
        <v>33</v>
      </c>
      <c r="C910" s="2" t="s">
        <v>12</v>
      </c>
      <c r="D910" s="2">
        <v>40</v>
      </c>
      <c r="E910" s="3">
        <v>-4277917.8</v>
      </c>
      <c r="F910" s="2" t="s">
        <v>25</v>
      </c>
      <c r="G910" s="2" t="s">
        <v>10</v>
      </c>
    </row>
    <row r="911" spans="1:7">
      <c r="A911" s="2">
        <v>910</v>
      </c>
      <c r="B911" s="2" t="s">
        <v>45</v>
      </c>
      <c r="C911" s="2" t="s">
        <v>8</v>
      </c>
      <c r="D911" s="2">
        <v>23</v>
      </c>
      <c r="E911" s="3">
        <v>-4282710.0999999996</v>
      </c>
      <c r="F911" s="2" t="s">
        <v>38</v>
      </c>
      <c r="G911" s="2" t="s">
        <v>29</v>
      </c>
    </row>
    <row r="912" spans="1:7">
      <c r="A912" s="2">
        <v>911</v>
      </c>
      <c r="B912" s="2" t="s">
        <v>91</v>
      </c>
      <c r="C912" s="2" t="s">
        <v>16</v>
      </c>
      <c r="D912" s="2">
        <v>15</v>
      </c>
      <c r="E912" s="3">
        <v>-4287502.4000000004</v>
      </c>
      <c r="F912" s="2" t="s">
        <v>13</v>
      </c>
      <c r="G912" s="2" t="s">
        <v>29</v>
      </c>
    </row>
    <row r="913" spans="1:7">
      <c r="A913" s="2">
        <v>912</v>
      </c>
      <c r="B913" s="2" t="s">
        <v>43</v>
      </c>
      <c r="C913" s="2" t="s">
        <v>12</v>
      </c>
      <c r="D913" s="2">
        <v>43</v>
      </c>
      <c r="E913" s="3">
        <v>-4292294.7</v>
      </c>
      <c r="F913" s="2" t="s">
        <v>28</v>
      </c>
      <c r="G913" s="2" t="s">
        <v>23</v>
      </c>
    </row>
    <row r="914" spans="1:7">
      <c r="A914" s="2">
        <v>913</v>
      </c>
      <c r="B914" s="2" t="s">
        <v>57</v>
      </c>
      <c r="C914" s="2" t="s">
        <v>8</v>
      </c>
      <c r="D914" s="2">
        <v>38</v>
      </c>
      <c r="E914" s="3">
        <v>-4297087</v>
      </c>
      <c r="F914" s="2" t="s">
        <v>28</v>
      </c>
      <c r="G914" s="2" t="s">
        <v>26</v>
      </c>
    </row>
    <row r="915" spans="1:7">
      <c r="A915" s="2">
        <v>914</v>
      </c>
      <c r="B915" s="2" t="s">
        <v>84</v>
      </c>
      <c r="C915" s="2" t="s">
        <v>8</v>
      </c>
      <c r="D915" s="2">
        <v>12</v>
      </c>
      <c r="E915" s="3">
        <v>-4301879.3</v>
      </c>
      <c r="F915" s="2" t="s">
        <v>9</v>
      </c>
      <c r="G915" s="2" t="s">
        <v>14</v>
      </c>
    </row>
    <row r="916" spans="1:7">
      <c r="A916" s="2">
        <v>915</v>
      </c>
      <c r="B916" s="2" t="s">
        <v>62</v>
      </c>
      <c r="C916" s="2" t="s">
        <v>12</v>
      </c>
      <c r="D916" s="2">
        <v>25</v>
      </c>
      <c r="E916" s="3">
        <v>-4306671.5999999996</v>
      </c>
      <c r="F916" s="2" t="s">
        <v>28</v>
      </c>
      <c r="G916" s="2" t="s">
        <v>23</v>
      </c>
    </row>
    <row r="917" spans="1:7">
      <c r="A917" s="2">
        <v>916</v>
      </c>
      <c r="B917" s="2" t="s">
        <v>46</v>
      </c>
      <c r="C917" s="2" t="s">
        <v>16</v>
      </c>
      <c r="D917" s="2">
        <v>20</v>
      </c>
      <c r="E917" s="3">
        <v>-4311463.9000000004</v>
      </c>
      <c r="F917" s="2" t="s">
        <v>25</v>
      </c>
      <c r="G917" s="2" t="s">
        <v>29</v>
      </c>
    </row>
    <row r="918" spans="1:7">
      <c r="A918" s="2">
        <v>917</v>
      </c>
      <c r="B918" s="2" t="s">
        <v>63</v>
      </c>
      <c r="C918" s="2" t="s">
        <v>8</v>
      </c>
      <c r="D918" s="2">
        <v>47</v>
      </c>
      <c r="E918" s="3">
        <v>-4316256.2</v>
      </c>
      <c r="F918" s="2" t="s">
        <v>20</v>
      </c>
      <c r="G918" s="2" t="s">
        <v>26</v>
      </c>
    </row>
    <row r="919" spans="1:7">
      <c r="A919" s="2">
        <v>918</v>
      </c>
      <c r="B919" s="2" t="s">
        <v>59</v>
      </c>
      <c r="C919" s="2" t="s">
        <v>12</v>
      </c>
      <c r="D919" s="2">
        <v>45</v>
      </c>
      <c r="E919" s="3">
        <v>-4321048.5</v>
      </c>
      <c r="F919" s="2" t="s">
        <v>25</v>
      </c>
      <c r="G919" s="2" t="s">
        <v>10</v>
      </c>
    </row>
    <row r="920" spans="1:7">
      <c r="A920" s="2">
        <v>919</v>
      </c>
      <c r="B920" s="2" t="s">
        <v>73</v>
      </c>
      <c r="C920" s="2" t="s">
        <v>8</v>
      </c>
      <c r="D920" s="2">
        <v>19</v>
      </c>
      <c r="E920" s="3">
        <v>-4325840.8</v>
      </c>
      <c r="F920" s="2" t="s">
        <v>32</v>
      </c>
      <c r="G920" s="2" t="s">
        <v>23</v>
      </c>
    </row>
    <row r="921" spans="1:7">
      <c r="A921" s="2">
        <v>920</v>
      </c>
      <c r="B921" s="2" t="s">
        <v>60</v>
      </c>
      <c r="C921" s="2" t="s">
        <v>12</v>
      </c>
      <c r="D921" s="2">
        <v>9</v>
      </c>
      <c r="E921" s="3">
        <v>-4330633.0999999996</v>
      </c>
      <c r="F921" s="2" t="s">
        <v>38</v>
      </c>
      <c r="G921" s="2" t="s">
        <v>14</v>
      </c>
    </row>
    <row r="922" spans="1:7">
      <c r="A922" s="2">
        <v>921</v>
      </c>
      <c r="B922" s="2" t="s">
        <v>73</v>
      </c>
      <c r="C922" s="2" t="s">
        <v>8</v>
      </c>
      <c r="D922" s="2">
        <v>12</v>
      </c>
      <c r="E922" s="3">
        <v>-4335425.4000000004</v>
      </c>
      <c r="F922" s="2" t="s">
        <v>28</v>
      </c>
      <c r="G922" s="2" t="s">
        <v>26</v>
      </c>
    </row>
    <row r="923" spans="1:7">
      <c r="A923" s="2">
        <v>922</v>
      </c>
      <c r="B923" s="2" t="s">
        <v>52</v>
      </c>
      <c r="C923" s="2" t="s">
        <v>22</v>
      </c>
      <c r="D923" s="2">
        <v>47</v>
      </c>
      <c r="E923" s="3">
        <v>-4340217.7</v>
      </c>
      <c r="F923" s="2" t="s">
        <v>38</v>
      </c>
      <c r="G923" s="2" t="s">
        <v>18</v>
      </c>
    </row>
    <row r="924" spans="1:7">
      <c r="A924" s="2">
        <v>923</v>
      </c>
      <c r="B924" s="2" t="s">
        <v>59</v>
      </c>
      <c r="C924" s="2" t="s">
        <v>16</v>
      </c>
      <c r="D924" s="2">
        <v>1</v>
      </c>
      <c r="E924" s="3">
        <v>-4345010</v>
      </c>
      <c r="F924" s="2" t="s">
        <v>9</v>
      </c>
      <c r="G924" s="2" t="s">
        <v>18</v>
      </c>
    </row>
    <row r="925" spans="1:7">
      <c r="A925" s="2">
        <v>924</v>
      </c>
      <c r="B925" s="2" t="s">
        <v>67</v>
      </c>
      <c r="C925" s="2" t="s">
        <v>16</v>
      </c>
      <c r="D925" s="2">
        <v>45</v>
      </c>
      <c r="E925" s="3">
        <v>-4349802.3</v>
      </c>
      <c r="F925" s="2" t="s">
        <v>9</v>
      </c>
      <c r="G925" s="2" t="s">
        <v>10</v>
      </c>
    </row>
    <row r="926" spans="1:7">
      <c r="A926" s="2">
        <v>925</v>
      </c>
      <c r="B926" s="2" t="s">
        <v>52</v>
      </c>
      <c r="C926" s="2" t="s">
        <v>22</v>
      </c>
      <c r="D926" s="2">
        <v>37</v>
      </c>
      <c r="E926" s="3">
        <v>-4354594.5999999996</v>
      </c>
      <c r="F926" s="2" t="s">
        <v>9</v>
      </c>
      <c r="G926" s="2" t="s">
        <v>14</v>
      </c>
    </row>
    <row r="927" spans="1:7">
      <c r="A927" s="2">
        <v>926</v>
      </c>
      <c r="B927" s="2" t="s">
        <v>7</v>
      </c>
      <c r="C927" s="2" t="s">
        <v>12</v>
      </c>
      <c r="D927" s="2">
        <v>26</v>
      </c>
      <c r="E927" s="3">
        <v>-4359386.9000000004</v>
      </c>
      <c r="F927" s="2" t="s">
        <v>38</v>
      </c>
      <c r="G927" s="2" t="s">
        <v>23</v>
      </c>
    </row>
    <row r="928" spans="1:7">
      <c r="A928" s="2">
        <v>927</v>
      </c>
      <c r="B928" s="2" t="s">
        <v>46</v>
      </c>
      <c r="C928" s="2" t="s">
        <v>16</v>
      </c>
      <c r="D928" s="2">
        <v>50</v>
      </c>
      <c r="E928" s="3">
        <v>-4364179.2</v>
      </c>
      <c r="F928" s="2" t="s">
        <v>9</v>
      </c>
      <c r="G928" s="2" t="s">
        <v>29</v>
      </c>
    </row>
    <row r="929" spans="1:7">
      <c r="A929" s="2">
        <v>928</v>
      </c>
      <c r="B929" s="2" t="s">
        <v>92</v>
      </c>
      <c r="C929" s="2" t="s">
        <v>12</v>
      </c>
      <c r="D929" s="2">
        <v>37</v>
      </c>
      <c r="E929" s="3">
        <v>-4368971.5</v>
      </c>
      <c r="F929" s="2" t="s">
        <v>32</v>
      </c>
      <c r="G929" s="2" t="s">
        <v>29</v>
      </c>
    </row>
    <row r="930" spans="1:7">
      <c r="A930" s="2">
        <v>929</v>
      </c>
      <c r="B930" s="2" t="s">
        <v>41</v>
      </c>
      <c r="C930" s="2" t="s">
        <v>8</v>
      </c>
      <c r="D930" s="2">
        <v>3</v>
      </c>
      <c r="E930" s="3">
        <v>-4373763.8</v>
      </c>
      <c r="F930" s="2" t="s">
        <v>32</v>
      </c>
      <c r="G930" s="2" t="s">
        <v>14</v>
      </c>
    </row>
    <row r="931" spans="1:7">
      <c r="A931" s="2">
        <v>930</v>
      </c>
      <c r="B931" s="2" t="s">
        <v>88</v>
      </c>
      <c r="C931" s="2" t="s">
        <v>22</v>
      </c>
      <c r="D931" s="2">
        <v>12</v>
      </c>
      <c r="E931" s="3">
        <v>-4378556.0999999996</v>
      </c>
      <c r="F931" s="2" t="s">
        <v>9</v>
      </c>
      <c r="G931" s="2" t="s">
        <v>23</v>
      </c>
    </row>
    <row r="932" spans="1:7">
      <c r="A932" s="2">
        <v>931</v>
      </c>
      <c r="B932" s="2" t="s">
        <v>44</v>
      </c>
      <c r="C932" s="2" t="s">
        <v>12</v>
      </c>
      <c r="D932" s="2">
        <v>39</v>
      </c>
      <c r="E932" s="3">
        <v>-4383348.4000000004</v>
      </c>
      <c r="F932" s="2" t="s">
        <v>9</v>
      </c>
      <c r="G932" s="2" t="s">
        <v>14</v>
      </c>
    </row>
    <row r="933" spans="1:7">
      <c r="A933" s="2">
        <v>932</v>
      </c>
      <c r="B933" s="2" t="s">
        <v>41</v>
      </c>
      <c r="C933" s="2" t="s">
        <v>12</v>
      </c>
      <c r="D933" s="2">
        <v>21</v>
      </c>
      <c r="E933" s="3">
        <v>-4388140.7</v>
      </c>
      <c r="F933" s="2" t="s">
        <v>13</v>
      </c>
      <c r="G933" s="2" t="s">
        <v>23</v>
      </c>
    </row>
    <row r="934" spans="1:7">
      <c r="A934" s="2">
        <v>933</v>
      </c>
      <c r="B934" s="2" t="s">
        <v>87</v>
      </c>
      <c r="C934" s="2" t="s">
        <v>16</v>
      </c>
      <c r="D934" s="2">
        <v>40</v>
      </c>
      <c r="E934" s="3">
        <v>-4392933</v>
      </c>
      <c r="F934" s="2" t="s">
        <v>9</v>
      </c>
      <c r="G934" s="2" t="s">
        <v>18</v>
      </c>
    </row>
    <row r="935" spans="1:7">
      <c r="A935" s="2">
        <v>934</v>
      </c>
      <c r="B935" s="2" t="s">
        <v>45</v>
      </c>
      <c r="C935" s="2" t="s">
        <v>8</v>
      </c>
      <c r="D935" s="2">
        <v>15</v>
      </c>
      <c r="E935" s="3">
        <v>-4397725.3</v>
      </c>
      <c r="F935" s="2" t="s">
        <v>20</v>
      </c>
      <c r="G935" s="2" t="s">
        <v>23</v>
      </c>
    </row>
    <row r="936" spans="1:7">
      <c r="A936" s="2">
        <v>935</v>
      </c>
      <c r="B936" s="2" t="s">
        <v>73</v>
      </c>
      <c r="C936" s="2" t="s">
        <v>16</v>
      </c>
      <c r="D936" s="2">
        <v>41</v>
      </c>
      <c r="E936" s="3">
        <v>-4402517.5999999996</v>
      </c>
      <c r="F936" s="2" t="s">
        <v>38</v>
      </c>
      <c r="G936" s="2" t="s">
        <v>23</v>
      </c>
    </row>
    <row r="937" spans="1:7">
      <c r="A937" s="2">
        <v>936</v>
      </c>
      <c r="B937" s="2" t="s">
        <v>27</v>
      </c>
      <c r="C937" s="2" t="s">
        <v>8</v>
      </c>
      <c r="D937" s="2">
        <v>37</v>
      </c>
      <c r="E937" s="3">
        <v>-4407309.9000000004</v>
      </c>
      <c r="F937" s="2" t="s">
        <v>32</v>
      </c>
      <c r="G937" s="2" t="s">
        <v>29</v>
      </c>
    </row>
    <row r="938" spans="1:7">
      <c r="A938" s="2">
        <v>937</v>
      </c>
      <c r="B938" s="2" t="s">
        <v>53</v>
      </c>
      <c r="C938" s="2" t="s">
        <v>16</v>
      </c>
      <c r="D938" s="2">
        <v>7</v>
      </c>
      <c r="E938" s="3">
        <v>-4412102.2</v>
      </c>
      <c r="F938" s="2" t="s">
        <v>28</v>
      </c>
      <c r="G938" s="2" t="s">
        <v>10</v>
      </c>
    </row>
    <row r="939" spans="1:7">
      <c r="A939" s="2">
        <v>938</v>
      </c>
      <c r="B939" s="2" t="s">
        <v>70</v>
      </c>
      <c r="C939" s="2" t="s">
        <v>12</v>
      </c>
      <c r="D939" s="2">
        <v>32</v>
      </c>
      <c r="E939" s="3">
        <v>-4416894.5</v>
      </c>
      <c r="F939" s="2" t="s">
        <v>32</v>
      </c>
      <c r="G939" s="2" t="s">
        <v>26</v>
      </c>
    </row>
    <row r="940" spans="1:7">
      <c r="A940" s="2">
        <v>939</v>
      </c>
      <c r="B940" s="2" t="s">
        <v>53</v>
      </c>
      <c r="C940" s="2" t="s">
        <v>12</v>
      </c>
      <c r="D940" s="2">
        <v>10</v>
      </c>
      <c r="E940" s="3">
        <v>-4421686.8</v>
      </c>
      <c r="F940" s="2" t="s">
        <v>38</v>
      </c>
      <c r="G940" s="2" t="s">
        <v>26</v>
      </c>
    </row>
    <row r="941" spans="1:7">
      <c r="A941" s="2">
        <v>940</v>
      </c>
      <c r="B941" s="2" t="s">
        <v>58</v>
      </c>
      <c r="C941" s="2" t="s">
        <v>22</v>
      </c>
      <c r="D941" s="2">
        <v>22</v>
      </c>
      <c r="E941" s="3">
        <v>-4426479.0999999996</v>
      </c>
      <c r="F941" s="2" t="s">
        <v>25</v>
      </c>
      <c r="G941" s="2" t="s">
        <v>29</v>
      </c>
    </row>
    <row r="942" spans="1:7">
      <c r="A942" s="2">
        <v>941</v>
      </c>
      <c r="B942" s="2" t="s">
        <v>74</v>
      </c>
      <c r="C942" s="2" t="s">
        <v>12</v>
      </c>
      <c r="D942" s="2">
        <v>48</v>
      </c>
      <c r="E942" s="3">
        <v>-4431271.4000000004</v>
      </c>
      <c r="F942" s="2" t="s">
        <v>25</v>
      </c>
      <c r="G942" s="2" t="s">
        <v>18</v>
      </c>
    </row>
    <row r="943" spans="1:7">
      <c r="A943" s="2">
        <v>942</v>
      </c>
      <c r="B943" s="2" t="s">
        <v>30</v>
      </c>
      <c r="C943" s="2" t="s">
        <v>12</v>
      </c>
      <c r="D943" s="2">
        <v>5</v>
      </c>
      <c r="E943" s="3">
        <v>-4436063.7</v>
      </c>
      <c r="F943" s="2" t="s">
        <v>38</v>
      </c>
      <c r="G943" s="2" t="s">
        <v>14</v>
      </c>
    </row>
    <row r="944" spans="1:7">
      <c r="A944" s="2">
        <v>943</v>
      </c>
      <c r="B944" s="2" t="s">
        <v>85</v>
      </c>
      <c r="C944" s="2" t="s">
        <v>12</v>
      </c>
      <c r="D944" s="2">
        <v>16</v>
      </c>
      <c r="E944" s="3">
        <v>-4440856</v>
      </c>
      <c r="F944" s="2" t="s">
        <v>17</v>
      </c>
      <c r="G944" s="2" t="s">
        <v>29</v>
      </c>
    </row>
    <row r="945" spans="1:7">
      <c r="A945" s="2">
        <v>944</v>
      </c>
      <c r="B945" s="2" t="s">
        <v>30</v>
      </c>
      <c r="C945" s="2" t="s">
        <v>12</v>
      </c>
      <c r="D945" s="2">
        <v>23</v>
      </c>
      <c r="E945" s="3">
        <v>-4445648.3</v>
      </c>
      <c r="F945" s="2" t="s">
        <v>38</v>
      </c>
      <c r="G945" s="2" t="s">
        <v>14</v>
      </c>
    </row>
    <row r="946" spans="1:7">
      <c r="A946" s="2">
        <v>945</v>
      </c>
      <c r="B946" s="2" t="s">
        <v>84</v>
      </c>
      <c r="C946" s="2" t="s">
        <v>22</v>
      </c>
      <c r="D946" s="2">
        <v>21</v>
      </c>
      <c r="E946" s="3">
        <v>-4450440.5999999996</v>
      </c>
      <c r="F946" s="2" t="s">
        <v>25</v>
      </c>
      <c r="G946" s="2" t="s">
        <v>29</v>
      </c>
    </row>
    <row r="947" spans="1:7">
      <c r="A947" s="2">
        <v>946</v>
      </c>
      <c r="B947" s="2" t="s">
        <v>74</v>
      </c>
      <c r="C947" s="2" t="s">
        <v>8</v>
      </c>
      <c r="D947" s="2">
        <v>11</v>
      </c>
      <c r="E947" s="3">
        <v>-4455232.9000000004</v>
      </c>
      <c r="F947" s="2" t="s">
        <v>38</v>
      </c>
      <c r="G947" s="2" t="s">
        <v>26</v>
      </c>
    </row>
    <row r="948" spans="1:7">
      <c r="A948" s="2">
        <v>947</v>
      </c>
      <c r="B948" s="2" t="s">
        <v>11</v>
      </c>
      <c r="C948" s="2" t="s">
        <v>22</v>
      </c>
      <c r="D948" s="2">
        <v>41</v>
      </c>
      <c r="E948" s="3">
        <v>-4460025.2</v>
      </c>
      <c r="F948" s="2" t="s">
        <v>28</v>
      </c>
      <c r="G948" s="2" t="s">
        <v>10</v>
      </c>
    </row>
    <row r="949" spans="1:7">
      <c r="A949" s="2">
        <v>948</v>
      </c>
      <c r="B949" s="2" t="s">
        <v>66</v>
      </c>
      <c r="C949" s="2" t="s">
        <v>22</v>
      </c>
      <c r="D949" s="2">
        <v>6</v>
      </c>
      <c r="E949" s="3">
        <v>-4464817.5</v>
      </c>
      <c r="F949" s="2" t="s">
        <v>17</v>
      </c>
      <c r="G949" s="2" t="s">
        <v>10</v>
      </c>
    </row>
    <row r="950" spans="1:7">
      <c r="A950" s="2">
        <v>949</v>
      </c>
      <c r="B950" s="2" t="s">
        <v>30</v>
      </c>
      <c r="C950" s="2" t="s">
        <v>16</v>
      </c>
      <c r="D950" s="2">
        <v>46</v>
      </c>
      <c r="E950" s="3">
        <v>-4469609.8</v>
      </c>
      <c r="F950" s="2" t="s">
        <v>20</v>
      </c>
      <c r="G950" s="2" t="s">
        <v>29</v>
      </c>
    </row>
    <row r="951" spans="1:7">
      <c r="A951" s="2">
        <v>950</v>
      </c>
      <c r="B951" s="2" t="s">
        <v>92</v>
      </c>
      <c r="C951" s="2" t="s">
        <v>8</v>
      </c>
      <c r="D951" s="2">
        <v>43</v>
      </c>
      <c r="E951" s="3">
        <v>-4474402.0999999996</v>
      </c>
      <c r="F951" s="2" t="s">
        <v>38</v>
      </c>
      <c r="G951" s="2" t="s">
        <v>29</v>
      </c>
    </row>
    <row r="952" spans="1:7">
      <c r="A952" s="2">
        <v>951</v>
      </c>
      <c r="B952" s="2" t="s">
        <v>90</v>
      </c>
      <c r="C952" s="2" t="s">
        <v>16</v>
      </c>
      <c r="D952" s="2">
        <v>41</v>
      </c>
      <c r="E952" s="3">
        <v>-4479194.4000000004</v>
      </c>
      <c r="F952" s="2" t="s">
        <v>20</v>
      </c>
      <c r="G952" s="2" t="s">
        <v>26</v>
      </c>
    </row>
    <row r="953" spans="1:7">
      <c r="A953" s="2">
        <v>952</v>
      </c>
      <c r="B953" s="2" t="s">
        <v>73</v>
      </c>
      <c r="C953" s="2" t="s">
        <v>22</v>
      </c>
      <c r="D953" s="2">
        <v>47</v>
      </c>
      <c r="E953" s="3">
        <v>-4483986.7</v>
      </c>
      <c r="F953" s="2" t="s">
        <v>13</v>
      </c>
      <c r="G953" s="2" t="s">
        <v>14</v>
      </c>
    </row>
    <row r="954" spans="1:7">
      <c r="A954" s="2">
        <v>953</v>
      </c>
      <c r="B954" s="2" t="s">
        <v>78</v>
      </c>
      <c r="C954" s="2" t="s">
        <v>12</v>
      </c>
      <c r="D954" s="2">
        <v>22</v>
      </c>
      <c r="E954" s="3">
        <v>-4488779</v>
      </c>
      <c r="F954" s="2" t="s">
        <v>25</v>
      </c>
      <c r="G954" s="2" t="s">
        <v>14</v>
      </c>
    </row>
    <row r="955" spans="1:7">
      <c r="A955" s="2">
        <v>954</v>
      </c>
      <c r="B955" s="2" t="s">
        <v>76</v>
      </c>
      <c r="C955" s="2" t="s">
        <v>8</v>
      </c>
      <c r="D955" s="2">
        <v>29</v>
      </c>
      <c r="E955" s="3">
        <v>-4493571.3</v>
      </c>
      <c r="F955" s="2" t="s">
        <v>25</v>
      </c>
      <c r="G955" s="2" t="s">
        <v>26</v>
      </c>
    </row>
    <row r="956" spans="1:7">
      <c r="A956" s="2">
        <v>955</v>
      </c>
      <c r="B956" s="2" t="s">
        <v>64</v>
      </c>
      <c r="C956" s="2" t="s">
        <v>12</v>
      </c>
      <c r="D956" s="2">
        <v>1</v>
      </c>
      <c r="E956" s="3">
        <v>-4498363.5999999996</v>
      </c>
      <c r="F956" s="2" t="s">
        <v>28</v>
      </c>
      <c r="G956" s="2" t="s">
        <v>18</v>
      </c>
    </row>
    <row r="957" spans="1:7">
      <c r="A957" s="2">
        <v>956</v>
      </c>
      <c r="B957" s="2" t="s">
        <v>86</v>
      </c>
      <c r="C957" s="2" t="s">
        <v>22</v>
      </c>
      <c r="D957" s="2">
        <v>17</v>
      </c>
      <c r="E957" s="3">
        <v>-4503155.9000000004</v>
      </c>
      <c r="F957" s="2" t="s">
        <v>25</v>
      </c>
      <c r="G957" s="2" t="s">
        <v>18</v>
      </c>
    </row>
    <row r="958" spans="1:7">
      <c r="A958" s="2">
        <v>957</v>
      </c>
      <c r="B958" s="2" t="s">
        <v>75</v>
      </c>
      <c r="C958" s="2" t="s">
        <v>22</v>
      </c>
      <c r="D958" s="2">
        <v>14</v>
      </c>
      <c r="E958" s="3">
        <v>-4507948.2</v>
      </c>
      <c r="F958" s="2" t="s">
        <v>9</v>
      </c>
      <c r="G958" s="2" t="s">
        <v>29</v>
      </c>
    </row>
    <row r="959" spans="1:7">
      <c r="A959" s="2">
        <v>958</v>
      </c>
      <c r="B959" s="2" t="s">
        <v>91</v>
      </c>
      <c r="C959" s="2" t="s">
        <v>22</v>
      </c>
      <c r="D959" s="2">
        <v>16</v>
      </c>
      <c r="E959" s="3">
        <v>-4512740.5</v>
      </c>
      <c r="F959" s="2" t="s">
        <v>17</v>
      </c>
      <c r="G959" s="2" t="s">
        <v>10</v>
      </c>
    </row>
    <row r="960" spans="1:7">
      <c r="A960" s="2">
        <v>959</v>
      </c>
      <c r="B960" s="2" t="s">
        <v>15</v>
      </c>
      <c r="C960" s="2" t="s">
        <v>8</v>
      </c>
      <c r="D960" s="2">
        <v>45</v>
      </c>
      <c r="E960" s="3">
        <v>-4517532.8</v>
      </c>
      <c r="F960" s="2" t="s">
        <v>38</v>
      </c>
      <c r="G960" s="2" t="s">
        <v>18</v>
      </c>
    </row>
    <row r="961" spans="1:7">
      <c r="A961" s="2">
        <v>960</v>
      </c>
      <c r="B961" s="2" t="s">
        <v>73</v>
      </c>
      <c r="C961" s="2" t="s">
        <v>16</v>
      </c>
      <c r="D961" s="2">
        <v>5</v>
      </c>
      <c r="E961" s="3">
        <v>-4522325.0999999996</v>
      </c>
      <c r="F961" s="2" t="s">
        <v>20</v>
      </c>
      <c r="G961" s="2" t="s">
        <v>18</v>
      </c>
    </row>
    <row r="962" spans="1:7">
      <c r="A962" s="2">
        <v>961</v>
      </c>
      <c r="B962" s="2" t="s">
        <v>73</v>
      </c>
      <c r="C962" s="2" t="s">
        <v>16</v>
      </c>
      <c r="D962" s="2">
        <v>23</v>
      </c>
      <c r="E962" s="3">
        <v>-4527117.4000000004</v>
      </c>
      <c r="F962" s="2" t="s">
        <v>28</v>
      </c>
      <c r="G962" s="2" t="s">
        <v>23</v>
      </c>
    </row>
    <row r="963" spans="1:7">
      <c r="A963" s="2">
        <v>962</v>
      </c>
      <c r="B963" s="2" t="s">
        <v>51</v>
      </c>
      <c r="C963" s="2" t="s">
        <v>12</v>
      </c>
      <c r="D963" s="2">
        <v>17</v>
      </c>
      <c r="E963" s="3">
        <v>-4531909.7</v>
      </c>
      <c r="F963" s="2" t="s">
        <v>17</v>
      </c>
      <c r="G963" s="2" t="s">
        <v>10</v>
      </c>
    </row>
    <row r="964" spans="1:7">
      <c r="A964" s="2">
        <v>963</v>
      </c>
      <c r="B964" s="2" t="s">
        <v>76</v>
      </c>
      <c r="C964" s="2" t="s">
        <v>8</v>
      </c>
      <c r="D964" s="2">
        <v>7</v>
      </c>
      <c r="E964" s="3">
        <v>-4536702</v>
      </c>
      <c r="F964" s="2" t="s">
        <v>17</v>
      </c>
      <c r="G964" s="2" t="s">
        <v>14</v>
      </c>
    </row>
    <row r="965" spans="1:7">
      <c r="A965" s="2">
        <v>964</v>
      </c>
      <c r="B965" s="2" t="s">
        <v>33</v>
      </c>
      <c r="C965" s="2" t="s">
        <v>12</v>
      </c>
      <c r="D965" s="2">
        <v>47</v>
      </c>
      <c r="E965" s="3">
        <v>-4541494.3</v>
      </c>
      <c r="F965" s="2" t="s">
        <v>13</v>
      </c>
      <c r="G965" s="2" t="s">
        <v>14</v>
      </c>
    </row>
    <row r="966" spans="1:7">
      <c r="A966" s="2">
        <v>965</v>
      </c>
      <c r="B966" s="2" t="s">
        <v>37</v>
      </c>
      <c r="C966" s="2" t="s">
        <v>12</v>
      </c>
      <c r="D966" s="2">
        <v>1</v>
      </c>
      <c r="E966" s="3">
        <v>-4546286.5999999996</v>
      </c>
      <c r="F966" s="2" t="s">
        <v>20</v>
      </c>
      <c r="G966" s="2" t="s">
        <v>26</v>
      </c>
    </row>
    <row r="967" spans="1:7">
      <c r="A967" s="2">
        <v>966</v>
      </c>
      <c r="B967" s="2" t="s">
        <v>72</v>
      </c>
      <c r="C967" s="2" t="s">
        <v>16</v>
      </c>
      <c r="D967" s="2">
        <v>4</v>
      </c>
      <c r="E967" s="3">
        <v>-4551078.9000000004</v>
      </c>
      <c r="F967" s="2" t="s">
        <v>13</v>
      </c>
      <c r="G967" s="2" t="s">
        <v>14</v>
      </c>
    </row>
    <row r="968" spans="1:7">
      <c r="A968" s="2">
        <v>967</v>
      </c>
      <c r="B968" s="2" t="s">
        <v>70</v>
      </c>
      <c r="C968" s="2" t="s">
        <v>8</v>
      </c>
      <c r="D968" s="2">
        <v>25</v>
      </c>
      <c r="E968" s="3">
        <v>-4555871.2</v>
      </c>
      <c r="F968" s="2" t="s">
        <v>20</v>
      </c>
      <c r="G968" s="2" t="s">
        <v>23</v>
      </c>
    </row>
    <row r="969" spans="1:7">
      <c r="A969" s="2">
        <v>968</v>
      </c>
      <c r="B969" s="2" t="s">
        <v>30</v>
      </c>
      <c r="C969" s="2" t="s">
        <v>22</v>
      </c>
      <c r="D969" s="2">
        <v>29</v>
      </c>
      <c r="E969" s="3">
        <v>-4560663.5</v>
      </c>
      <c r="F969" s="2" t="s">
        <v>28</v>
      </c>
      <c r="G969" s="2" t="s">
        <v>29</v>
      </c>
    </row>
    <row r="970" spans="1:7">
      <c r="A970" s="2">
        <v>969</v>
      </c>
      <c r="B970" s="2" t="s">
        <v>36</v>
      </c>
      <c r="C970" s="2" t="s">
        <v>12</v>
      </c>
      <c r="D970" s="2">
        <v>47</v>
      </c>
      <c r="E970" s="3">
        <v>-4565455.8</v>
      </c>
      <c r="F970" s="2" t="s">
        <v>9</v>
      </c>
      <c r="G970" s="2" t="s">
        <v>29</v>
      </c>
    </row>
    <row r="971" spans="1:7">
      <c r="A971" s="2">
        <v>970</v>
      </c>
      <c r="B971" s="2" t="s">
        <v>39</v>
      </c>
      <c r="C971" s="2" t="s">
        <v>22</v>
      </c>
      <c r="D971" s="2">
        <v>27</v>
      </c>
      <c r="E971" s="3">
        <v>-4570248.0999999996</v>
      </c>
      <c r="F971" s="2" t="s">
        <v>25</v>
      </c>
      <c r="G971" s="2" t="s">
        <v>14</v>
      </c>
    </row>
    <row r="972" spans="1:7">
      <c r="A972" s="2">
        <v>971</v>
      </c>
      <c r="B972" s="2" t="s">
        <v>79</v>
      </c>
      <c r="C972" s="2" t="s">
        <v>8</v>
      </c>
      <c r="D972" s="2">
        <v>11</v>
      </c>
      <c r="E972" s="3">
        <v>-4575040.4000000004</v>
      </c>
      <c r="F972" s="2" t="s">
        <v>20</v>
      </c>
      <c r="G972" s="2" t="s">
        <v>10</v>
      </c>
    </row>
    <row r="973" spans="1:7">
      <c r="A973" s="2">
        <v>972</v>
      </c>
      <c r="B973" s="2" t="s">
        <v>31</v>
      </c>
      <c r="C973" s="2" t="s">
        <v>12</v>
      </c>
      <c r="D973" s="2">
        <v>27</v>
      </c>
      <c r="E973" s="3">
        <v>-4579832.7</v>
      </c>
      <c r="F973" s="2" t="s">
        <v>28</v>
      </c>
      <c r="G973" s="2" t="s">
        <v>23</v>
      </c>
    </row>
    <row r="974" spans="1:7">
      <c r="A974" s="2">
        <v>973</v>
      </c>
      <c r="B974" s="2" t="s">
        <v>64</v>
      </c>
      <c r="C974" s="2" t="s">
        <v>22</v>
      </c>
      <c r="D974" s="2">
        <v>32</v>
      </c>
      <c r="E974" s="3">
        <v>-4584625</v>
      </c>
      <c r="F974" s="2" t="s">
        <v>17</v>
      </c>
      <c r="G974" s="2" t="s">
        <v>14</v>
      </c>
    </row>
    <row r="975" spans="1:7">
      <c r="A975" s="2">
        <v>974</v>
      </c>
      <c r="B975" s="2" t="s">
        <v>60</v>
      </c>
      <c r="C975" s="2" t="s">
        <v>22</v>
      </c>
      <c r="D975" s="2">
        <v>25</v>
      </c>
      <c r="E975" s="3">
        <v>-4589417.3</v>
      </c>
      <c r="F975" s="2" t="s">
        <v>13</v>
      </c>
      <c r="G975" s="2" t="s">
        <v>14</v>
      </c>
    </row>
    <row r="976" spans="1:7">
      <c r="A976" s="2">
        <v>975</v>
      </c>
      <c r="B976" s="2" t="s">
        <v>88</v>
      </c>
      <c r="C976" s="2" t="s">
        <v>16</v>
      </c>
      <c r="D976" s="2">
        <v>23</v>
      </c>
      <c r="E976" s="3">
        <v>-4594209.5999999996</v>
      </c>
      <c r="F976" s="2" t="s">
        <v>32</v>
      </c>
      <c r="G976" s="2" t="s">
        <v>29</v>
      </c>
    </row>
    <row r="977" spans="1:7">
      <c r="A977" s="2">
        <v>976</v>
      </c>
      <c r="B977" s="2" t="s">
        <v>51</v>
      </c>
      <c r="C977" s="2" t="s">
        <v>8</v>
      </c>
      <c r="D977" s="2">
        <v>35</v>
      </c>
      <c r="E977" s="3">
        <v>-4599001.9000000004</v>
      </c>
      <c r="F977" s="2" t="s">
        <v>32</v>
      </c>
      <c r="G977" s="2" t="s">
        <v>26</v>
      </c>
    </row>
    <row r="978" spans="1:7">
      <c r="A978" s="2">
        <v>977</v>
      </c>
      <c r="B978" s="2" t="s">
        <v>91</v>
      </c>
      <c r="C978" s="2" t="s">
        <v>8</v>
      </c>
      <c r="D978" s="2">
        <v>25</v>
      </c>
      <c r="E978" s="3">
        <v>-4603794.2</v>
      </c>
      <c r="F978" s="2" t="s">
        <v>38</v>
      </c>
      <c r="G978" s="2" t="s">
        <v>10</v>
      </c>
    </row>
    <row r="979" spans="1:7">
      <c r="A979" s="2">
        <v>978</v>
      </c>
      <c r="B979" s="2" t="s">
        <v>73</v>
      </c>
      <c r="C979" s="2" t="s">
        <v>8</v>
      </c>
      <c r="D979" s="2">
        <v>7</v>
      </c>
      <c r="E979" s="3">
        <v>-4608586.5</v>
      </c>
      <c r="F979" s="2" t="s">
        <v>20</v>
      </c>
      <c r="G979" s="2" t="s">
        <v>23</v>
      </c>
    </row>
    <row r="980" spans="1:7">
      <c r="A980" s="2">
        <v>979</v>
      </c>
      <c r="B980" s="2" t="s">
        <v>86</v>
      </c>
      <c r="C980" s="2" t="s">
        <v>12</v>
      </c>
      <c r="D980" s="2">
        <v>31</v>
      </c>
      <c r="E980" s="3">
        <v>-4613378.8</v>
      </c>
      <c r="F980" s="2" t="s">
        <v>20</v>
      </c>
      <c r="G980" s="2" t="s">
        <v>23</v>
      </c>
    </row>
    <row r="981" spans="1:7">
      <c r="A981" s="2">
        <v>980</v>
      </c>
      <c r="B981" s="2" t="s">
        <v>39</v>
      </c>
      <c r="C981" s="2" t="s">
        <v>16</v>
      </c>
      <c r="D981" s="2">
        <v>37</v>
      </c>
      <c r="E981" s="3">
        <v>-4618171.0999999996</v>
      </c>
      <c r="F981" s="2" t="s">
        <v>9</v>
      </c>
      <c r="G981" s="2" t="s">
        <v>18</v>
      </c>
    </row>
    <row r="982" spans="1:7">
      <c r="A982" s="2">
        <v>981</v>
      </c>
      <c r="B982" s="2" t="s">
        <v>70</v>
      </c>
      <c r="C982" s="2" t="s">
        <v>12</v>
      </c>
      <c r="D982" s="2">
        <v>42</v>
      </c>
      <c r="E982" s="3">
        <v>-4622963.4000000004</v>
      </c>
      <c r="F982" s="2" t="s">
        <v>28</v>
      </c>
      <c r="G982" s="2" t="s">
        <v>10</v>
      </c>
    </row>
    <row r="983" spans="1:7">
      <c r="A983" s="2">
        <v>982</v>
      </c>
      <c r="B983" s="2" t="s">
        <v>41</v>
      </c>
      <c r="C983" s="2" t="s">
        <v>8</v>
      </c>
      <c r="D983" s="2">
        <v>49</v>
      </c>
      <c r="E983" s="3">
        <v>-4627755.7</v>
      </c>
      <c r="F983" s="2" t="s">
        <v>13</v>
      </c>
      <c r="G983" s="2" t="s">
        <v>29</v>
      </c>
    </row>
    <row r="984" spans="1:7">
      <c r="A984" s="2">
        <v>983</v>
      </c>
      <c r="B984" s="2" t="s">
        <v>73</v>
      </c>
      <c r="C984" s="2" t="s">
        <v>12</v>
      </c>
      <c r="D984" s="2">
        <v>44</v>
      </c>
      <c r="E984" s="3">
        <v>-4632548</v>
      </c>
      <c r="F984" s="2" t="s">
        <v>17</v>
      </c>
      <c r="G984" s="2" t="s">
        <v>26</v>
      </c>
    </row>
    <row r="985" spans="1:7">
      <c r="A985" s="2">
        <v>984</v>
      </c>
      <c r="B985" s="2" t="s">
        <v>84</v>
      </c>
      <c r="C985" s="2" t="s">
        <v>22</v>
      </c>
      <c r="D985" s="2">
        <v>15</v>
      </c>
      <c r="E985" s="3">
        <v>-4637340.3</v>
      </c>
      <c r="F985" s="2" t="s">
        <v>28</v>
      </c>
      <c r="G985" s="2" t="s">
        <v>26</v>
      </c>
    </row>
    <row r="986" spans="1:7">
      <c r="A986" s="2">
        <v>985</v>
      </c>
      <c r="B986" s="2" t="s">
        <v>80</v>
      </c>
      <c r="C986" s="2" t="s">
        <v>12</v>
      </c>
      <c r="D986" s="2">
        <v>11</v>
      </c>
      <c r="E986" s="3">
        <v>-4642132.5999999996</v>
      </c>
      <c r="F986" s="2" t="s">
        <v>17</v>
      </c>
      <c r="G986" s="2" t="s">
        <v>18</v>
      </c>
    </row>
    <row r="987" spans="1:7">
      <c r="A987" s="2">
        <v>986</v>
      </c>
      <c r="B987" s="2" t="s">
        <v>78</v>
      </c>
      <c r="C987" s="2" t="s">
        <v>12</v>
      </c>
      <c r="D987" s="2">
        <v>29</v>
      </c>
      <c r="E987" s="3">
        <v>-4646924.9000000004</v>
      </c>
      <c r="F987" s="2" t="s">
        <v>25</v>
      </c>
      <c r="G987" s="2" t="s">
        <v>29</v>
      </c>
    </row>
    <row r="988" spans="1:7">
      <c r="A988" s="2">
        <v>987</v>
      </c>
      <c r="B988" s="2" t="s">
        <v>30</v>
      </c>
      <c r="C988" s="2" t="s">
        <v>8</v>
      </c>
      <c r="D988" s="2">
        <v>5</v>
      </c>
      <c r="E988" s="3">
        <v>-4651717.2</v>
      </c>
      <c r="F988" s="2" t="s">
        <v>9</v>
      </c>
      <c r="G988" s="2" t="s">
        <v>14</v>
      </c>
    </row>
    <row r="989" spans="1:7">
      <c r="A989" s="2">
        <v>988</v>
      </c>
      <c r="B989" s="2" t="s">
        <v>46</v>
      </c>
      <c r="C989" s="2" t="s">
        <v>22</v>
      </c>
      <c r="D989" s="2">
        <v>3</v>
      </c>
      <c r="E989" s="3">
        <v>-4656509.5</v>
      </c>
      <c r="F989" s="2" t="s">
        <v>9</v>
      </c>
      <c r="G989" s="2" t="s">
        <v>18</v>
      </c>
    </row>
    <row r="990" spans="1:7">
      <c r="A990" s="2">
        <v>989</v>
      </c>
      <c r="B990" s="2" t="s">
        <v>79</v>
      </c>
      <c r="C990" s="2" t="s">
        <v>8</v>
      </c>
      <c r="D990" s="2">
        <v>19</v>
      </c>
      <c r="E990" s="3">
        <v>-4661301.8</v>
      </c>
      <c r="F990" s="2" t="s">
        <v>9</v>
      </c>
      <c r="G990" s="2" t="s">
        <v>29</v>
      </c>
    </row>
    <row r="991" spans="1:7">
      <c r="A991" s="2">
        <v>990</v>
      </c>
      <c r="B991" s="2" t="s">
        <v>21</v>
      </c>
      <c r="C991" s="2" t="s">
        <v>22</v>
      </c>
      <c r="D991" s="2">
        <v>2</v>
      </c>
      <c r="E991" s="3">
        <v>-4666094.0999999996</v>
      </c>
      <c r="F991" s="2" t="s">
        <v>25</v>
      </c>
      <c r="G991" s="2" t="s">
        <v>14</v>
      </c>
    </row>
    <row r="992" spans="1:7">
      <c r="A992" s="2">
        <v>991</v>
      </c>
      <c r="B992" s="2" t="s">
        <v>63</v>
      </c>
      <c r="C992" s="2" t="s">
        <v>22</v>
      </c>
      <c r="D992" s="2">
        <v>21</v>
      </c>
      <c r="E992" s="3">
        <v>-4670886.4000000004</v>
      </c>
      <c r="F992" s="2" t="s">
        <v>32</v>
      </c>
      <c r="G992" s="2" t="s">
        <v>29</v>
      </c>
    </row>
    <row r="993" spans="1:7">
      <c r="A993" s="2">
        <v>992</v>
      </c>
      <c r="B993" s="2" t="s">
        <v>81</v>
      </c>
      <c r="C993" s="2" t="s">
        <v>22</v>
      </c>
      <c r="D993" s="2">
        <v>17</v>
      </c>
      <c r="E993" s="3">
        <v>-4675678.7</v>
      </c>
      <c r="F993" s="2" t="s">
        <v>28</v>
      </c>
      <c r="G993" s="2" t="s">
        <v>26</v>
      </c>
    </row>
    <row r="994" spans="1:7">
      <c r="A994" s="2">
        <v>993</v>
      </c>
      <c r="B994" s="2" t="s">
        <v>46</v>
      </c>
      <c r="C994" s="2" t="s">
        <v>8</v>
      </c>
      <c r="D994" s="2">
        <v>7</v>
      </c>
      <c r="E994" s="3">
        <v>-4680471</v>
      </c>
      <c r="F994" s="2" t="s">
        <v>32</v>
      </c>
      <c r="G994" s="2" t="s">
        <v>10</v>
      </c>
    </row>
    <row r="995" spans="1:7">
      <c r="A995" s="2">
        <v>994</v>
      </c>
      <c r="B995" s="2" t="s">
        <v>60</v>
      </c>
      <c r="C995" s="2" t="s">
        <v>22</v>
      </c>
      <c r="D995" s="2">
        <v>5</v>
      </c>
      <c r="E995" s="3">
        <v>-4685263.3</v>
      </c>
      <c r="F995" s="2" t="s">
        <v>38</v>
      </c>
      <c r="G995" s="2" t="s">
        <v>29</v>
      </c>
    </row>
    <row r="996" spans="1:7">
      <c r="A996" s="2">
        <v>995</v>
      </c>
      <c r="B996" s="2" t="s">
        <v>62</v>
      </c>
      <c r="C996" s="2" t="s">
        <v>16</v>
      </c>
      <c r="D996" s="2">
        <v>22</v>
      </c>
      <c r="E996" s="3">
        <v>-4690055.5999999996</v>
      </c>
      <c r="F996" s="2" t="s">
        <v>20</v>
      </c>
      <c r="G996" s="2" t="s">
        <v>10</v>
      </c>
    </row>
    <row r="997" spans="1:7">
      <c r="A997" s="2">
        <v>996</v>
      </c>
      <c r="B997" s="2" t="s">
        <v>82</v>
      </c>
      <c r="C997" s="2" t="s">
        <v>16</v>
      </c>
      <c r="D997" s="2">
        <v>11</v>
      </c>
      <c r="E997" s="3">
        <v>-4694847.9000000004</v>
      </c>
      <c r="F997" s="2" t="s">
        <v>38</v>
      </c>
      <c r="G997" s="2" t="s">
        <v>29</v>
      </c>
    </row>
    <row r="998" spans="1:7">
      <c r="A998" s="2">
        <v>997</v>
      </c>
      <c r="B998" s="2" t="s">
        <v>69</v>
      </c>
      <c r="C998" s="2" t="s">
        <v>16</v>
      </c>
      <c r="D998" s="2">
        <v>25</v>
      </c>
      <c r="E998" s="3">
        <v>-4699640.2</v>
      </c>
      <c r="F998" s="2" t="s">
        <v>9</v>
      </c>
      <c r="G998" s="2" t="s">
        <v>14</v>
      </c>
    </row>
    <row r="999" spans="1:7">
      <c r="A999" s="2">
        <v>998</v>
      </c>
      <c r="B999" s="2" t="s">
        <v>57</v>
      </c>
      <c r="C999" s="2" t="s">
        <v>16</v>
      </c>
      <c r="D999" s="2">
        <v>11</v>
      </c>
      <c r="E999" s="3">
        <v>-4704432.5</v>
      </c>
      <c r="F999" s="2" t="s">
        <v>20</v>
      </c>
      <c r="G999" s="2" t="s">
        <v>10</v>
      </c>
    </row>
    <row r="1000" spans="1:7">
      <c r="A1000" s="2">
        <v>999</v>
      </c>
      <c r="B1000" s="2" t="s">
        <v>62</v>
      </c>
      <c r="C1000" s="2" t="s">
        <v>8</v>
      </c>
      <c r="D1000" s="2">
        <v>47</v>
      </c>
      <c r="E1000" s="3">
        <v>-4709224.8</v>
      </c>
      <c r="F1000" s="2" t="s">
        <v>32</v>
      </c>
      <c r="G1000" s="2" t="s">
        <v>23</v>
      </c>
    </row>
    <row r="1001" spans="1:7">
      <c r="A1001" s="2">
        <v>1000</v>
      </c>
      <c r="B1001" s="2" t="s">
        <v>45</v>
      </c>
      <c r="C1001" s="2" t="s">
        <v>12</v>
      </c>
      <c r="D1001" s="2">
        <v>5</v>
      </c>
      <c r="E1001" s="3">
        <v>-4714017.0999999996</v>
      </c>
      <c r="F1001" s="2" t="s">
        <v>13</v>
      </c>
      <c r="G1001" s="2" t="s">
        <v>10</v>
      </c>
    </row>
    <row r="1004" spans="1:7" ht="25.5">
      <c r="D1004" s="4"/>
    </row>
  </sheetData>
  <autoFilter ref="A1:G1001" xr:uid="{6A9EFE45-4E0E-44FA-A0CD-F6684CE6E948}"/>
  <dataValidations count="2">
    <dataValidation type="whole" operator="greaterThan" allowBlank="1" showInputMessage="1" showErrorMessage="1" error="Sale price must be greater than 0" prompt="Enter a positive sale price" sqref="E1" xr:uid="{EAE2308D-FEB2-48C6-B9EA-02DF3CA5B6C0}">
      <formula1>0</formula1>
    </dataValidation>
    <dataValidation type="whole" operator="greaterThan" allowBlank="1" showInputMessage="1" showErrorMessage="1" errorTitle="Invalid Entry" error="Sale price must be greater than 0" promptTitle="sale price" prompt="Enter a positive sale price" sqref="E2:E1001" xr:uid="{BBD1140E-FA66-4B1F-B38D-CE92D426BD22}">
      <formula1>0</formula1>
    </dataValidation>
  </dataValidations>
  <pageMargins left="0.7" right="0.7" top="0.75" bottom="0.75" header="0.3" footer="0.3"/>
  <pageSetup paperSize="9" fitToWidth="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2E89-97BC-448B-9019-DA1926FDDD93}">
  <sheetPr>
    <tabColor theme="5" tint="-0.249977111117893"/>
  </sheetPr>
  <dimension ref="A1:G1001"/>
  <sheetViews>
    <sheetView workbookViewId="0">
      <selection activeCell="I1008" sqref="I1008"/>
    </sheetView>
  </sheetViews>
  <sheetFormatPr defaultRowHeight="15"/>
  <cols>
    <col min="2" max="2" width="23.42578125" customWidth="1"/>
    <col min="3" max="3" width="13.28515625" customWidth="1"/>
    <col min="4" max="4" width="25.7109375" customWidth="1"/>
    <col min="5" max="6" width="16.42578125" customWidth="1"/>
  </cols>
  <sheetData>
    <row r="1" spans="1:7">
      <c r="A1" s="1" t="s">
        <v>0</v>
      </c>
      <c r="B1" s="1" t="s">
        <v>1</v>
      </c>
      <c r="C1" s="1" t="s">
        <v>2</v>
      </c>
      <c r="D1" s="1" t="s">
        <v>3</v>
      </c>
      <c r="E1" s="1" t="s">
        <v>4</v>
      </c>
      <c r="F1" s="1" t="s">
        <v>5</v>
      </c>
      <c r="G1" s="1" t="s">
        <v>6</v>
      </c>
    </row>
    <row r="2" spans="1:7">
      <c r="A2" s="2">
        <v>1</v>
      </c>
      <c r="B2" s="2" t="s">
        <v>7</v>
      </c>
      <c r="C2" s="2" t="s">
        <v>8</v>
      </c>
      <c r="D2" s="2">
        <v>30</v>
      </c>
      <c r="E2" s="3">
        <v>77024</v>
      </c>
      <c r="F2" s="2" t="s">
        <v>9</v>
      </c>
      <c r="G2" s="2" t="s">
        <v>10</v>
      </c>
    </row>
    <row r="3" spans="1:7">
      <c r="A3" s="2">
        <v>2</v>
      </c>
      <c r="B3" s="2" t="s">
        <v>11</v>
      </c>
      <c r="C3" s="2" t="s">
        <v>12</v>
      </c>
      <c r="D3" s="2">
        <v>15</v>
      </c>
      <c r="E3" s="3">
        <v>37515</v>
      </c>
      <c r="F3" s="2" t="s">
        <v>13</v>
      </c>
      <c r="G3" s="2" t="s">
        <v>14</v>
      </c>
    </row>
    <row r="4" spans="1:7">
      <c r="A4" s="2">
        <v>3</v>
      </c>
      <c r="B4" s="2" t="s">
        <v>15</v>
      </c>
      <c r="C4" s="2" t="s">
        <v>16</v>
      </c>
      <c r="D4" s="2">
        <v>26</v>
      </c>
      <c r="E4" s="3">
        <v>93173</v>
      </c>
      <c r="F4" s="2" t="s">
        <v>17</v>
      </c>
      <c r="G4" s="2" t="s">
        <v>18</v>
      </c>
    </row>
    <row r="5" spans="1:7">
      <c r="A5" s="2">
        <v>4</v>
      </c>
      <c r="B5" s="2" t="s">
        <v>19</v>
      </c>
      <c r="C5" s="2" t="s">
        <v>12</v>
      </c>
      <c r="D5" s="2">
        <v>41</v>
      </c>
      <c r="E5" s="3">
        <v>79996</v>
      </c>
      <c r="F5" s="2" t="s">
        <v>20</v>
      </c>
      <c r="G5" s="2" t="s">
        <v>18</v>
      </c>
    </row>
    <row r="6" spans="1:7">
      <c r="A6" s="2">
        <v>5</v>
      </c>
      <c r="B6" s="2" t="s">
        <v>21</v>
      </c>
      <c r="C6" s="2" t="s">
        <v>22</v>
      </c>
      <c r="D6" s="2">
        <v>12</v>
      </c>
      <c r="E6" s="3">
        <v>31822</v>
      </c>
      <c r="F6" s="2" t="s">
        <v>13</v>
      </c>
      <c r="G6" s="2" t="s">
        <v>23</v>
      </c>
    </row>
    <row r="7" spans="1:7">
      <c r="A7" s="2">
        <v>6</v>
      </c>
      <c r="B7" s="2" t="s">
        <v>24</v>
      </c>
      <c r="C7" s="2" t="s">
        <v>16</v>
      </c>
      <c r="D7" s="2">
        <v>12</v>
      </c>
      <c r="E7" s="3">
        <v>75831</v>
      </c>
      <c r="F7" s="2" t="s">
        <v>25</v>
      </c>
      <c r="G7" s="2" t="s">
        <v>26</v>
      </c>
    </row>
    <row r="8" spans="1:7">
      <c r="A8" s="2">
        <v>7</v>
      </c>
      <c r="B8" s="2" t="s">
        <v>27</v>
      </c>
      <c r="C8" s="2" t="s">
        <v>12</v>
      </c>
      <c r="D8" s="2">
        <v>41</v>
      </c>
      <c r="E8" s="3">
        <v>96909</v>
      </c>
      <c r="F8" s="2" t="s">
        <v>28</v>
      </c>
      <c r="G8" s="2" t="s">
        <v>29</v>
      </c>
    </row>
    <row r="9" spans="1:7">
      <c r="A9" s="2">
        <v>8</v>
      </c>
      <c r="B9" s="2" t="s">
        <v>30</v>
      </c>
      <c r="C9" s="2" t="s">
        <v>8</v>
      </c>
      <c r="D9" s="2">
        <v>43</v>
      </c>
      <c r="E9" s="3">
        <v>98569</v>
      </c>
      <c r="F9" s="2" t="s">
        <v>9</v>
      </c>
      <c r="G9" s="2" t="s">
        <v>14</v>
      </c>
    </row>
    <row r="10" spans="1:7">
      <c r="A10" s="2">
        <v>9</v>
      </c>
      <c r="B10" s="2" t="s">
        <v>31</v>
      </c>
      <c r="C10" s="2" t="s">
        <v>22</v>
      </c>
      <c r="D10" s="2">
        <v>28</v>
      </c>
      <c r="E10" s="3">
        <v>78423</v>
      </c>
      <c r="F10" s="2" t="s">
        <v>32</v>
      </c>
      <c r="G10" s="2" t="s">
        <v>26</v>
      </c>
    </row>
    <row r="11" spans="1:7">
      <c r="A11" s="2">
        <v>10</v>
      </c>
      <c r="B11" s="2" t="s">
        <v>33</v>
      </c>
      <c r="C11" s="2" t="s">
        <v>12</v>
      </c>
      <c r="D11" s="2">
        <v>26</v>
      </c>
      <c r="E11" s="3">
        <v>29769</v>
      </c>
      <c r="F11" s="2" t="s">
        <v>20</v>
      </c>
      <c r="G11" s="2" t="s">
        <v>29</v>
      </c>
    </row>
    <row r="12" spans="1:7">
      <c r="A12" s="2">
        <v>11</v>
      </c>
      <c r="B12" s="2" t="s">
        <v>34</v>
      </c>
      <c r="C12" s="2" t="s">
        <v>22</v>
      </c>
      <c r="D12" s="2">
        <v>2</v>
      </c>
      <c r="E12" s="3">
        <v>59644</v>
      </c>
      <c r="F12" s="2" t="s">
        <v>28</v>
      </c>
      <c r="G12" s="2" t="s">
        <v>26</v>
      </c>
    </row>
    <row r="13" spans="1:7">
      <c r="A13" s="2">
        <v>12</v>
      </c>
      <c r="B13" s="2" t="s">
        <v>35</v>
      </c>
      <c r="C13" s="2" t="s">
        <v>12</v>
      </c>
      <c r="D13" s="2">
        <v>48</v>
      </c>
      <c r="E13" s="3">
        <v>84311</v>
      </c>
      <c r="F13" s="2" t="s">
        <v>13</v>
      </c>
      <c r="G13" s="2" t="s">
        <v>18</v>
      </c>
    </row>
    <row r="14" spans="1:7">
      <c r="A14" s="2">
        <v>13</v>
      </c>
      <c r="B14" s="2" t="s">
        <v>36</v>
      </c>
      <c r="C14" s="2" t="s">
        <v>8</v>
      </c>
      <c r="D14" s="2">
        <v>40</v>
      </c>
      <c r="E14" s="3">
        <v>65822</v>
      </c>
      <c r="F14" s="2" t="s">
        <v>28</v>
      </c>
      <c r="G14" s="2" t="s">
        <v>18</v>
      </c>
    </row>
    <row r="15" spans="1:7">
      <c r="A15" s="2">
        <v>14</v>
      </c>
      <c r="B15" s="2" t="s">
        <v>7</v>
      </c>
      <c r="C15" s="2" t="s">
        <v>16</v>
      </c>
      <c r="D15" s="2">
        <v>13</v>
      </c>
      <c r="E15" s="3">
        <v>41907</v>
      </c>
      <c r="F15" s="2" t="s">
        <v>32</v>
      </c>
      <c r="G15" s="2" t="s">
        <v>14</v>
      </c>
    </row>
    <row r="16" spans="1:7">
      <c r="A16" s="2">
        <v>15</v>
      </c>
      <c r="B16" s="2" t="s">
        <v>37</v>
      </c>
      <c r="C16" s="2" t="s">
        <v>12</v>
      </c>
      <c r="D16" s="2">
        <v>29</v>
      </c>
      <c r="E16" s="3">
        <v>32717</v>
      </c>
      <c r="F16" s="2" t="s">
        <v>38</v>
      </c>
      <c r="G16" s="2" t="s">
        <v>18</v>
      </c>
    </row>
    <row r="17" spans="1:7">
      <c r="A17" s="2">
        <v>16</v>
      </c>
      <c r="B17" s="2" t="s">
        <v>21</v>
      </c>
      <c r="C17" s="2" t="s">
        <v>22</v>
      </c>
      <c r="D17" s="2">
        <v>38</v>
      </c>
      <c r="E17" s="3">
        <v>70228</v>
      </c>
      <c r="F17" s="2" t="s">
        <v>38</v>
      </c>
      <c r="G17" s="2" t="s">
        <v>18</v>
      </c>
    </row>
    <row r="18" spans="1:7">
      <c r="A18" s="2">
        <v>17</v>
      </c>
      <c r="B18" s="2" t="s">
        <v>39</v>
      </c>
      <c r="C18" s="2" t="s">
        <v>8</v>
      </c>
      <c r="D18" s="2">
        <v>28</v>
      </c>
      <c r="E18" s="3">
        <v>63314</v>
      </c>
      <c r="F18" s="2" t="s">
        <v>20</v>
      </c>
      <c r="G18" s="2" t="s">
        <v>23</v>
      </c>
    </row>
    <row r="19" spans="1:7">
      <c r="A19" s="2">
        <v>18</v>
      </c>
      <c r="B19" s="2" t="s">
        <v>40</v>
      </c>
      <c r="C19" s="2" t="s">
        <v>16</v>
      </c>
      <c r="D19" s="2">
        <v>25</v>
      </c>
      <c r="E19" s="3">
        <v>58509</v>
      </c>
      <c r="F19" s="2" t="s">
        <v>38</v>
      </c>
      <c r="G19" s="2" t="s">
        <v>23</v>
      </c>
    </row>
    <row r="20" spans="1:7">
      <c r="A20" s="2">
        <v>19</v>
      </c>
      <c r="B20" s="2" t="s">
        <v>36</v>
      </c>
      <c r="C20" s="2" t="s">
        <v>22</v>
      </c>
      <c r="D20" s="2">
        <v>1</v>
      </c>
      <c r="E20" s="3">
        <v>46884</v>
      </c>
      <c r="F20" s="2" t="s">
        <v>13</v>
      </c>
      <c r="G20" s="2" t="s">
        <v>18</v>
      </c>
    </row>
    <row r="21" spans="1:7">
      <c r="A21" s="2">
        <v>20</v>
      </c>
      <c r="B21" s="2" t="s">
        <v>30</v>
      </c>
      <c r="C21" s="2" t="s">
        <v>8</v>
      </c>
      <c r="D21" s="2">
        <v>46</v>
      </c>
      <c r="E21" s="3">
        <v>49657</v>
      </c>
      <c r="F21" s="2" t="s">
        <v>32</v>
      </c>
      <c r="G21" s="2" t="s">
        <v>14</v>
      </c>
    </row>
    <row r="22" spans="1:7">
      <c r="A22" s="2">
        <v>21</v>
      </c>
      <c r="B22" s="2" t="s">
        <v>37</v>
      </c>
      <c r="C22" s="2" t="s">
        <v>22</v>
      </c>
      <c r="D22" s="2">
        <v>14</v>
      </c>
      <c r="E22" s="3">
        <v>78900</v>
      </c>
      <c r="F22" s="2" t="s">
        <v>17</v>
      </c>
      <c r="G22" s="2" t="s">
        <v>14</v>
      </c>
    </row>
    <row r="23" spans="1:7">
      <c r="A23" s="2">
        <v>22</v>
      </c>
      <c r="B23" s="2" t="s">
        <v>39</v>
      </c>
      <c r="C23" s="2" t="s">
        <v>8</v>
      </c>
      <c r="D23" s="2">
        <v>14</v>
      </c>
      <c r="E23" s="3">
        <v>72159</v>
      </c>
      <c r="F23" s="2" t="s">
        <v>13</v>
      </c>
      <c r="G23" s="2" t="s">
        <v>26</v>
      </c>
    </row>
    <row r="24" spans="1:7">
      <c r="A24" s="2">
        <v>23</v>
      </c>
      <c r="B24" s="2" t="s">
        <v>41</v>
      </c>
      <c r="C24" s="2" t="s">
        <v>16</v>
      </c>
      <c r="D24" s="2">
        <v>18</v>
      </c>
      <c r="E24" s="3">
        <v>55875</v>
      </c>
      <c r="F24" s="2" t="s">
        <v>17</v>
      </c>
      <c r="G24" s="2" t="s">
        <v>18</v>
      </c>
    </row>
    <row r="25" spans="1:7">
      <c r="A25" s="2">
        <v>24</v>
      </c>
      <c r="B25" s="2" t="s">
        <v>42</v>
      </c>
      <c r="C25" s="2" t="s">
        <v>16</v>
      </c>
      <c r="D25" s="2">
        <v>49</v>
      </c>
      <c r="E25" s="3">
        <v>40668</v>
      </c>
      <c r="F25" s="2" t="s">
        <v>20</v>
      </c>
      <c r="G25" s="2" t="s">
        <v>18</v>
      </c>
    </row>
    <row r="26" spans="1:7">
      <c r="A26" s="2">
        <v>25</v>
      </c>
      <c r="B26" s="2" t="s">
        <v>43</v>
      </c>
      <c r="C26" s="2" t="s">
        <v>22</v>
      </c>
      <c r="D26" s="2">
        <v>46</v>
      </c>
      <c r="E26" s="3">
        <v>29660</v>
      </c>
      <c r="F26" s="2" t="s">
        <v>25</v>
      </c>
      <c r="G26" s="2" t="s">
        <v>10</v>
      </c>
    </row>
    <row r="27" spans="1:7">
      <c r="A27" s="2">
        <v>26</v>
      </c>
      <c r="B27" s="2" t="s">
        <v>40</v>
      </c>
      <c r="C27" s="2" t="s">
        <v>8</v>
      </c>
      <c r="D27" s="2">
        <v>5</v>
      </c>
      <c r="E27" s="3">
        <v>40017</v>
      </c>
      <c r="F27" s="2" t="s">
        <v>13</v>
      </c>
      <c r="G27" s="2" t="s">
        <v>26</v>
      </c>
    </row>
    <row r="28" spans="1:7">
      <c r="A28" s="2">
        <v>27</v>
      </c>
      <c r="B28" s="2" t="s">
        <v>44</v>
      </c>
      <c r="C28" s="2" t="s">
        <v>12</v>
      </c>
      <c r="D28" s="2">
        <v>37</v>
      </c>
      <c r="E28" s="3">
        <v>67150</v>
      </c>
      <c r="F28" s="2" t="s">
        <v>28</v>
      </c>
      <c r="G28" s="2" t="s">
        <v>23</v>
      </c>
    </row>
    <row r="29" spans="1:7">
      <c r="A29" s="2">
        <v>28</v>
      </c>
      <c r="B29" s="2" t="s">
        <v>45</v>
      </c>
      <c r="C29" s="2" t="s">
        <v>16</v>
      </c>
      <c r="D29" s="2">
        <v>7</v>
      </c>
      <c r="E29" s="3">
        <v>60180</v>
      </c>
      <c r="F29" s="2" t="s">
        <v>28</v>
      </c>
      <c r="G29" s="2" t="s">
        <v>23</v>
      </c>
    </row>
    <row r="30" spans="1:7">
      <c r="A30" s="2">
        <v>29</v>
      </c>
      <c r="B30" s="2" t="s">
        <v>46</v>
      </c>
      <c r="C30" s="2" t="s">
        <v>12</v>
      </c>
      <c r="D30" s="2">
        <v>35</v>
      </c>
      <c r="E30" s="3">
        <v>96396</v>
      </c>
      <c r="F30" s="2" t="s">
        <v>13</v>
      </c>
      <c r="G30" s="2" t="s">
        <v>14</v>
      </c>
    </row>
    <row r="31" spans="1:7">
      <c r="A31" s="2">
        <v>30</v>
      </c>
      <c r="B31" s="2" t="s">
        <v>47</v>
      </c>
      <c r="C31" s="2" t="s">
        <v>12</v>
      </c>
      <c r="D31" s="2">
        <v>12</v>
      </c>
      <c r="E31" s="3">
        <v>96639</v>
      </c>
      <c r="F31" s="2" t="s">
        <v>17</v>
      </c>
      <c r="G31" s="2" t="s">
        <v>29</v>
      </c>
    </row>
    <row r="32" spans="1:7">
      <c r="A32" s="2">
        <v>31</v>
      </c>
      <c r="B32" s="2" t="s">
        <v>48</v>
      </c>
      <c r="C32" s="2" t="s">
        <v>22</v>
      </c>
      <c r="D32" s="2">
        <v>24</v>
      </c>
      <c r="E32" s="3">
        <v>67390</v>
      </c>
      <c r="F32" s="2" t="s">
        <v>28</v>
      </c>
      <c r="G32" s="2" t="s">
        <v>29</v>
      </c>
    </row>
    <row r="33" spans="1:7">
      <c r="A33" s="2">
        <v>32</v>
      </c>
      <c r="B33" s="2" t="s">
        <v>49</v>
      </c>
      <c r="C33" s="2" t="s">
        <v>22</v>
      </c>
      <c r="D33" s="2">
        <v>21</v>
      </c>
      <c r="E33" s="3">
        <v>34904</v>
      </c>
      <c r="F33" s="2" t="s">
        <v>13</v>
      </c>
      <c r="G33" s="2" t="s">
        <v>18</v>
      </c>
    </row>
    <row r="34" spans="1:7">
      <c r="A34" s="2">
        <v>33</v>
      </c>
      <c r="B34" s="2" t="s">
        <v>50</v>
      </c>
      <c r="C34" s="2" t="s">
        <v>22</v>
      </c>
      <c r="D34" s="2">
        <v>13</v>
      </c>
      <c r="E34" s="3">
        <v>96628</v>
      </c>
      <c r="F34" s="2" t="s">
        <v>32</v>
      </c>
      <c r="G34" s="2" t="s">
        <v>18</v>
      </c>
    </row>
    <row r="35" spans="1:7">
      <c r="A35" s="2">
        <v>34</v>
      </c>
      <c r="B35" s="2" t="s">
        <v>42</v>
      </c>
      <c r="C35" s="2" t="s">
        <v>8</v>
      </c>
      <c r="D35" s="2">
        <v>30</v>
      </c>
      <c r="E35" s="3">
        <v>75254</v>
      </c>
      <c r="F35" s="2" t="s">
        <v>13</v>
      </c>
      <c r="G35" s="2" t="s">
        <v>26</v>
      </c>
    </row>
    <row r="36" spans="1:7">
      <c r="A36" s="2">
        <v>35</v>
      </c>
      <c r="B36" s="2" t="s">
        <v>48</v>
      </c>
      <c r="C36" s="2" t="s">
        <v>16</v>
      </c>
      <c r="D36" s="2">
        <v>8</v>
      </c>
      <c r="E36" s="3">
        <v>80934</v>
      </c>
      <c r="F36" s="2" t="s">
        <v>9</v>
      </c>
      <c r="G36" s="2" t="s">
        <v>10</v>
      </c>
    </row>
    <row r="37" spans="1:7">
      <c r="A37" s="2">
        <v>36</v>
      </c>
      <c r="B37" s="2" t="s">
        <v>27</v>
      </c>
      <c r="C37" s="2" t="s">
        <v>16</v>
      </c>
      <c r="D37" s="2">
        <v>17</v>
      </c>
      <c r="E37" s="3">
        <v>65565</v>
      </c>
      <c r="F37" s="2" t="s">
        <v>25</v>
      </c>
      <c r="G37" s="2" t="s">
        <v>10</v>
      </c>
    </row>
    <row r="38" spans="1:7">
      <c r="A38" s="2">
        <v>37</v>
      </c>
      <c r="B38" s="2" t="s">
        <v>31</v>
      </c>
      <c r="C38" s="2" t="s">
        <v>12</v>
      </c>
      <c r="D38" s="2">
        <v>43</v>
      </c>
      <c r="E38" s="3">
        <v>84273</v>
      </c>
      <c r="F38" s="2" t="s">
        <v>17</v>
      </c>
      <c r="G38" s="2" t="s">
        <v>14</v>
      </c>
    </row>
    <row r="39" spans="1:7">
      <c r="A39" s="2">
        <v>38</v>
      </c>
      <c r="B39" s="2" t="s">
        <v>34</v>
      </c>
      <c r="C39" s="2" t="s">
        <v>22</v>
      </c>
      <c r="D39" s="2">
        <v>32</v>
      </c>
      <c r="E39" s="3">
        <v>37016</v>
      </c>
      <c r="F39" s="2" t="s">
        <v>9</v>
      </c>
      <c r="G39" s="2" t="s">
        <v>26</v>
      </c>
    </row>
    <row r="40" spans="1:7">
      <c r="A40" s="2">
        <v>39</v>
      </c>
      <c r="B40" s="2" t="s">
        <v>51</v>
      </c>
      <c r="C40" s="2" t="s">
        <v>8</v>
      </c>
      <c r="D40" s="2">
        <v>34</v>
      </c>
      <c r="E40" s="3">
        <v>54005</v>
      </c>
      <c r="F40" s="2" t="s">
        <v>28</v>
      </c>
      <c r="G40" s="2" t="s">
        <v>29</v>
      </c>
    </row>
    <row r="41" spans="1:7">
      <c r="A41" s="2">
        <v>40</v>
      </c>
      <c r="B41" s="2" t="s">
        <v>52</v>
      </c>
      <c r="C41" s="2" t="s">
        <v>16</v>
      </c>
      <c r="D41" s="2">
        <v>41</v>
      </c>
      <c r="E41" s="3">
        <v>86030</v>
      </c>
      <c r="F41" s="2" t="s">
        <v>28</v>
      </c>
      <c r="G41" s="2" t="s">
        <v>10</v>
      </c>
    </row>
    <row r="42" spans="1:7">
      <c r="A42" s="2">
        <v>41</v>
      </c>
      <c r="B42" s="2" t="s">
        <v>53</v>
      </c>
      <c r="C42" s="2" t="s">
        <v>8</v>
      </c>
      <c r="D42" s="2">
        <v>21</v>
      </c>
      <c r="E42" s="3">
        <v>93030</v>
      </c>
      <c r="F42" s="2" t="s">
        <v>17</v>
      </c>
      <c r="G42" s="2" t="s">
        <v>29</v>
      </c>
    </row>
    <row r="43" spans="1:7">
      <c r="A43" s="2">
        <v>42</v>
      </c>
      <c r="B43" s="2" t="s">
        <v>54</v>
      </c>
      <c r="C43" s="2" t="s">
        <v>22</v>
      </c>
      <c r="D43" s="2">
        <v>39</v>
      </c>
      <c r="E43" s="3">
        <v>52788</v>
      </c>
      <c r="F43" s="2" t="s">
        <v>13</v>
      </c>
      <c r="G43" s="2" t="s">
        <v>26</v>
      </c>
    </row>
    <row r="44" spans="1:7">
      <c r="A44" s="2">
        <v>43</v>
      </c>
      <c r="B44" s="2" t="s">
        <v>55</v>
      </c>
      <c r="C44" s="2" t="s">
        <v>22</v>
      </c>
      <c r="D44" s="2">
        <v>25</v>
      </c>
      <c r="E44" s="3">
        <v>81201</v>
      </c>
      <c r="F44" s="2" t="s">
        <v>25</v>
      </c>
      <c r="G44" s="2" t="s">
        <v>10</v>
      </c>
    </row>
    <row r="45" spans="1:7">
      <c r="A45" s="2">
        <v>44</v>
      </c>
      <c r="B45" s="2" t="s">
        <v>45</v>
      </c>
      <c r="C45" s="2" t="s">
        <v>16</v>
      </c>
      <c r="D45" s="2">
        <v>40</v>
      </c>
      <c r="E45" s="3">
        <v>83974</v>
      </c>
      <c r="F45" s="2" t="s">
        <v>20</v>
      </c>
      <c r="G45" s="2" t="s">
        <v>23</v>
      </c>
    </row>
    <row r="46" spans="1:7">
      <c r="A46" s="2">
        <v>45</v>
      </c>
      <c r="B46" s="2" t="s">
        <v>56</v>
      </c>
      <c r="C46" s="2" t="s">
        <v>12</v>
      </c>
      <c r="D46" s="2">
        <v>26</v>
      </c>
      <c r="E46" s="3">
        <v>67158</v>
      </c>
      <c r="F46" s="2" t="s">
        <v>32</v>
      </c>
      <c r="G46" s="2" t="s">
        <v>18</v>
      </c>
    </row>
    <row r="47" spans="1:7">
      <c r="A47" s="2">
        <v>46</v>
      </c>
      <c r="B47" s="2" t="s">
        <v>57</v>
      </c>
      <c r="C47" s="2" t="s">
        <v>12</v>
      </c>
      <c r="D47" s="2">
        <v>38</v>
      </c>
      <c r="E47" s="3">
        <v>28192</v>
      </c>
      <c r="F47" s="2" t="s">
        <v>9</v>
      </c>
      <c r="G47" s="2" t="s">
        <v>10</v>
      </c>
    </row>
    <row r="48" spans="1:7">
      <c r="A48" s="2">
        <v>47</v>
      </c>
      <c r="B48" s="2" t="s">
        <v>58</v>
      </c>
      <c r="C48" s="2" t="s">
        <v>22</v>
      </c>
      <c r="D48" s="2">
        <v>8</v>
      </c>
      <c r="E48" s="3">
        <v>38766</v>
      </c>
      <c r="F48" s="2" t="s">
        <v>25</v>
      </c>
      <c r="G48" s="2" t="s">
        <v>10</v>
      </c>
    </row>
    <row r="49" spans="1:7">
      <c r="A49" s="2">
        <v>48</v>
      </c>
      <c r="B49" s="2" t="s">
        <v>59</v>
      </c>
      <c r="C49" s="2" t="s">
        <v>22</v>
      </c>
      <c r="D49" s="2">
        <v>23</v>
      </c>
      <c r="E49" s="3">
        <v>93042</v>
      </c>
      <c r="F49" s="2" t="s">
        <v>20</v>
      </c>
      <c r="G49" s="2" t="s">
        <v>26</v>
      </c>
    </row>
    <row r="50" spans="1:7">
      <c r="A50" s="2">
        <v>49</v>
      </c>
      <c r="B50" s="2" t="s">
        <v>60</v>
      </c>
      <c r="C50" s="2" t="s">
        <v>12</v>
      </c>
      <c r="D50" s="2">
        <v>23</v>
      </c>
      <c r="E50" s="3">
        <v>37039</v>
      </c>
      <c r="F50" s="2" t="s">
        <v>32</v>
      </c>
      <c r="G50" s="2" t="s">
        <v>14</v>
      </c>
    </row>
    <row r="51" spans="1:7">
      <c r="A51" s="2">
        <v>50</v>
      </c>
      <c r="B51" s="2" t="s">
        <v>61</v>
      </c>
      <c r="C51" s="2" t="s">
        <v>22</v>
      </c>
      <c r="D51" s="2">
        <v>30</v>
      </c>
      <c r="E51" s="3">
        <v>75522</v>
      </c>
      <c r="F51" s="2" t="s">
        <v>13</v>
      </c>
      <c r="G51" s="2" t="s">
        <v>23</v>
      </c>
    </row>
    <row r="52" spans="1:7">
      <c r="A52" s="2">
        <v>51</v>
      </c>
      <c r="B52" s="2" t="s">
        <v>62</v>
      </c>
      <c r="C52" s="2" t="s">
        <v>16</v>
      </c>
      <c r="D52" s="2">
        <v>40</v>
      </c>
      <c r="E52" s="3">
        <v>63907</v>
      </c>
      <c r="F52" s="2" t="s">
        <v>17</v>
      </c>
      <c r="G52" s="2" t="s">
        <v>18</v>
      </c>
    </row>
    <row r="53" spans="1:7">
      <c r="A53" s="2">
        <v>52</v>
      </c>
      <c r="B53" s="2" t="s">
        <v>63</v>
      </c>
      <c r="C53" s="2" t="s">
        <v>16</v>
      </c>
      <c r="D53" s="2">
        <v>12</v>
      </c>
      <c r="E53" s="3">
        <v>30965</v>
      </c>
      <c r="F53" s="2" t="s">
        <v>38</v>
      </c>
      <c r="G53" s="2" t="s">
        <v>23</v>
      </c>
    </row>
    <row r="54" spans="1:7">
      <c r="A54" s="2">
        <v>53</v>
      </c>
      <c r="B54" s="2" t="s">
        <v>53</v>
      </c>
      <c r="C54" s="2" t="s">
        <v>8</v>
      </c>
      <c r="D54" s="2">
        <v>44</v>
      </c>
      <c r="E54" s="3">
        <v>87144</v>
      </c>
      <c r="F54" s="2" t="s">
        <v>25</v>
      </c>
      <c r="G54" s="2" t="s">
        <v>26</v>
      </c>
    </row>
    <row r="55" spans="1:7">
      <c r="A55" s="2">
        <v>54</v>
      </c>
      <c r="B55" s="2" t="s">
        <v>54</v>
      </c>
      <c r="C55" s="2" t="s">
        <v>12</v>
      </c>
      <c r="D55" s="2">
        <v>46</v>
      </c>
      <c r="E55" s="3">
        <v>65150</v>
      </c>
      <c r="F55" s="2" t="s">
        <v>13</v>
      </c>
      <c r="G55" s="2" t="s">
        <v>26</v>
      </c>
    </row>
    <row r="56" spans="1:7">
      <c r="A56" s="2">
        <v>55</v>
      </c>
      <c r="B56" s="2" t="s">
        <v>64</v>
      </c>
      <c r="C56" s="2" t="s">
        <v>22</v>
      </c>
      <c r="D56" s="2">
        <v>20</v>
      </c>
      <c r="E56" s="3">
        <v>60773</v>
      </c>
      <c r="F56" s="2" t="s">
        <v>38</v>
      </c>
      <c r="G56" s="2" t="s">
        <v>18</v>
      </c>
    </row>
    <row r="57" spans="1:7">
      <c r="A57" s="2">
        <v>56</v>
      </c>
      <c r="B57" s="2" t="s">
        <v>65</v>
      </c>
      <c r="C57" s="2" t="s">
        <v>8</v>
      </c>
      <c r="D57" s="2">
        <v>40</v>
      </c>
      <c r="E57" s="3">
        <v>83223</v>
      </c>
      <c r="F57" s="2" t="s">
        <v>20</v>
      </c>
      <c r="G57" s="2" t="s">
        <v>23</v>
      </c>
    </row>
    <row r="58" spans="1:7">
      <c r="A58" s="2">
        <v>57</v>
      </c>
      <c r="B58" s="2" t="s">
        <v>35</v>
      </c>
      <c r="C58" s="2" t="s">
        <v>16</v>
      </c>
      <c r="D58" s="2">
        <v>38</v>
      </c>
      <c r="E58" s="3">
        <v>90033</v>
      </c>
      <c r="F58" s="2" t="s">
        <v>25</v>
      </c>
      <c r="G58" s="2" t="s">
        <v>23</v>
      </c>
    </row>
    <row r="59" spans="1:7">
      <c r="A59" s="2">
        <v>58</v>
      </c>
      <c r="B59" s="2" t="s">
        <v>64</v>
      </c>
      <c r="C59" s="2" t="s">
        <v>12</v>
      </c>
      <c r="D59" s="2">
        <v>6</v>
      </c>
      <c r="E59" s="3">
        <v>29674</v>
      </c>
      <c r="F59" s="2" t="s">
        <v>9</v>
      </c>
      <c r="G59" s="2" t="s">
        <v>14</v>
      </c>
    </row>
    <row r="60" spans="1:7">
      <c r="A60" s="2">
        <v>59</v>
      </c>
      <c r="B60" s="2" t="s">
        <v>49</v>
      </c>
      <c r="C60" s="2" t="s">
        <v>16</v>
      </c>
      <c r="D60" s="2">
        <v>44</v>
      </c>
      <c r="E60" s="3">
        <v>63119</v>
      </c>
      <c r="F60" s="2" t="s">
        <v>13</v>
      </c>
      <c r="G60" s="2" t="s">
        <v>29</v>
      </c>
    </row>
    <row r="61" spans="1:7">
      <c r="A61" s="2">
        <v>60</v>
      </c>
      <c r="B61" s="2" t="s">
        <v>27</v>
      </c>
      <c r="C61" s="2" t="s">
        <v>22</v>
      </c>
      <c r="D61" s="2">
        <v>9</v>
      </c>
      <c r="E61" s="3">
        <v>46509</v>
      </c>
      <c r="F61" s="2" t="s">
        <v>20</v>
      </c>
      <c r="G61" s="2" t="s">
        <v>23</v>
      </c>
    </row>
    <row r="62" spans="1:7">
      <c r="A62" s="2">
        <v>61</v>
      </c>
      <c r="B62" s="2" t="s">
        <v>66</v>
      </c>
      <c r="C62" s="2" t="s">
        <v>8</v>
      </c>
      <c r="D62" s="2">
        <v>21</v>
      </c>
      <c r="E62" s="3">
        <v>37152</v>
      </c>
      <c r="F62" s="2" t="s">
        <v>20</v>
      </c>
      <c r="G62" s="2" t="s">
        <v>26</v>
      </c>
    </row>
    <row r="63" spans="1:7">
      <c r="A63" s="2">
        <v>62</v>
      </c>
      <c r="B63" s="2" t="s">
        <v>51</v>
      </c>
      <c r="C63" s="2" t="s">
        <v>22</v>
      </c>
      <c r="D63" s="2">
        <v>8</v>
      </c>
      <c r="E63" s="3">
        <v>93097</v>
      </c>
      <c r="F63" s="2" t="s">
        <v>28</v>
      </c>
      <c r="G63" s="2" t="s">
        <v>18</v>
      </c>
    </row>
    <row r="64" spans="1:7">
      <c r="A64" s="2">
        <v>63</v>
      </c>
      <c r="B64" s="2" t="s">
        <v>47</v>
      </c>
      <c r="C64" s="2" t="s">
        <v>22</v>
      </c>
      <c r="D64" s="2">
        <v>16</v>
      </c>
      <c r="E64" s="3">
        <v>55208</v>
      </c>
      <c r="F64" s="2" t="s">
        <v>32</v>
      </c>
      <c r="G64" s="2" t="s">
        <v>18</v>
      </c>
    </row>
    <row r="65" spans="1:7">
      <c r="A65" s="2">
        <v>64</v>
      </c>
      <c r="B65" s="2" t="s">
        <v>55</v>
      </c>
      <c r="C65" s="2" t="s">
        <v>12</v>
      </c>
      <c r="D65" s="2">
        <v>20</v>
      </c>
      <c r="E65" s="3">
        <v>70627</v>
      </c>
      <c r="F65" s="2" t="s">
        <v>17</v>
      </c>
      <c r="G65" s="2" t="s">
        <v>14</v>
      </c>
    </row>
    <row r="66" spans="1:7">
      <c r="A66" s="2">
        <v>65</v>
      </c>
      <c r="B66" s="2" t="s">
        <v>43</v>
      </c>
      <c r="C66" s="2" t="s">
        <v>12</v>
      </c>
      <c r="D66" s="2">
        <v>8</v>
      </c>
      <c r="E66" s="3">
        <v>64098</v>
      </c>
      <c r="F66" s="2" t="s">
        <v>20</v>
      </c>
      <c r="G66" s="2" t="s">
        <v>29</v>
      </c>
    </row>
    <row r="67" spans="1:7">
      <c r="A67" s="2">
        <v>66</v>
      </c>
      <c r="B67" s="2" t="s">
        <v>67</v>
      </c>
      <c r="C67" s="2" t="s">
        <v>22</v>
      </c>
      <c r="D67" s="2">
        <v>12</v>
      </c>
      <c r="E67" s="3">
        <v>58827</v>
      </c>
      <c r="F67" s="2" t="s">
        <v>38</v>
      </c>
      <c r="G67" s="2" t="s">
        <v>18</v>
      </c>
    </row>
    <row r="68" spans="1:7">
      <c r="A68" s="2">
        <v>67</v>
      </c>
      <c r="B68" s="2" t="s">
        <v>68</v>
      </c>
      <c r="C68" s="2" t="s">
        <v>12</v>
      </c>
      <c r="D68" s="2">
        <v>24</v>
      </c>
      <c r="E68" s="3">
        <v>65852</v>
      </c>
      <c r="F68" s="2" t="s">
        <v>13</v>
      </c>
      <c r="G68" s="2" t="s">
        <v>14</v>
      </c>
    </row>
    <row r="69" spans="1:7">
      <c r="A69" s="2">
        <v>68</v>
      </c>
      <c r="B69" s="2" t="s">
        <v>53</v>
      </c>
      <c r="C69" s="2" t="s">
        <v>8</v>
      </c>
      <c r="D69" s="2">
        <v>45</v>
      </c>
      <c r="E69" s="3">
        <v>61904</v>
      </c>
      <c r="F69" s="2" t="s">
        <v>13</v>
      </c>
      <c r="G69" s="2" t="s">
        <v>18</v>
      </c>
    </row>
    <row r="70" spans="1:7">
      <c r="A70" s="2">
        <v>69</v>
      </c>
      <c r="B70" s="2" t="s">
        <v>69</v>
      </c>
      <c r="C70" s="2" t="s">
        <v>8</v>
      </c>
      <c r="D70" s="2">
        <v>10</v>
      </c>
      <c r="E70" s="3">
        <v>96255</v>
      </c>
      <c r="F70" s="2" t="s">
        <v>28</v>
      </c>
      <c r="G70" s="2" t="s">
        <v>10</v>
      </c>
    </row>
    <row r="71" spans="1:7">
      <c r="A71" s="2">
        <v>70</v>
      </c>
      <c r="B71" s="2" t="s">
        <v>37</v>
      </c>
      <c r="C71" s="2" t="s">
        <v>22</v>
      </c>
      <c r="D71" s="2">
        <v>33</v>
      </c>
      <c r="E71" s="3">
        <v>82405</v>
      </c>
      <c r="F71" s="2" t="s">
        <v>38</v>
      </c>
      <c r="G71" s="2" t="s">
        <v>26</v>
      </c>
    </row>
    <row r="72" spans="1:7">
      <c r="A72" s="2">
        <v>71</v>
      </c>
      <c r="B72" s="2" t="s">
        <v>70</v>
      </c>
      <c r="C72" s="2" t="s">
        <v>8</v>
      </c>
      <c r="D72" s="2">
        <v>25</v>
      </c>
      <c r="E72" s="3">
        <v>51773</v>
      </c>
      <c r="F72" s="2" t="s">
        <v>25</v>
      </c>
      <c r="G72" s="2" t="s">
        <v>23</v>
      </c>
    </row>
    <row r="73" spans="1:7">
      <c r="A73" s="2">
        <v>72</v>
      </c>
      <c r="B73" s="2" t="s">
        <v>27</v>
      </c>
      <c r="C73" s="2" t="s">
        <v>22</v>
      </c>
      <c r="D73" s="2">
        <v>27</v>
      </c>
      <c r="E73" s="3">
        <v>60691</v>
      </c>
      <c r="F73" s="2" t="s">
        <v>9</v>
      </c>
      <c r="G73" s="2" t="s">
        <v>29</v>
      </c>
    </row>
    <row r="74" spans="1:7">
      <c r="A74" s="2">
        <v>73</v>
      </c>
      <c r="B74" s="2" t="s">
        <v>71</v>
      </c>
      <c r="C74" s="2" t="s">
        <v>8</v>
      </c>
      <c r="D74" s="2">
        <v>39</v>
      </c>
      <c r="E74" s="3">
        <v>32869</v>
      </c>
      <c r="F74" s="2" t="s">
        <v>9</v>
      </c>
      <c r="G74" s="2" t="s">
        <v>23</v>
      </c>
    </row>
    <row r="75" spans="1:7">
      <c r="A75" s="2">
        <v>74</v>
      </c>
      <c r="B75" s="2" t="s">
        <v>72</v>
      </c>
      <c r="C75" s="2" t="s">
        <v>16</v>
      </c>
      <c r="D75" s="2">
        <v>9</v>
      </c>
      <c r="E75" s="3">
        <v>28555</v>
      </c>
      <c r="F75" s="2" t="s">
        <v>38</v>
      </c>
      <c r="G75" s="2" t="s">
        <v>23</v>
      </c>
    </row>
    <row r="76" spans="1:7">
      <c r="A76" s="2">
        <v>75</v>
      </c>
      <c r="B76" s="2" t="s">
        <v>57</v>
      </c>
      <c r="C76" s="2" t="s">
        <v>22</v>
      </c>
      <c r="D76" s="2">
        <v>37</v>
      </c>
      <c r="E76" s="3">
        <v>39519</v>
      </c>
      <c r="F76" s="2" t="s">
        <v>32</v>
      </c>
      <c r="G76" s="2" t="s">
        <v>10</v>
      </c>
    </row>
    <row r="77" spans="1:7">
      <c r="A77" s="2">
        <v>76</v>
      </c>
      <c r="B77" s="2" t="s">
        <v>19</v>
      </c>
      <c r="C77" s="2" t="s">
        <v>8</v>
      </c>
      <c r="D77" s="2">
        <v>25</v>
      </c>
      <c r="E77" s="3">
        <v>84785</v>
      </c>
      <c r="F77" s="2" t="s">
        <v>28</v>
      </c>
      <c r="G77" s="2" t="s">
        <v>29</v>
      </c>
    </row>
    <row r="78" spans="1:7">
      <c r="A78" s="2">
        <v>77</v>
      </c>
      <c r="B78" s="2" t="s">
        <v>50</v>
      </c>
      <c r="C78" s="2" t="s">
        <v>16</v>
      </c>
      <c r="D78" s="2">
        <v>28</v>
      </c>
      <c r="E78" s="3">
        <v>31027</v>
      </c>
      <c r="F78" s="2" t="s">
        <v>32</v>
      </c>
      <c r="G78" s="2" t="s">
        <v>23</v>
      </c>
    </row>
    <row r="79" spans="1:7">
      <c r="A79" s="2">
        <v>78</v>
      </c>
      <c r="B79" s="2" t="s">
        <v>73</v>
      </c>
      <c r="C79" s="2" t="s">
        <v>22</v>
      </c>
      <c r="D79" s="2">
        <v>12</v>
      </c>
      <c r="E79" s="3">
        <v>79362</v>
      </c>
      <c r="F79" s="2" t="s">
        <v>38</v>
      </c>
      <c r="G79" s="2" t="s">
        <v>14</v>
      </c>
    </row>
    <row r="80" spans="1:7">
      <c r="A80" s="2">
        <v>79</v>
      </c>
      <c r="B80" s="2" t="s">
        <v>74</v>
      </c>
      <c r="C80" s="2" t="s">
        <v>8</v>
      </c>
      <c r="D80" s="2">
        <v>32</v>
      </c>
      <c r="E80" s="3">
        <v>49083</v>
      </c>
      <c r="F80" s="2" t="s">
        <v>32</v>
      </c>
      <c r="G80" s="2" t="s">
        <v>18</v>
      </c>
    </row>
    <row r="81" spans="1:7">
      <c r="A81" s="2">
        <v>80</v>
      </c>
      <c r="B81" s="2" t="s">
        <v>62</v>
      </c>
      <c r="C81" s="2" t="s">
        <v>8</v>
      </c>
      <c r="D81" s="2">
        <v>41</v>
      </c>
      <c r="E81" s="3">
        <v>66335</v>
      </c>
      <c r="F81" s="2" t="s">
        <v>25</v>
      </c>
      <c r="G81" s="2" t="s">
        <v>26</v>
      </c>
    </row>
    <row r="82" spans="1:7">
      <c r="A82" s="2">
        <v>81</v>
      </c>
      <c r="B82" s="2" t="s">
        <v>75</v>
      </c>
      <c r="C82" s="2" t="s">
        <v>16</v>
      </c>
      <c r="D82" s="2">
        <v>35</v>
      </c>
      <c r="E82" s="3">
        <v>93382</v>
      </c>
      <c r="F82" s="2" t="s">
        <v>38</v>
      </c>
      <c r="G82" s="2" t="s">
        <v>18</v>
      </c>
    </row>
    <row r="83" spans="1:7">
      <c r="A83" s="2">
        <v>82</v>
      </c>
      <c r="B83" s="2" t="s">
        <v>64</v>
      </c>
      <c r="C83" s="2" t="s">
        <v>12</v>
      </c>
      <c r="D83" s="2">
        <v>45</v>
      </c>
      <c r="E83" s="3">
        <v>52078</v>
      </c>
      <c r="F83" s="2" t="s">
        <v>17</v>
      </c>
      <c r="G83" s="2" t="s">
        <v>26</v>
      </c>
    </row>
    <row r="84" spans="1:7">
      <c r="A84" s="2">
        <v>83</v>
      </c>
      <c r="B84" s="2" t="s">
        <v>69</v>
      </c>
      <c r="C84" s="2" t="s">
        <v>12</v>
      </c>
      <c r="D84" s="2">
        <v>42</v>
      </c>
      <c r="E84" s="3">
        <v>65316</v>
      </c>
      <c r="F84" s="2" t="s">
        <v>32</v>
      </c>
      <c r="G84" s="2" t="s">
        <v>14</v>
      </c>
    </row>
    <row r="85" spans="1:7">
      <c r="A85" s="2">
        <v>84</v>
      </c>
      <c r="B85" s="2" t="s">
        <v>11</v>
      </c>
      <c r="C85" s="2" t="s">
        <v>16</v>
      </c>
      <c r="D85" s="2">
        <v>12</v>
      </c>
      <c r="E85" s="3">
        <v>45607</v>
      </c>
      <c r="F85" s="2" t="s">
        <v>38</v>
      </c>
      <c r="G85" s="2" t="s">
        <v>18</v>
      </c>
    </row>
    <row r="86" spans="1:7">
      <c r="A86" s="2">
        <v>85</v>
      </c>
      <c r="B86" s="2" t="s">
        <v>42</v>
      </c>
      <c r="C86" s="2" t="s">
        <v>16</v>
      </c>
      <c r="D86" s="2">
        <v>36</v>
      </c>
      <c r="E86" s="3">
        <v>35768</v>
      </c>
      <c r="F86" s="2" t="s">
        <v>25</v>
      </c>
      <c r="G86" s="2" t="s">
        <v>10</v>
      </c>
    </row>
    <row r="87" spans="1:7">
      <c r="A87" s="2">
        <v>86</v>
      </c>
      <c r="B87" s="2" t="s">
        <v>76</v>
      </c>
      <c r="C87" s="2" t="s">
        <v>22</v>
      </c>
      <c r="D87" s="2">
        <v>11</v>
      </c>
      <c r="E87" s="3">
        <v>42146</v>
      </c>
      <c r="F87" s="2" t="s">
        <v>20</v>
      </c>
      <c r="G87" s="2" t="s">
        <v>14</v>
      </c>
    </row>
    <row r="88" spans="1:7">
      <c r="A88" s="2">
        <v>87</v>
      </c>
      <c r="B88" s="2" t="s">
        <v>48</v>
      </c>
      <c r="C88" s="2" t="s">
        <v>12</v>
      </c>
      <c r="D88" s="2">
        <v>32</v>
      </c>
      <c r="E88" s="3">
        <v>37839</v>
      </c>
      <c r="F88" s="2" t="s">
        <v>28</v>
      </c>
      <c r="G88" s="2" t="s">
        <v>10</v>
      </c>
    </row>
    <row r="89" spans="1:7">
      <c r="A89" s="2">
        <v>88</v>
      </c>
      <c r="B89" s="2" t="s">
        <v>47</v>
      </c>
      <c r="C89" s="2" t="s">
        <v>22</v>
      </c>
      <c r="D89" s="2">
        <v>19</v>
      </c>
      <c r="E89" s="3">
        <v>51734</v>
      </c>
      <c r="F89" s="2" t="s">
        <v>13</v>
      </c>
      <c r="G89" s="2" t="s">
        <v>29</v>
      </c>
    </row>
    <row r="90" spans="1:7">
      <c r="A90" s="2">
        <v>89</v>
      </c>
      <c r="B90" s="2" t="s">
        <v>70</v>
      </c>
      <c r="C90" s="2" t="s">
        <v>8</v>
      </c>
      <c r="D90" s="2">
        <v>9</v>
      </c>
      <c r="E90" s="3">
        <v>67678</v>
      </c>
      <c r="F90" s="2" t="s">
        <v>17</v>
      </c>
      <c r="G90" s="2" t="s">
        <v>18</v>
      </c>
    </row>
    <row r="91" spans="1:7">
      <c r="A91" s="2">
        <v>90</v>
      </c>
      <c r="B91" s="2" t="s">
        <v>65</v>
      </c>
      <c r="C91" s="2" t="s">
        <v>16</v>
      </c>
      <c r="D91" s="2">
        <v>12</v>
      </c>
      <c r="E91" s="3">
        <v>59718</v>
      </c>
      <c r="F91" s="2" t="s">
        <v>13</v>
      </c>
      <c r="G91" s="2" t="s">
        <v>10</v>
      </c>
    </row>
    <row r="92" spans="1:7">
      <c r="A92" s="2">
        <v>91</v>
      </c>
      <c r="B92" s="2" t="s">
        <v>21</v>
      </c>
      <c r="C92" s="2" t="s">
        <v>22</v>
      </c>
      <c r="D92" s="2">
        <v>21</v>
      </c>
      <c r="E92" s="3">
        <v>62827</v>
      </c>
      <c r="F92" s="2" t="s">
        <v>13</v>
      </c>
      <c r="G92" s="2" t="s">
        <v>18</v>
      </c>
    </row>
    <row r="93" spans="1:7">
      <c r="A93" s="2">
        <v>92</v>
      </c>
      <c r="B93" s="2" t="s">
        <v>63</v>
      </c>
      <c r="C93" s="2" t="s">
        <v>16</v>
      </c>
      <c r="D93" s="2">
        <v>29</v>
      </c>
      <c r="E93" s="3">
        <v>36230</v>
      </c>
      <c r="F93" s="2" t="s">
        <v>32</v>
      </c>
      <c r="G93" s="2" t="s">
        <v>29</v>
      </c>
    </row>
    <row r="94" spans="1:7">
      <c r="A94" s="2">
        <v>93</v>
      </c>
      <c r="B94" s="2" t="s">
        <v>77</v>
      </c>
      <c r="C94" s="2" t="s">
        <v>22</v>
      </c>
      <c r="D94" s="2">
        <v>40</v>
      </c>
      <c r="E94" s="3">
        <v>56668</v>
      </c>
      <c r="F94" s="2" t="s">
        <v>38</v>
      </c>
      <c r="G94" s="2" t="s">
        <v>23</v>
      </c>
    </row>
    <row r="95" spans="1:7">
      <c r="A95" s="2">
        <v>94</v>
      </c>
      <c r="B95" s="2" t="s">
        <v>42</v>
      </c>
      <c r="C95" s="2" t="s">
        <v>8</v>
      </c>
      <c r="D95" s="2">
        <v>4</v>
      </c>
      <c r="E95" s="3">
        <v>25173</v>
      </c>
      <c r="F95" s="2" t="s">
        <v>20</v>
      </c>
      <c r="G95" s="2" t="s">
        <v>18</v>
      </c>
    </row>
    <row r="96" spans="1:7">
      <c r="A96" s="2">
        <v>95</v>
      </c>
      <c r="B96" s="2" t="s">
        <v>78</v>
      </c>
      <c r="C96" s="2" t="s">
        <v>8</v>
      </c>
      <c r="D96" s="2">
        <v>23</v>
      </c>
      <c r="E96" s="3">
        <v>28990</v>
      </c>
      <c r="F96" s="2" t="s">
        <v>20</v>
      </c>
      <c r="G96" s="2" t="s">
        <v>29</v>
      </c>
    </row>
    <row r="97" spans="1:7">
      <c r="A97" s="2">
        <v>96</v>
      </c>
      <c r="B97" s="2" t="s">
        <v>79</v>
      </c>
      <c r="C97" s="2" t="s">
        <v>12</v>
      </c>
      <c r="D97" s="2">
        <v>1</v>
      </c>
      <c r="E97" s="3">
        <v>26440</v>
      </c>
      <c r="F97" s="2" t="s">
        <v>28</v>
      </c>
      <c r="G97" s="2" t="s">
        <v>14</v>
      </c>
    </row>
    <row r="98" spans="1:7">
      <c r="A98" s="2">
        <v>97</v>
      </c>
      <c r="B98" s="2" t="s">
        <v>43</v>
      </c>
      <c r="C98" s="2" t="s">
        <v>12</v>
      </c>
      <c r="D98" s="2">
        <v>32</v>
      </c>
      <c r="E98" s="3">
        <v>76505</v>
      </c>
      <c r="F98" s="2" t="s">
        <v>17</v>
      </c>
      <c r="G98" s="2" t="s">
        <v>18</v>
      </c>
    </row>
    <row r="99" spans="1:7">
      <c r="A99" s="2">
        <v>98</v>
      </c>
      <c r="B99" s="2" t="s">
        <v>72</v>
      </c>
      <c r="C99" s="2" t="s">
        <v>8</v>
      </c>
      <c r="D99" s="2">
        <v>9</v>
      </c>
      <c r="E99" s="3">
        <v>86067</v>
      </c>
      <c r="F99" s="2" t="s">
        <v>17</v>
      </c>
      <c r="G99" s="2" t="s">
        <v>14</v>
      </c>
    </row>
    <row r="100" spans="1:7">
      <c r="A100" s="2">
        <v>99</v>
      </c>
      <c r="B100" s="2" t="s">
        <v>49</v>
      </c>
      <c r="C100" s="2" t="s">
        <v>22</v>
      </c>
      <c r="D100" s="2">
        <v>13</v>
      </c>
      <c r="E100" s="3">
        <v>40674</v>
      </c>
      <c r="F100" s="2" t="s">
        <v>28</v>
      </c>
      <c r="G100" s="2" t="s">
        <v>29</v>
      </c>
    </row>
    <row r="101" spans="1:7">
      <c r="A101" s="2">
        <v>100</v>
      </c>
      <c r="B101" s="2" t="s">
        <v>68</v>
      </c>
      <c r="C101" s="2" t="s">
        <v>16</v>
      </c>
      <c r="D101" s="2">
        <v>25</v>
      </c>
      <c r="E101" s="3">
        <v>82750</v>
      </c>
      <c r="F101" s="2" t="s">
        <v>32</v>
      </c>
      <c r="G101" s="2" t="s">
        <v>14</v>
      </c>
    </row>
    <row r="102" spans="1:7">
      <c r="A102" s="2">
        <v>101</v>
      </c>
      <c r="B102" s="2" t="s">
        <v>80</v>
      </c>
      <c r="C102" s="2" t="s">
        <v>8</v>
      </c>
      <c r="D102" s="2">
        <v>36</v>
      </c>
      <c r="E102" s="3">
        <v>62409</v>
      </c>
      <c r="F102" s="2" t="s">
        <v>32</v>
      </c>
      <c r="G102" s="2" t="s">
        <v>10</v>
      </c>
    </row>
    <row r="103" spans="1:7">
      <c r="A103" s="2">
        <v>102</v>
      </c>
      <c r="B103" s="2" t="s">
        <v>39</v>
      </c>
      <c r="C103" s="2" t="s">
        <v>8</v>
      </c>
      <c r="D103" s="2">
        <v>33</v>
      </c>
      <c r="E103" s="3">
        <v>61410</v>
      </c>
      <c r="F103" s="2" t="s">
        <v>9</v>
      </c>
      <c r="G103" s="2" t="s">
        <v>23</v>
      </c>
    </row>
    <row r="104" spans="1:7">
      <c r="A104" s="2">
        <v>103</v>
      </c>
      <c r="B104" s="2" t="s">
        <v>81</v>
      </c>
      <c r="C104" s="2" t="s">
        <v>22</v>
      </c>
      <c r="D104" s="2">
        <v>42</v>
      </c>
      <c r="E104" s="3">
        <v>64707</v>
      </c>
      <c r="F104" s="2" t="s">
        <v>13</v>
      </c>
      <c r="G104" s="2" t="s">
        <v>14</v>
      </c>
    </row>
    <row r="105" spans="1:7">
      <c r="A105" s="2">
        <v>104</v>
      </c>
      <c r="B105" s="2" t="s">
        <v>55</v>
      </c>
      <c r="C105" s="2" t="s">
        <v>8</v>
      </c>
      <c r="D105" s="2">
        <v>32</v>
      </c>
      <c r="E105" s="3">
        <v>80119</v>
      </c>
      <c r="F105" s="2" t="s">
        <v>38</v>
      </c>
      <c r="G105" s="2" t="s">
        <v>10</v>
      </c>
    </row>
    <row r="106" spans="1:7">
      <c r="A106" s="2">
        <v>105</v>
      </c>
      <c r="B106" s="2" t="s">
        <v>54</v>
      </c>
      <c r="C106" s="2" t="s">
        <v>8</v>
      </c>
      <c r="D106" s="2">
        <v>27</v>
      </c>
      <c r="E106" s="3">
        <v>58807</v>
      </c>
      <c r="F106" s="2" t="s">
        <v>28</v>
      </c>
      <c r="G106" s="2" t="s">
        <v>23</v>
      </c>
    </row>
    <row r="107" spans="1:7">
      <c r="A107" s="2">
        <v>106</v>
      </c>
      <c r="B107" s="2" t="s">
        <v>82</v>
      </c>
      <c r="C107" s="2" t="s">
        <v>22</v>
      </c>
      <c r="D107" s="2">
        <v>44</v>
      </c>
      <c r="E107" s="3">
        <v>58282</v>
      </c>
      <c r="F107" s="2" t="s">
        <v>25</v>
      </c>
      <c r="G107" s="2" t="s">
        <v>29</v>
      </c>
    </row>
    <row r="108" spans="1:7">
      <c r="A108" s="2">
        <v>107</v>
      </c>
      <c r="B108" s="2" t="s">
        <v>71</v>
      </c>
      <c r="C108" s="2" t="s">
        <v>8</v>
      </c>
      <c r="D108" s="2">
        <v>32</v>
      </c>
      <c r="E108" s="3">
        <v>87144</v>
      </c>
      <c r="F108" s="2" t="s">
        <v>13</v>
      </c>
      <c r="G108" s="2" t="s">
        <v>29</v>
      </c>
    </row>
    <row r="109" spans="1:7">
      <c r="A109" s="2">
        <v>108</v>
      </c>
      <c r="B109" s="2" t="s">
        <v>41</v>
      </c>
      <c r="C109" s="2" t="s">
        <v>12</v>
      </c>
      <c r="D109" s="2">
        <v>27</v>
      </c>
      <c r="E109" s="3">
        <v>65200</v>
      </c>
      <c r="F109" s="2" t="s">
        <v>20</v>
      </c>
      <c r="G109" s="2" t="s">
        <v>18</v>
      </c>
    </row>
    <row r="110" spans="1:7">
      <c r="A110" s="2">
        <v>109</v>
      </c>
      <c r="B110" s="2" t="s">
        <v>52</v>
      </c>
      <c r="C110" s="2" t="s">
        <v>12</v>
      </c>
      <c r="D110" s="2">
        <v>46</v>
      </c>
      <c r="E110" s="3">
        <v>63043</v>
      </c>
      <c r="F110" s="2" t="s">
        <v>20</v>
      </c>
      <c r="G110" s="2" t="s">
        <v>10</v>
      </c>
    </row>
    <row r="111" spans="1:7">
      <c r="A111" s="2">
        <v>110</v>
      </c>
      <c r="B111" s="2" t="s">
        <v>37</v>
      </c>
      <c r="C111" s="2" t="s">
        <v>12</v>
      </c>
      <c r="D111" s="2">
        <v>29</v>
      </c>
      <c r="E111" s="3">
        <v>50521</v>
      </c>
      <c r="F111" s="2" t="s">
        <v>28</v>
      </c>
      <c r="G111" s="2" t="s">
        <v>26</v>
      </c>
    </row>
    <row r="112" spans="1:7">
      <c r="A112" s="2">
        <v>111</v>
      </c>
      <c r="B112" s="2" t="s">
        <v>83</v>
      </c>
      <c r="C112" s="2" t="s">
        <v>12</v>
      </c>
      <c r="D112" s="2">
        <v>32</v>
      </c>
      <c r="E112" s="3">
        <v>40846</v>
      </c>
      <c r="F112" s="2" t="s">
        <v>17</v>
      </c>
      <c r="G112" s="2" t="s">
        <v>23</v>
      </c>
    </row>
    <row r="113" spans="1:7">
      <c r="A113" s="2">
        <v>112</v>
      </c>
      <c r="B113" s="2" t="s">
        <v>57</v>
      </c>
      <c r="C113" s="2" t="s">
        <v>8</v>
      </c>
      <c r="D113" s="2">
        <v>11</v>
      </c>
      <c r="E113" s="3">
        <v>34294</v>
      </c>
      <c r="F113" s="2" t="s">
        <v>20</v>
      </c>
      <c r="G113" s="2" t="s">
        <v>18</v>
      </c>
    </row>
    <row r="114" spans="1:7">
      <c r="A114" s="2">
        <v>113</v>
      </c>
      <c r="B114" s="2" t="s">
        <v>84</v>
      </c>
      <c r="C114" s="2" t="s">
        <v>16</v>
      </c>
      <c r="D114" s="2">
        <v>6</v>
      </c>
      <c r="E114" s="3">
        <v>64172</v>
      </c>
      <c r="F114" s="2" t="s">
        <v>28</v>
      </c>
      <c r="G114" s="2" t="s">
        <v>18</v>
      </c>
    </row>
    <row r="115" spans="1:7">
      <c r="A115" s="2">
        <v>114</v>
      </c>
      <c r="B115" s="2" t="s">
        <v>31</v>
      </c>
      <c r="C115" s="2" t="s">
        <v>12</v>
      </c>
      <c r="D115" s="2">
        <v>37</v>
      </c>
      <c r="E115" s="3">
        <v>71689</v>
      </c>
      <c r="F115" s="2" t="s">
        <v>28</v>
      </c>
      <c r="G115" s="2" t="s">
        <v>29</v>
      </c>
    </row>
    <row r="116" spans="1:7">
      <c r="A116" s="2">
        <v>115</v>
      </c>
      <c r="B116" s="2" t="s">
        <v>85</v>
      </c>
      <c r="C116" s="2" t="s">
        <v>12</v>
      </c>
      <c r="D116" s="2">
        <v>2</v>
      </c>
      <c r="E116" s="3">
        <v>63110</v>
      </c>
      <c r="F116" s="2" t="s">
        <v>9</v>
      </c>
      <c r="G116" s="2" t="s">
        <v>14</v>
      </c>
    </row>
    <row r="117" spans="1:7">
      <c r="A117" s="2">
        <v>116</v>
      </c>
      <c r="B117" s="2" t="s">
        <v>7</v>
      </c>
      <c r="C117" s="2" t="s">
        <v>8</v>
      </c>
      <c r="D117" s="2">
        <v>49</v>
      </c>
      <c r="E117" s="3">
        <v>66332</v>
      </c>
      <c r="F117" s="2" t="s">
        <v>13</v>
      </c>
      <c r="G117" s="2" t="s">
        <v>23</v>
      </c>
    </row>
    <row r="118" spans="1:7">
      <c r="A118" s="2">
        <v>117</v>
      </c>
      <c r="B118" s="2" t="s">
        <v>50</v>
      </c>
      <c r="C118" s="2" t="s">
        <v>8</v>
      </c>
      <c r="D118" s="2">
        <v>15</v>
      </c>
      <c r="E118" s="3">
        <v>81488</v>
      </c>
      <c r="F118" s="2" t="s">
        <v>9</v>
      </c>
      <c r="G118" s="2" t="s">
        <v>26</v>
      </c>
    </row>
    <row r="119" spans="1:7">
      <c r="A119" s="2">
        <v>118</v>
      </c>
      <c r="B119" s="2" t="s">
        <v>50</v>
      </c>
      <c r="C119" s="2" t="s">
        <v>22</v>
      </c>
      <c r="D119" s="2">
        <v>19</v>
      </c>
      <c r="E119" s="3">
        <v>97032</v>
      </c>
      <c r="F119" s="2" t="s">
        <v>32</v>
      </c>
      <c r="G119" s="2" t="s">
        <v>29</v>
      </c>
    </row>
    <row r="120" spans="1:7">
      <c r="A120" s="2">
        <v>119</v>
      </c>
      <c r="B120" s="2" t="s">
        <v>34</v>
      </c>
      <c r="C120" s="2" t="s">
        <v>12</v>
      </c>
      <c r="D120" s="2">
        <v>3</v>
      </c>
      <c r="E120" s="3">
        <v>60843</v>
      </c>
      <c r="F120" s="2" t="s">
        <v>17</v>
      </c>
      <c r="G120" s="2" t="s">
        <v>29</v>
      </c>
    </row>
    <row r="121" spans="1:7">
      <c r="A121" s="2">
        <v>120</v>
      </c>
      <c r="B121" s="2" t="s">
        <v>33</v>
      </c>
      <c r="C121" s="2" t="s">
        <v>22</v>
      </c>
      <c r="D121" s="2">
        <v>18</v>
      </c>
      <c r="E121" s="3">
        <v>87914</v>
      </c>
      <c r="F121" s="2" t="s">
        <v>9</v>
      </c>
      <c r="G121" s="2" t="s">
        <v>26</v>
      </c>
    </row>
    <row r="122" spans="1:7">
      <c r="A122" s="2">
        <v>121</v>
      </c>
      <c r="B122" s="2" t="s">
        <v>58</v>
      </c>
      <c r="C122" s="2" t="s">
        <v>12</v>
      </c>
      <c r="D122" s="2">
        <v>15</v>
      </c>
      <c r="E122" s="3">
        <v>84063</v>
      </c>
      <c r="F122" s="2" t="s">
        <v>9</v>
      </c>
      <c r="G122" s="2" t="s">
        <v>14</v>
      </c>
    </row>
    <row r="123" spans="1:7">
      <c r="A123" s="2">
        <v>122</v>
      </c>
      <c r="B123" s="2" t="s">
        <v>59</v>
      </c>
      <c r="C123" s="2" t="s">
        <v>16</v>
      </c>
      <c r="D123" s="2">
        <v>35</v>
      </c>
      <c r="E123" s="3">
        <v>58054</v>
      </c>
      <c r="F123" s="2" t="s">
        <v>38</v>
      </c>
      <c r="G123" s="2" t="s">
        <v>10</v>
      </c>
    </row>
    <row r="124" spans="1:7">
      <c r="A124" s="2">
        <v>123</v>
      </c>
      <c r="B124" s="2" t="s">
        <v>34</v>
      </c>
      <c r="C124" s="2" t="s">
        <v>8</v>
      </c>
      <c r="D124" s="2">
        <v>19</v>
      </c>
      <c r="E124" s="3">
        <v>54524</v>
      </c>
      <c r="F124" s="2" t="s">
        <v>9</v>
      </c>
      <c r="G124" s="2" t="s">
        <v>10</v>
      </c>
    </row>
    <row r="125" spans="1:7">
      <c r="A125" s="2">
        <v>124</v>
      </c>
      <c r="B125" s="2" t="s">
        <v>40</v>
      </c>
      <c r="C125" s="2" t="s">
        <v>8</v>
      </c>
      <c r="D125" s="2">
        <v>11</v>
      </c>
      <c r="E125" s="3">
        <v>44167</v>
      </c>
      <c r="F125" s="2" t="s">
        <v>20</v>
      </c>
      <c r="G125" s="2" t="s">
        <v>26</v>
      </c>
    </row>
    <row r="126" spans="1:7">
      <c r="A126" s="2">
        <v>125</v>
      </c>
      <c r="B126" s="2" t="s">
        <v>78</v>
      </c>
      <c r="C126" s="2" t="s">
        <v>22</v>
      </c>
      <c r="D126" s="2">
        <v>50</v>
      </c>
      <c r="E126" s="3">
        <v>71582</v>
      </c>
      <c r="F126" s="2" t="s">
        <v>28</v>
      </c>
      <c r="G126" s="2" t="s">
        <v>23</v>
      </c>
    </row>
    <row r="127" spans="1:7">
      <c r="A127" s="2">
        <v>126</v>
      </c>
      <c r="B127" s="2" t="s">
        <v>39</v>
      </c>
      <c r="C127" s="2" t="s">
        <v>22</v>
      </c>
      <c r="D127" s="2">
        <v>30</v>
      </c>
      <c r="E127" s="3">
        <v>33399</v>
      </c>
      <c r="F127" s="2" t="s">
        <v>20</v>
      </c>
      <c r="G127" s="2" t="s">
        <v>14</v>
      </c>
    </row>
    <row r="128" spans="1:7">
      <c r="A128" s="2">
        <v>127</v>
      </c>
      <c r="B128" s="2" t="s">
        <v>86</v>
      </c>
      <c r="C128" s="2" t="s">
        <v>8</v>
      </c>
      <c r="D128" s="2">
        <v>37</v>
      </c>
      <c r="E128" s="3">
        <v>31121</v>
      </c>
      <c r="F128" s="2" t="s">
        <v>13</v>
      </c>
      <c r="G128" s="2" t="s">
        <v>14</v>
      </c>
    </row>
    <row r="129" spans="1:7">
      <c r="A129" s="2">
        <v>128</v>
      </c>
      <c r="B129" s="2" t="s">
        <v>87</v>
      </c>
      <c r="C129" s="2" t="s">
        <v>8</v>
      </c>
      <c r="D129" s="2">
        <v>48</v>
      </c>
      <c r="E129" s="3">
        <v>34404</v>
      </c>
      <c r="F129" s="2" t="s">
        <v>32</v>
      </c>
      <c r="G129" s="2" t="s">
        <v>18</v>
      </c>
    </row>
    <row r="130" spans="1:7">
      <c r="A130" s="2">
        <v>129</v>
      </c>
      <c r="B130" s="2" t="s">
        <v>45</v>
      </c>
      <c r="C130" s="2" t="s">
        <v>8</v>
      </c>
      <c r="D130" s="2">
        <v>50</v>
      </c>
      <c r="E130" s="3">
        <v>58260</v>
      </c>
      <c r="F130" s="2" t="s">
        <v>32</v>
      </c>
      <c r="G130" s="2" t="s">
        <v>14</v>
      </c>
    </row>
    <row r="131" spans="1:7">
      <c r="A131" s="2">
        <v>130</v>
      </c>
      <c r="B131" s="2" t="s">
        <v>65</v>
      </c>
      <c r="C131" s="2" t="s">
        <v>12</v>
      </c>
      <c r="D131" s="2">
        <v>50</v>
      </c>
      <c r="E131" s="3">
        <v>37098</v>
      </c>
      <c r="F131" s="2" t="s">
        <v>17</v>
      </c>
      <c r="G131" s="2" t="s">
        <v>26</v>
      </c>
    </row>
    <row r="132" spans="1:7">
      <c r="A132" s="2">
        <v>131</v>
      </c>
      <c r="B132" s="2" t="s">
        <v>75</v>
      </c>
      <c r="C132" s="2" t="s">
        <v>12</v>
      </c>
      <c r="D132" s="2">
        <v>32</v>
      </c>
      <c r="E132" s="3">
        <v>82343</v>
      </c>
      <c r="F132" s="2" t="s">
        <v>13</v>
      </c>
      <c r="G132" s="2" t="s">
        <v>23</v>
      </c>
    </row>
    <row r="133" spans="1:7">
      <c r="A133" s="2">
        <v>132</v>
      </c>
      <c r="B133" s="2" t="s">
        <v>62</v>
      </c>
      <c r="C133" s="2" t="s">
        <v>16</v>
      </c>
      <c r="D133" s="2">
        <v>36</v>
      </c>
      <c r="E133" s="3">
        <v>78187</v>
      </c>
      <c r="F133" s="2" t="s">
        <v>17</v>
      </c>
      <c r="G133" s="2" t="s">
        <v>14</v>
      </c>
    </row>
    <row r="134" spans="1:7">
      <c r="A134" s="2">
        <v>133</v>
      </c>
      <c r="B134" s="2" t="s">
        <v>48</v>
      </c>
      <c r="C134" s="2" t="s">
        <v>12</v>
      </c>
      <c r="D134" s="2">
        <v>33</v>
      </c>
      <c r="E134" s="3">
        <v>58490</v>
      </c>
      <c r="F134" s="2" t="s">
        <v>38</v>
      </c>
      <c r="G134" s="2" t="s">
        <v>18</v>
      </c>
    </row>
    <row r="135" spans="1:7">
      <c r="A135" s="2">
        <v>134</v>
      </c>
      <c r="B135" s="2" t="s">
        <v>60</v>
      </c>
      <c r="C135" s="2" t="s">
        <v>8</v>
      </c>
      <c r="D135" s="2">
        <v>8</v>
      </c>
      <c r="E135" s="3">
        <v>67914</v>
      </c>
      <c r="F135" s="2" t="s">
        <v>28</v>
      </c>
      <c r="G135" s="2" t="s">
        <v>10</v>
      </c>
    </row>
    <row r="136" spans="1:7">
      <c r="A136" s="2">
        <v>135</v>
      </c>
      <c r="B136" s="2" t="s">
        <v>55</v>
      </c>
      <c r="C136" s="2" t="s">
        <v>12</v>
      </c>
      <c r="D136" s="2">
        <v>37</v>
      </c>
      <c r="E136" s="3">
        <v>46197</v>
      </c>
      <c r="F136" s="2" t="s">
        <v>32</v>
      </c>
      <c r="G136" s="2" t="s">
        <v>14</v>
      </c>
    </row>
    <row r="137" spans="1:7">
      <c r="A137" s="2">
        <v>136</v>
      </c>
      <c r="B137" s="2" t="s">
        <v>41</v>
      </c>
      <c r="C137" s="2" t="s">
        <v>22</v>
      </c>
      <c r="D137" s="2">
        <v>8</v>
      </c>
      <c r="E137" s="3">
        <v>71320</v>
      </c>
      <c r="F137" s="2" t="s">
        <v>28</v>
      </c>
      <c r="G137" s="2" t="s">
        <v>14</v>
      </c>
    </row>
    <row r="138" spans="1:7">
      <c r="A138" s="2">
        <v>137</v>
      </c>
      <c r="B138" s="2" t="s">
        <v>68</v>
      </c>
      <c r="C138" s="2" t="s">
        <v>8</v>
      </c>
      <c r="D138" s="2">
        <v>18</v>
      </c>
      <c r="E138" s="3">
        <v>84233</v>
      </c>
      <c r="F138" s="2" t="s">
        <v>20</v>
      </c>
      <c r="G138" s="2" t="s">
        <v>23</v>
      </c>
    </row>
    <row r="139" spans="1:7">
      <c r="A139" s="2">
        <v>138</v>
      </c>
      <c r="B139" s="2" t="s">
        <v>88</v>
      </c>
      <c r="C139" s="2" t="s">
        <v>12</v>
      </c>
      <c r="D139" s="2">
        <v>50</v>
      </c>
      <c r="E139" s="3">
        <v>71143</v>
      </c>
      <c r="F139" s="2" t="s">
        <v>13</v>
      </c>
      <c r="G139" s="2" t="s">
        <v>26</v>
      </c>
    </row>
    <row r="140" spans="1:7">
      <c r="A140" s="2">
        <v>139</v>
      </c>
      <c r="B140" s="2" t="s">
        <v>45</v>
      </c>
      <c r="C140" s="2" t="s">
        <v>8</v>
      </c>
      <c r="D140" s="2">
        <v>35</v>
      </c>
      <c r="E140" s="3">
        <v>77511</v>
      </c>
      <c r="F140" s="2" t="s">
        <v>17</v>
      </c>
      <c r="G140" s="2" t="s">
        <v>26</v>
      </c>
    </row>
    <row r="141" spans="1:7">
      <c r="A141" s="2">
        <v>140</v>
      </c>
      <c r="B141" s="2" t="s">
        <v>86</v>
      </c>
      <c r="C141" s="2" t="s">
        <v>22</v>
      </c>
      <c r="D141" s="2">
        <v>24</v>
      </c>
      <c r="E141" s="3">
        <v>68349</v>
      </c>
      <c r="F141" s="2" t="s">
        <v>20</v>
      </c>
      <c r="G141" s="2" t="s">
        <v>18</v>
      </c>
    </row>
    <row r="142" spans="1:7">
      <c r="A142" s="2">
        <v>141</v>
      </c>
      <c r="B142" s="2" t="s">
        <v>30</v>
      </c>
      <c r="C142" s="2" t="s">
        <v>22</v>
      </c>
      <c r="D142" s="2">
        <v>35</v>
      </c>
      <c r="E142" s="3">
        <v>91751</v>
      </c>
      <c r="F142" s="2" t="s">
        <v>25</v>
      </c>
      <c r="G142" s="2" t="s">
        <v>14</v>
      </c>
    </row>
    <row r="143" spans="1:7">
      <c r="A143" s="2">
        <v>142</v>
      </c>
      <c r="B143" s="2" t="s">
        <v>72</v>
      </c>
      <c r="C143" s="2" t="s">
        <v>12</v>
      </c>
      <c r="D143" s="2">
        <v>49</v>
      </c>
      <c r="E143" s="3">
        <v>40733</v>
      </c>
      <c r="F143" s="2" t="s">
        <v>9</v>
      </c>
      <c r="G143" s="2" t="s">
        <v>23</v>
      </c>
    </row>
    <row r="144" spans="1:7">
      <c r="A144" s="2">
        <v>143</v>
      </c>
      <c r="B144" s="2" t="s">
        <v>61</v>
      </c>
      <c r="C144" s="2" t="s">
        <v>8</v>
      </c>
      <c r="D144" s="2">
        <v>3</v>
      </c>
      <c r="E144" s="3">
        <v>39716</v>
      </c>
      <c r="F144" s="2" t="s">
        <v>17</v>
      </c>
      <c r="G144" s="2" t="s">
        <v>18</v>
      </c>
    </row>
    <row r="145" spans="1:7">
      <c r="A145" s="2">
        <v>144</v>
      </c>
      <c r="B145" s="2" t="s">
        <v>51</v>
      </c>
      <c r="C145" s="2" t="s">
        <v>16</v>
      </c>
      <c r="D145" s="2">
        <v>49</v>
      </c>
      <c r="E145" s="3">
        <v>70187</v>
      </c>
      <c r="F145" s="2" t="s">
        <v>17</v>
      </c>
      <c r="G145" s="2" t="s">
        <v>26</v>
      </c>
    </row>
    <row r="146" spans="1:7">
      <c r="A146" s="2">
        <v>145</v>
      </c>
      <c r="B146" s="2" t="s">
        <v>15</v>
      </c>
      <c r="C146" s="2" t="s">
        <v>22</v>
      </c>
      <c r="D146" s="2">
        <v>47</v>
      </c>
      <c r="E146" s="3">
        <v>47401</v>
      </c>
      <c r="F146" s="2" t="s">
        <v>32</v>
      </c>
      <c r="G146" s="2" t="s">
        <v>29</v>
      </c>
    </row>
    <row r="147" spans="1:7">
      <c r="A147" s="2">
        <v>146</v>
      </c>
      <c r="B147" s="2" t="s">
        <v>81</v>
      </c>
      <c r="C147" s="2" t="s">
        <v>16</v>
      </c>
      <c r="D147" s="2">
        <v>29</v>
      </c>
      <c r="E147" s="3">
        <v>92848</v>
      </c>
      <c r="F147" s="2" t="s">
        <v>28</v>
      </c>
      <c r="G147" s="2" t="s">
        <v>18</v>
      </c>
    </row>
    <row r="148" spans="1:7">
      <c r="A148" s="2">
        <v>147</v>
      </c>
      <c r="B148" s="2" t="s">
        <v>63</v>
      </c>
      <c r="C148" s="2" t="s">
        <v>12</v>
      </c>
      <c r="D148" s="2">
        <v>35</v>
      </c>
      <c r="E148" s="3">
        <v>66070</v>
      </c>
      <c r="F148" s="2" t="s">
        <v>25</v>
      </c>
      <c r="G148" s="2" t="s">
        <v>29</v>
      </c>
    </row>
    <row r="149" spans="1:7">
      <c r="A149" s="2">
        <v>148</v>
      </c>
      <c r="B149" s="2" t="s">
        <v>19</v>
      </c>
      <c r="C149" s="2" t="s">
        <v>22</v>
      </c>
      <c r="D149" s="2">
        <v>14</v>
      </c>
      <c r="E149" s="3">
        <v>80936</v>
      </c>
      <c r="F149" s="2" t="s">
        <v>32</v>
      </c>
      <c r="G149" s="2" t="s">
        <v>29</v>
      </c>
    </row>
    <row r="150" spans="1:7">
      <c r="A150" s="2">
        <v>149</v>
      </c>
      <c r="B150" s="2" t="s">
        <v>68</v>
      </c>
      <c r="C150" s="2" t="s">
        <v>16</v>
      </c>
      <c r="D150" s="2">
        <v>28</v>
      </c>
      <c r="E150" s="3">
        <v>60649</v>
      </c>
      <c r="F150" s="2" t="s">
        <v>9</v>
      </c>
      <c r="G150" s="2" t="s">
        <v>18</v>
      </c>
    </row>
    <row r="151" spans="1:7">
      <c r="A151" s="2">
        <v>150</v>
      </c>
      <c r="B151" s="2" t="s">
        <v>69</v>
      </c>
      <c r="C151" s="2" t="s">
        <v>22</v>
      </c>
      <c r="D151" s="2">
        <v>7</v>
      </c>
      <c r="E151" s="3">
        <v>37395</v>
      </c>
      <c r="F151" s="2" t="s">
        <v>32</v>
      </c>
      <c r="G151" s="2" t="s">
        <v>18</v>
      </c>
    </row>
    <row r="152" spans="1:7">
      <c r="A152" s="2">
        <v>151</v>
      </c>
      <c r="B152" s="2" t="s">
        <v>72</v>
      </c>
      <c r="C152" s="2" t="s">
        <v>16</v>
      </c>
      <c r="D152" s="2">
        <v>48</v>
      </c>
      <c r="E152" s="3">
        <v>67138</v>
      </c>
      <c r="F152" s="2" t="s">
        <v>32</v>
      </c>
      <c r="G152" s="2" t="s">
        <v>23</v>
      </c>
    </row>
    <row r="153" spans="1:7">
      <c r="A153" s="2">
        <v>152</v>
      </c>
      <c r="B153" s="2" t="s">
        <v>75</v>
      </c>
      <c r="C153" s="2" t="s">
        <v>8</v>
      </c>
      <c r="D153" s="2">
        <v>42</v>
      </c>
      <c r="E153" s="3">
        <v>98941</v>
      </c>
      <c r="F153" s="2" t="s">
        <v>32</v>
      </c>
      <c r="G153" s="2" t="s">
        <v>18</v>
      </c>
    </row>
    <row r="154" spans="1:7">
      <c r="A154" s="2">
        <v>153</v>
      </c>
      <c r="B154" s="2" t="s">
        <v>87</v>
      </c>
      <c r="C154" s="2" t="s">
        <v>8</v>
      </c>
      <c r="D154" s="2">
        <v>49</v>
      </c>
      <c r="E154" s="3">
        <v>28134</v>
      </c>
      <c r="F154" s="2" t="s">
        <v>28</v>
      </c>
      <c r="G154" s="2" t="s">
        <v>10</v>
      </c>
    </row>
    <row r="155" spans="1:7">
      <c r="A155" s="2">
        <v>154</v>
      </c>
      <c r="B155" s="2" t="s">
        <v>85</v>
      </c>
      <c r="C155" s="2" t="s">
        <v>12</v>
      </c>
      <c r="D155" s="2">
        <v>16</v>
      </c>
      <c r="E155" s="3">
        <v>93947</v>
      </c>
      <c r="F155" s="2" t="s">
        <v>32</v>
      </c>
      <c r="G155" s="2" t="s">
        <v>26</v>
      </c>
    </row>
    <row r="156" spans="1:7">
      <c r="A156" s="2">
        <v>155</v>
      </c>
      <c r="B156" s="2" t="s">
        <v>71</v>
      </c>
      <c r="C156" s="2" t="s">
        <v>22</v>
      </c>
      <c r="D156" s="2">
        <v>20</v>
      </c>
      <c r="E156" s="3">
        <v>90093</v>
      </c>
      <c r="F156" s="2" t="s">
        <v>32</v>
      </c>
      <c r="G156" s="2" t="s">
        <v>14</v>
      </c>
    </row>
    <row r="157" spans="1:7">
      <c r="A157" s="2">
        <v>156</v>
      </c>
      <c r="B157" s="2" t="s">
        <v>69</v>
      </c>
      <c r="C157" s="2" t="s">
        <v>16</v>
      </c>
      <c r="D157" s="2">
        <v>3</v>
      </c>
      <c r="E157" s="3">
        <v>68509</v>
      </c>
      <c r="F157" s="2" t="s">
        <v>32</v>
      </c>
      <c r="G157" s="2" t="s">
        <v>18</v>
      </c>
    </row>
    <row r="158" spans="1:7">
      <c r="A158" s="2">
        <v>157</v>
      </c>
      <c r="B158" s="2" t="s">
        <v>88</v>
      </c>
      <c r="C158" s="2" t="s">
        <v>12</v>
      </c>
      <c r="D158" s="2">
        <v>29</v>
      </c>
      <c r="E158" s="3">
        <v>96428</v>
      </c>
      <c r="F158" s="2" t="s">
        <v>32</v>
      </c>
      <c r="G158" s="2" t="s">
        <v>29</v>
      </c>
    </row>
    <row r="159" spans="1:7">
      <c r="A159" s="2">
        <v>158</v>
      </c>
      <c r="B159" s="2" t="s">
        <v>89</v>
      </c>
      <c r="C159" s="2" t="s">
        <v>8</v>
      </c>
      <c r="D159" s="2">
        <v>17</v>
      </c>
      <c r="E159" s="3">
        <v>62641</v>
      </c>
      <c r="F159" s="2" t="s">
        <v>17</v>
      </c>
      <c r="G159" s="2" t="s">
        <v>29</v>
      </c>
    </row>
    <row r="160" spans="1:7">
      <c r="A160" s="2">
        <v>159</v>
      </c>
      <c r="B160" s="2" t="s">
        <v>27</v>
      </c>
      <c r="C160" s="2" t="s">
        <v>8</v>
      </c>
      <c r="D160" s="2">
        <v>23</v>
      </c>
      <c r="E160" s="3">
        <v>32831</v>
      </c>
      <c r="F160" s="2" t="s">
        <v>25</v>
      </c>
      <c r="G160" s="2" t="s">
        <v>18</v>
      </c>
    </row>
    <row r="161" spans="1:7">
      <c r="A161" s="2">
        <v>160</v>
      </c>
      <c r="B161" s="2" t="s">
        <v>48</v>
      </c>
      <c r="C161" s="2" t="s">
        <v>12</v>
      </c>
      <c r="D161" s="2">
        <v>6</v>
      </c>
      <c r="E161" s="3">
        <v>76091</v>
      </c>
      <c r="F161" s="2" t="s">
        <v>20</v>
      </c>
      <c r="G161" s="2" t="s">
        <v>14</v>
      </c>
    </row>
    <row r="162" spans="1:7">
      <c r="A162" s="2">
        <v>161</v>
      </c>
      <c r="B162" s="2" t="s">
        <v>55</v>
      </c>
      <c r="C162" s="2" t="s">
        <v>22</v>
      </c>
      <c r="D162" s="2">
        <v>29</v>
      </c>
      <c r="E162" s="3">
        <v>63718</v>
      </c>
      <c r="F162" s="2" t="s">
        <v>20</v>
      </c>
      <c r="G162" s="2" t="s">
        <v>14</v>
      </c>
    </row>
    <row r="163" spans="1:7">
      <c r="A163" s="2">
        <v>162</v>
      </c>
      <c r="B163" s="2" t="s">
        <v>37</v>
      </c>
      <c r="C163" s="2" t="s">
        <v>16</v>
      </c>
      <c r="D163" s="2">
        <v>8</v>
      </c>
      <c r="E163" s="3">
        <v>58159</v>
      </c>
      <c r="F163" s="2" t="s">
        <v>20</v>
      </c>
      <c r="G163" s="2" t="s">
        <v>23</v>
      </c>
    </row>
    <row r="164" spans="1:7">
      <c r="A164" s="2">
        <v>163</v>
      </c>
      <c r="B164" s="2" t="s">
        <v>36</v>
      </c>
      <c r="C164" s="2" t="s">
        <v>8</v>
      </c>
      <c r="D164" s="2">
        <v>50</v>
      </c>
      <c r="E164" s="3">
        <v>40952</v>
      </c>
      <c r="F164" s="2" t="s">
        <v>9</v>
      </c>
      <c r="G164" s="2" t="s">
        <v>23</v>
      </c>
    </row>
    <row r="165" spans="1:7">
      <c r="A165" s="2">
        <v>164</v>
      </c>
      <c r="B165" s="2" t="s">
        <v>19</v>
      </c>
      <c r="C165" s="2" t="s">
        <v>12</v>
      </c>
      <c r="D165" s="2">
        <v>16</v>
      </c>
      <c r="E165" s="3">
        <v>48902</v>
      </c>
      <c r="F165" s="2" t="s">
        <v>38</v>
      </c>
      <c r="G165" s="2" t="s">
        <v>23</v>
      </c>
    </row>
    <row r="166" spans="1:7">
      <c r="A166" s="2">
        <v>165</v>
      </c>
      <c r="B166" s="2" t="s">
        <v>90</v>
      </c>
      <c r="C166" s="2" t="s">
        <v>8</v>
      </c>
      <c r="D166" s="2">
        <v>14</v>
      </c>
      <c r="E166" s="3">
        <v>52021</v>
      </c>
      <c r="F166" s="2" t="s">
        <v>38</v>
      </c>
      <c r="G166" s="2" t="s">
        <v>14</v>
      </c>
    </row>
    <row r="167" spans="1:7">
      <c r="A167" s="2">
        <v>166</v>
      </c>
      <c r="B167" s="2" t="s">
        <v>58</v>
      </c>
      <c r="C167" s="2" t="s">
        <v>8</v>
      </c>
      <c r="D167" s="2">
        <v>48</v>
      </c>
      <c r="E167" s="3">
        <v>67975</v>
      </c>
      <c r="F167" s="2" t="s">
        <v>9</v>
      </c>
      <c r="G167" s="2" t="s">
        <v>29</v>
      </c>
    </row>
    <row r="168" spans="1:7">
      <c r="A168" s="2">
        <v>167</v>
      </c>
      <c r="B168" s="2" t="s">
        <v>51</v>
      </c>
      <c r="C168" s="2" t="s">
        <v>16</v>
      </c>
      <c r="D168" s="2">
        <v>38</v>
      </c>
      <c r="E168" s="3">
        <v>99278</v>
      </c>
      <c r="F168" s="2" t="s">
        <v>17</v>
      </c>
      <c r="G168" s="2" t="s">
        <v>23</v>
      </c>
    </row>
    <row r="169" spans="1:7">
      <c r="A169" s="2">
        <v>168</v>
      </c>
      <c r="B169" s="2" t="s">
        <v>73</v>
      </c>
      <c r="C169" s="2" t="s">
        <v>22</v>
      </c>
      <c r="D169" s="2">
        <v>45</v>
      </c>
      <c r="E169" s="3">
        <v>99881</v>
      </c>
      <c r="F169" s="2" t="s">
        <v>17</v>
      </c>
      <c r="G169" s="2" t="s">
        <v>18</v>
      </c>
    </row>
    <row r="170" spans="1:7">
      <c r="A170" s="2">
        <v>169</v>
      </c>
      <c r="B170" s="2" t="s">
        <v>51</v>
      </c>
      <c r="C170" s="2" t="s">
        <v>22</v>
      </c>
      <c r="D170" s="2">
        <v>23</v>
      </c>
      <c r="E170" s="3">
        <v>39851</v>
      </c>
      <c r="F170" s="2" t="s">
        <v>9</v>
      </c>
      <c r="G170" s="2" t="s">
        <v>23</v>
      </c>
    </row>
    <row r="171" spans="1:7">
      <c r="A171" s="2">
        <v>170</v>
      </c>
      <c r="B171" s="2" t="s">
        <v>57</v>
      </c>
      <c r="C171" s="2" t="s">
        <v>16</v>
      </c>
      <c r="D171" s="2">
        <v>46</v>
      </c>
      <c r="E171" s="3">
        <v>57598</v>
      </c>
      <c r="F171" s="2" t="s">
        <v>28</v>
      </c>
      <c r="G171" s="2" t="s">
        <v>18</v>
      </c>
    </row>
    <row r="172" spans="1:7">
      <c r="A172" s="2">
        <v>171</v>
      </c>
      <c r="B172" s="2" t="s">
        <v>91</v>
      </c>
      <c r="C172" s="2" t="s">
        <v>12</v>
      </c>
      <c r="D172" s="2">
        <v>40</v>
      </c>
      <c r="E172" s="3">
        <v>59472</v>
      </c>
      <c r="F172" s="2" t="s">
        <v>9</v>
      </c>
      <c r="G172" s="2" t="s">
        <v>18</v>
      </c>
    </row>
    <row r="173" spans="1:7">
      <c r="A173" s="2">
        <v>172</v>
      </c>
      <c r="B173" s="2" t="s">
        <v>68</v>
      </c>
      <c r="C173" s="2" t="s">
        <v>12</v>
      </c>
      <c r="D173" s="2">
        <v>41</v>
      </c>
      <c r="E173" s="3">
        <v>83041</v>
      </c>
      <c r="F173" s="2" t="s">
        <v>25</v>
      </c>
      <c r="G173" s="2" t="s">
        <v>29</v>
      </c>
    </row>
    <row r="174" spans="1:7">
      <c r="A174" s="2">
        <v>173</v>
      </c>
      <c r="B174" s="2" t="s">
        <v>88</v>
      </c>
      <c r="C174" s="2" t="s">
        <v>22</v>
      </c>
      <c r="D174" s="2">
        <v>28</v>
      </c>
      <c r="E174" s="3">
        <v>72013</v>
      </c>
      <c r="F174" s="2" t="s">
        <v>28</v>
      </c>
      <c r="G174" s="2" t="s">
        <v>26</v>
      </c>
    </row>
    <row r="175" spans="1:7">
      <c r="A175" s="2">
        <v>174</v>
      </c>
      <c r="B175" s="2" t="s">
        <v>61</v>
      </c>
      <c r="C175" s="2" t="s">
        <v>8</v>
      </c>
      <c r="D175" s="2">
        <v>11</v>
      </c>
      <c r="E175" s="3">
        <v>50120</v>
      </c>
      <c r="F175" s="2" t="s">
        <v>13</v>
      </c>
      <c r="G175" s="2" t="s">
        <v>18</v>
      </c>
    </row>
    <row r="176" spans="1:7">
      <c r="A176" s="2">
        <v>175</v>
      </c>
      <c r="B176" s="2" t="s">
        <v>24</v>
      </c>
      <c r="C176" s="2" t="s">
        <v>8</v>
      </c>
      <c r="D176" s="2">
        <v>40</v>
      </c>
      <c r="E176" s="3">
        <v>80386</v>
      </c>
      <c r="F176" s="2" t="s">
        <v>32</v>
      </c>
      <c r="G176" s="2" t="s">
        <v>23</v>
      </c>
    </row>
    <row r="177" spans="1:7">
      <c r="A177" s="2">
        <v>176</v>
      </c>
      <c r="B177" s="2" t="s">
        <v>15</v>
      </c>
      <c r="C177" s="2" t="s">
        <v>12</v>
      </c>
      <c r="D177" s="2">
        <v>9</v>
      </c>
      <c r="E177" s="3">
        <v>54810</v>
      </c>
      <c r="F177" s="2" t="s">
        <v>25</v>
      </c>
      <c r="G177" s="2" t="s">
        <v>29</v>
      </c>
    </row>
    <row r="178" spans="1:7">
      <c r="A178" s="2">
        <v>177</v>
      </c>
      <c r="B178" s="2" t="s">
        <v>81</v>
      </c>
      <c r="C178" s="2" t="s">
        <v>16</v>
      </c>
      <c r="D178" s="2">
        <v>14</v>
      </c>
      <c r="E178" s="3">
        <v>54102</v>
      </c>
      <c r="F178" s="2" t="s">
        <v>38</v>
      </c>
      <c r="G178" s="2" t="s">
        <v>29</v>
      </c>
    </row>
    <row r="179" spans="1:7">
      <c r="A179" s="2">
        <v>178</v>
      </c>
      <c r="B179" s="2" t="s">
        <v>90</v>
      </c>
      <c r="C179" s="2" t="s">
        <v>8</v>
      </c>
      <c r="D179" s="2">
        <v>14</v>
      </c>
      <c r="E179" s="3">
        <v>51592</v>
      </c>
      <c r="F179" s="2" t="s">
        <v>13</v>
      </c>
      <c r="G179" s="2" t="s">
        <v>14</v>
      </c>
    </row>
    <row r="180" spans="1:7">
      <c r="A180" s="2">
        <v>179</v>
      </c>
      <c r="B180" s="2" t="s">
        <v>82</v>
      </c>
      <c r="C180" s="2" t="s">
        <v>12</v>
      </c>
      <c r="D180" s="2">
        <v>4</v>
      </c>
      <c r="E180" s="3">
        <v>85527</v>
      </c>
      <c r="F180" s="2" t="s">
        <v>9</v>
      </c>
      <c r="G180" s="2" t="s">
        <v>18</v>
      </c>
    </row>
    <row r="181" spans="1:7">
      <c r="A181" s="2">
        <v>180</v>
      </c>
      <c r="B181" s="2" t="s">
        <v>19</v>
      </c>
      <c r="C181" s="2" t="s">
        <v>16</v>
      </c>
      <c r="D181" s="2">
        <v>37</v>
      </c>
      <c r="E181" s="3">
        <v>44533</v>
      </c>
      <c r="F181" s="2" t="s">
        <v>38</v>
      </c>
      <c r="G181" s="2" t="s">
        <v>23</v>
      </c>
    </row>
    <row r="182" spans="1:7">
      <c r="A182" s="2">
        <v>181</v>
      </c>
      <c r="B182" s="2" t="s">
        <v>81</v>
      </c>
      <c r="C182" s="2" t="s">
        <v>22</v>
      </c>
      <c r="D182" s="2">
        <v>23</v>
      </c>
      <c r="E182" s="3">
        <v>63058</v>
      </c>
      <c r="F182" s="2" t="s">
        <v>17</v>
      </c>
      <c r="G182" s="2" t="s">
        <v>18</v>
      </c>
    </row>
    <row r="183" spans="1:7">
      <c r="A183" s="2">
        <v>182</v>
      </c>
      <c r="B183" s="2" t="s">
        <v>64</v>
      </c>
      <c r="C183" s="2" t="s">
        <v>16</v>
      </c>
      <c r="D183" s="2">
        <v>35</v>
      </c>
      <c r="E183" s="3">
        <v>38871</v>
      </c>
      <c r="F183" s="2" t="s">
        <v>13</v>
      </c>
      <c r="G183" s="2" t="s">
        <v>23</v>
      </c>
    </row>
    <row r="184" spans="1:7">
      <c r="A184" s="2">
        <v>183</v>
      </c>
      <c r="B184" s="2" t="s">
        <v>15</v>
      </c>
      <c r="C184" s="2" t="s">
        <v>22</v>
      </c>
      <c r="D184" s="2">
        <v>18</v>
      </c>
      <c r="E184" s="3">
        <v>80593</v>
      </c>
      <c r="F184" s="2" t="s">
        <v>25</v>
      </c>
      <c r="G184" s="2" t="s">
        <v>10</v>
      </c>
    </row>
    <row r="185" spans="1:7">
      <c r="A185" s="2">
        <v>184</v>
      </c>
      <c r="B185" s="2" t="s">
        <v>82</v>
      </c>
      <c r="C185" s="2" t="s">
        <v>12</v>
      </c>
      <c r="D185" s="2">
        <v>39</v>
      </c>
      <c r="E185" s="3">
        <v>43935</v>
      </c>
      <c r="F185" s="2" t="s">
        <v>9</v>
      </c>
      <c r="G185" s="2" t="s">
        <v>14</v>
      </c>
    </row>
    <row r="186" spans="1:7">
      <c r="A186" s="2">
        <v>185</v>
      </c>
      <c r="B186" s="2" t="s">
        <v>92</v>
      </c>
      <c r="C186" s="2" t="s">
        <v>16</v>
      </c>
      <c r="D186" s="2">
        <v>35</v>
      </c>
      <c r="E186" s="3">
        <v>38057</v>
      </c>
      <c r="F186" s="2" t="s">
        <v>20</v>
      </c>
      <c r="G186" s="2" t="s">
        <v>29</v>
      </c>
    </row>
    <row r="187" spans="1:7">
      <c r="A187" s="2">
        <v>186</v>
      </c>
      <c r="B187" s="2" t="s">
        <v>73</v>
      </c>
      <c r="C187" s="2" t="s">
        <v>12</v>
      </c>
      <c r="D187" s="2">
        <v>11</v>
      </c>
      <c r="E187" s="3">
        <v>72444</v>
      </c>
      <c r="F187" s="2" t="s">
        <v>9</v>
      </c>
      <c r="G187" s="2" t="s">
        <v>14</v>
      </c>
    </row>
    <row r="188" spans="1:7">
      <c r="A188" s="2">
        <v>187</v>
      </c>
      <c r="B188" s="2" t="s">
        <v>81</v>
      </c>
      <c r="C188" s="2" t="s">
        <v>22</v>
      </c>
      <c r="D188" s="2">
        <v>21</v>
      </c>
      <c r="E188" s="3">
        <v>92351</v>
      </c>
      <c r="F188" s="2" t="s">
        <v>17</v>
      </c>
      <c r="G188" s="2" t="s">
        <v>10</v>
      </c>
    </row>
    <row r="189" spans="1:7">
      <c r="A189" s="2">
        <v>188</v>
      </c>
      <c r="B189" s="2" t="s">
        <v>73</v>
      </c>
      <c r="C189" s="2" t="s">
        <v>8</v>
      </c>
      <c r="D189" s="2">
        <v>46</v>
      </c>
      <c r="E189" s="3">
        <v>33600</v>
      </c>
      <c r="F189" s="2" t="s">
        <v>38</v>
      </c>
      <c r="G189" s="2" t="s">
        <v>26</v>
      </c>
    </row>
    <row r="190" spans="1:7">
      <c r="A190" s="2">
        <v>189</v>
      </c>
      <c r="B190" s="2" t="s">
        <v>27</v>
      </c>
      <c r="C190" s="2" t="s">
        <v>8</v>
      </c>
      <c r="D190" s="2">
        <v>19</v>
      </c>
      <c r="E190" s="3">
        <v>70785</v>
      </c>
      <c r="F190" s="2" t="s">
        <v>38</v>
      </c>
      <c r="G190" s="2" t="s">
        <v>14</v>
      </c>
    </row>
    <row r="191" spans="1:7">
      <c r="A191" s="2">
        <v>190</v>
      </c>
      <c r="B191" s="2" t="s">
        <v>80</v>
      </c>
      <c r="C191" s="2" t="s">
        <v>22</v>
      </c>
      <c r="D191" s="2">
        <v>19</v>
      </c>
      <c r="E191" s="3">
        <v>70172</v>
      </c>
      <c r="F191" s="2" t="s">
        <v>32</v>
      </c>
      <c r="G191" s="2" t="s">
        <v>14</v>
      </c>
    </row>
    <row r="192" spans="1:7">
      <c r="A192" s="2">
        <v>191</v>
      </c>
      <c r="B192" s="2" t="s">
        <v>21</v>
      </c>
      <c r="C192" s="2" t="s">
        <v>8</v>
      </c>
      <c r="D192" s="2">
        <v>37</v>
      </c>
      <c r="E192" s="3">
        <v>63485</v>
      </c>
      <c r="F192" s="2" t="s">
        <v>13</v>
      </c>
      <c r="G192" s="2" t="s">
        <v>10</v>
      </c>
    </row>
    <row r="193" spans="1:7">
      <c r="A193" s="2">
        <v>192</v>
      </c>
      <c r="B193" s="2" t="s">
        <v>27</v>
      </c>
      <c r="C193" s="2" t="s">
        <v>8</v>
      </c>
      <c r="D193" s="2">
        <v>18</v>
      </c>
      <c r="E193" s="3">
        <v>25687</v>
      </c>
      <c r="F193" s="2" t="s">
        <v>20</v>
      </c>
      <c r="G193" s="2" t="s">
        <v>14</v>
      </c>
    </row>
    <row r="194" spans="1:7">
      <c r="A194" s="2">
        <v>193</v>
      </c>
      <c r="B194" s="2" t="s">
        <v>48</v>
      </c>
      <c r="C194" s="2" t="s">
        <v>16</v>
      </c>
      <c r="D194" s="2">
        <v>33</v>
      </c>
      <c r="E194" s="3">
        <v>56913</v>
      </c>
      <c r="F194" s="2" t="s">
        <v>17</v>
      </c>
      <c r="G194" s="2" t="s">
        <v>14</v>
      </c>
    </row>
    <row r="195" spans="1:7">
      <c r="A195" s="2">
        <v>194</v>
      </c>
      <c r="B195" s="2" t="s">
        <v>76</v>
      </c>
      <c r="C195" s="2" t="s">
        <v>16</v>
      </c>
      <c r="D195" s="2">
        <v>44</v>
      </c>
      <c r="E195" s="3">
        <v>80258</v>
      </c>
      <c r="F195" s="2" t="s">
        <v>17</v>
      </c>
      <c r="G195" s="2" t="s">
        <v>10</v>
      </c>
    </row>
    <row r="196" spans="1:7">
      <c r="A196" s="2">
        <v>195</v>
      </c>
      <c r="B196" s="2" t="s">
        <v>90</v>
      </c>
      <c r="C196" s="2" t="s">
        <v>8</v>
      </c>
      <c r="D196" s="2">
        <v>7</v>
      </c>
      <c r="E196" s="3">
        <v>98948</v>
      </c>
      <c r="F196" s="2" t="s">
        <v>28</v>
      </c>
      <c r="G196" s="2" t="s">
        <v>10</v>
      </c>
    </row>
    <row r="197" spans="1:7">
      <c r="A197" s="2">
        <v>196</v>
      </c>
      <c r="B197" s="2" t="s">
        <v>39</v>
      </c>
      <c r="C197" s="2" t="s">
        <v>16</v>
      </c>
      <c r="D197" s="2">
        <v>9</v>
      </c>
      <c r="E197" s="3">
        <v>49380</v>
      </c>
      <c r="F197" s="2" t="s">
        <v>25</v>
      </c>
      <c r="G197" s="2" t="s">
        <v>29</v>
      </c>
    </row>
    <row r="198" spans="1:7">
      <c r="A198" s="2">
        <v>197</v>
      </c>
      <c r="B198" s="2" t="s">
        <v>19</v>
      </c>
      <c r="C198" s="2" t="s">
        <v>22</v>
      </c>
      <c r="D198" s="2">
        <v>49</v>
      </c>
      <c r="E198" s="3">
        <v>96080</v>
      </c>
      <c r="F198" s="2" t="s">
        <v>28</v>
      </c>
      <c r="G198" s="2" t="s">
        <v>26</v>
      </c>
    </row>
    <row r="199" spans="1:7">
      <c r="A199" s="2">
        <v>198</v>
      </c>
      <c r="B199" s="2" t="s">
        <v>33</v>
      </c>
      <c r="C199" s="2" t="s">
        <v>16</v>
      </c>
      <c r="D199" s="2">
        <v>27</v>
      </c>
      <c r="E199" s="3">
        <v>61805</v>
      </c>
      <c r="F199" s="2" t="s">
        <v>32</v>
      </c>
      <c r="G199" s="2" t="s">
        <v>23</v>
      </c>
    </row>
    <row r="200" spans="1:7">
      <c r="A200" s="2">
        <v>199</v>
      </c>
      <c r="B200" s="2" t="s">
        <v>21</v>
      </c>
      <c r="C200" s="2" t="s">
        <v>16</v>
      </c>
      <c r="D200" s="2">
        <v>4</v>
      </c>
      <c r="E200" s="3">
        <v>57181</v>
      </c>
      <c r="F200" s="2" t="s">
        <v>28</v>
      </c>
      <c r="G200" s="2" t="s">
        <v>23</v>
      </c>
    </row>
    <row r="201" spans="1:7">
      <c r="A201" s="2">
        <v>200</v>
      </c>
      <c r="B201" s="2" t="s">
        <v>76</v>
      </c>
      <c r="C201" s="2" t="s">
        <v>16</v>
      </c>
      <c r="D201" s="2">
        <v>18</v>
      </c>
      <c r="E201" s="3">
        <v>94661</v>
      </c>
      <c r="F201" s="2" t="s">
        <v>9</v>
      </c>
      <c r="G201" s="2" t="s">
        <v>26</v>
      </c>
    </row>
    <row r="202" spans="1:7">
      <c r="A202" s="2">
        <v>201</v>
      </c>
      <c r="B202" s="2" t="s">
        <v>7</v>
      </c>
      <c r="C202" s="2" t="s">
        <v>12</v>
      </c>
      <c r="D202" s="2">
        <v>42</v>
      </c>
      <c r="E202" s="3">
        <v>57117</v>
      </c>
      <c r="F202" s="2" t="s">
        <v>17</v>
      </c>
      <c r="G202" s="2" t="s">
        <v>26</v>
      </c>
    </row>
    <row r="203" spans="1:7">
      <c r="A203" s="2">
        <v>202</v>
      </c>
      <c r="B203" s="2" t="s">
        <v>45</v>
      </c>
      <c r="C203" s="2" t="s">
        <v>22</v>
      </c>
      <c r="D203" s="2">
        <v>9</v>
      </c>
      <c r="E203" s="3">
        <v>92239</v>
      </c>
      <c r="F203" s="2" t="s">
        <v>17</v>
      </c>
      <c r="G203" s="2" t="s">
        <v>26</v>
      </c>
    </row>
    <row r="204" spans="1:7">
      <c r="A204" s="2">
        <v>203</v>
      </c>
      <c r="B204" s="2" t="s">
        <v>42</v>
      </c>
      <c r="C204" s="2" t="s">
        <v>8</v>
      </c>
      <c r="D204" s="2">
        <v>45</v>
      </c>
      <c r="E204" s="3">
        <v>99016</v>
      </c>
      <c r="F204" s="2" t="s">
        <v>25</v>
      </c>
      <c r="G204" s="2" t="s">
        <v>10</v>
      </c>
    </row>
    <row r="205" spans="1:7">
      <c r="A205" s="2">
        <v>204</v>
      </c>
      <c r="B205" s="2" t="s">
        <v>58</v>
      </c>
      <c r="C205" s="2" t="s">
        <v>8</v>
      </c>
      <c r="D205" s="2">
        <v>9</v>
      </c>
      <c r="E205" s="3">
        <v>98275</v>
      </c>
      <c r="F205" s="2" t="s">
        <v>9</v>
      </c>
      <c r="G205" s="2" t="s">
        <v>23</v>
      </c>
    </row>
    <row r="206" spans="1:7">
      <c r="A206" s="2">
        <v>205</v>
      </c>
      <c r="B206" s="2" t="s">
        <v>35</v>
      </c>
      <c r="C206" s="2" t="s">
        <v>12</v>
      </c>
      <c r="D206" s="2">
        <v>16</v>
      </c>
      <c r="E206" s="3">
        <v>87305</v>
      </c>
      <c r="F206" s="2" t="s">
        <v>13</v>
      </c>
      <c r="G206" s="2" t="s">
        <v>18</v>
      </c>
    </row>
    <row r="207" spans="1:7">
      <c r="A207" s="2">
        <v>206</v>
      </c>
      <c r="B207" s="2" t="s">
        <v>69</v>
      </c>
      <c r="C207" s="2" t="s">
        <v>16</v>
      </c>
      <c r="D207" s="2">
        <v>10</v>
      </c>
      <c r="E207" s="3">
        <v>54003</v>
      </c>
      <c r="F207" s="2" t="s">
        <v>32</v>
      </c>
      <c r="G207" s="2" t="s">
        <v>18</v>
      </c>
    </row>
    <row r="208" spans="1:7">
      <c r="A208" s="2">
        <v>207</v>
      </c>
      <c r="B208" s="2" t="s">
        <v>27</v>
      </c>
      <c r="C208" s="2" t="s">
        <v>22</v>
      </c>
      <c r="D208" s="2">
        <v>46</v>
      </c>
      <c r="E208" s="3">
        <v>75129</v>
      </c>
      <c r="F208" s="2" t="s">
        <v>13</v>
      </c>
      <c r="G208" s="2" t="s">
        <v>18</v>
      </c>
    </row>
    <row r="209" spans="1:7">
      <c r="A209" s="2">
        <v>208</v>
      </c>
      <c r="B209" s="2" t="s">
        <v>39</v>
      </c>
      <c r="C209" s="2" t="s">
        <v>22</v>
      </c>
      <c r="D209" s="2">
        <v>21</v>
      </c>
      <c r="E209" s="3">
        <v>67432</v>
      </c>
      <c r="F209" s="2" t="s">
        <v>17</v>
      </c>
      <c r="G209" s="2" t="s">
        <v>29</v>
      </c>
    </row>
    <row r="210" spans="1:7">
      <c r="A210" s="2">
        <v>209</v>
      </c>
      <c r="B210" s="2" t="s">
        <v>42</v>
      </c>
      <c r="C210" s="2" t="s">
        <v>8</v>
      </c>
      <c r="D210" s="2">
        <v>16</v>
      </c>
      <c r="E210" s="3">
        <v>89967</v>
      </c>
      <c r="F210" s="2" t="s">
        <v>17</v>
      </c>
      <c r="G210" s="2" t="s">
        <v>26</v>
      </c>
    </row>
    <row r="211" spans="1:7">
      <c r="A211" s="2">
        <v>210</v>
      </c>
      <c r="B211" s="2" t="s">
        <v>62</v>
      </c>
      <c r="C211" s="2" t="s">
        <v>12</v>
      </c>
      <c r="D211" s="2">
        <v>49</v>
      </c>
      <c r="E211" s="3">
        <v>67295</v>
      </c>
      <c r="F211" s="2" t="s">
        <v>13</v>
      </c>
      <c r="G211" s="2" t="s">
        <v>26</v>
      </c>
    </row>
    <row r="212" spans="1:7">
      <c r="A212" s="2">
        <v>211</v>
      </c>
      <c r="B212" s="2" t="s">
        <v>78</v>
      </c>
      <c r="C212" s="2" t="s">
        <v>12</v>
      </c>
      <c r="D212" s="2">
        <v>44</v>
      </c>
      <c r="E212" s="3">
        <v>85230</v>
      </c>
      <c r="F212" s="2" t="s">
        <v>28</v>
      </c>
      <c r="G212" s="2" t="s">
        <v>23</v>
      </c>
    </row>
    <row r="213" spans="1:7">
      <c r="A213" s="2">
        <v>212</v>
      </c>
      <c r="B213" s="2" t="s">
        <v>42</v>
      </c>
      <c r="C213" s="2" t="s">
        <v>12</v>
      </c>
      <c r="D213" s="2">
        <v>26</v>
      </c>
      <c r="E213" s="3">
        <v>77228</v>
      </c>
      <c r="F213" s="2" t="s">
        <v>9</v>
      </c>
      <c r="G213" s="2" t="s">
        <v>14</v>
      </c>
    </row>
    <row r="214" spans="1:7">
      <c r="A214" s="2">
        <v>213</v>
      </c>
      <c r="B214" s="2" t="s">
        <v>39</v>
      </c>
      <c r="C214" s="2" t="s">
        <v>12</v>
      </c>
      <c r="D214" s="2">
        <v>32</v>
      </c>
      <c r="E214" s="3">
        <v>43097</v>
      </c>
      <c r="F214" s="2" t="s">
        <v>25</v>
      </c>
      <c r="G214" s="2" t="s">
        <v>10</v>
      </c>
    </row>
    <row r="215" spans="1:7">
      <c r="A215" s="2">
        <v>214</v>
      </c>
      <c r="B215" s="2" t="s">
        <v>91</v>
      </c>
      <c r="C215" s="2" t="s">
        <v>22</v>
      </c>
      <c r="D215" s="2">
        <v>10</v>
      </c>
      <c r="E215" s="3">
        <v>45479</v>
      </c>
      <c r="F215" s="2" t="s">
        <v>25</v>
      </c>
      <c r="G215" s="2" t="s">
        <v>23</v>
      </c>
    </row>
    <row r="216" spans="1:7">
      <c r="A216" s="2">
        <v>215</v>
      </c>
      <c r="B216" s="2" t="s">
        <v>93</v>
      </c>
      <c r="C216" s="2" t="s">
        <v>16</v>
      </c>
      <c r="D216" s="2">
        <v>37</v>
      </c>
      <c r="E216" s="3">
        <v>55706</v>
      </c>
      <c r="F216" s="2" t="s">
        <v>32</v>
      </c>
      <c r="G216" s="2" t="s">
        <v>29</v>
      </c>
    </row>
    <row r="217" spans="1:7">
      <c r="A217" s="2">
        <v>216</v>
      </c>
      <c r="B217" s="2" t="s">
        <v>63</v>
      </c>
      <c r="C217" s="2" t="s">
        <v>8</v>
      </c>
      <c r="D217" s="2">
        <v>41</v>
      </c>
      <c r="E217" s="3">
        <v>68832</v>
      </c>
      <c r="F217" s="2" t="s">
        <v>20</v>
      </c>
      <c r="G217" s="2" t="s">
        <v>14</v>
      </c>
    </row>
    <row r="218" spans="1:7">
      <c r="A218" s="2">
        <v>217</v>
      </c>
      <c r="B218" s="2" t="s">
        <v>78</v>
      </c>
      <c r="C218" s="2" t="s">
        <v>22</v>
      </c>
      <c r="D218" s="2">
        <v>18</v>
      </c>
      <c r="E218" s="3">
        <v>52662</v>
      </c>
      <c r="F218" s="2" t="s">
        <v>28</v>
      </c>
      <c r="G218" s="2" t="s">
        <v>26</v>
      </c>
    </row>
    <row r="219" spans="1:7">
      <c r="A219" s="2">
        <v>218</v>
      </c>
      <c r="B219" s="2" t="s">
        <v>42</v>
      </c>
      <c r="C219" s="2" t="s">
        <v>12</v>
      </c>
      <c r="D219" s="2">
        <v>41</v>
      </c>
      <c r="E219" s="3">
        <v>73970</v>
      </c>
      <c r="F219" s="2" t="s">
        <v>32</v>
      </c>
      <c r="G219" s="2" t="s">
        <v>10</v>
      </c>
    </row>
    <row r="220" spans="1:7">
      <c r="A220" s="2">
        <v>219</v>
      </c>
      <c r="B220" s="2" t="s">
        <v>94</v>
      </c>
      <c r="C220" s="2" t="s">
        <v>12</v>
      </c>
      <c r="D220" s="2">
        <v>27</v>
      </c>
      <c r="E220" s="3">
        <v>72256</v>
      </c>
      <c r="F220" s="2" t="s">
        <v>13</v>
      </c>
      <c r="G220" s="2" t="s">
        <v>14</v>
      </c>
    </row>
    <row r="221" spans="1:7">
      <c r="A221" s="2">
        <v>220</v>
      </c>
      <c r="B221" s="2" t="s">
        <v>79</v>
      </c>
      <c r="C221" s="2" t="s">
        <v>8</v>
      </c>
      <c r="D221" s="2">
        <v>25</v>
      </c>
      <c r="E221" s="3">
        <v>33476</v>
      </c>
      <c r="F221" s="2" t="s">
        <v>13</v>
      </c>
      <c r="G221" s="2" t="s">
        <v>10</v>
      </c>
    </row>
    <row r="222" spans="1:7">
      <c r="A222" s="2">
        <v>221</v>
      </c>
      <c r="B222" s="2" t="s">
        <v>19</v>
      </c>
      <c r="C222" s="2" t="s">
        <v>16</v>
      </c>
      <c r="D222" s="2">
        <v>29</v>
      </c>
      <c r="E222" s="3">
        <v>46064</v>
      </c>
      <c r="F222" s="2" t="s">
        <v>32</v>
      </c>
      <c r="G222" s="2" t="s">
        <v>18</v>
      </c>
    </row>
    <row r="223" spans="1:7">
      <c r="A223" s="2">
        <v>222</v>
      </c>
      <c r="B223" s="2" t="s">
        <v>51</v>
      </c>
      <c r="C223" s="2" t="s">
        <v>16</v>
      </c>
      <c r="D223" s="2">
        <v>5</v>
      </c>
      <c r="E223" s="3">
        <v>98433</v>
      </c>
      <c r="F223" s="2" t="s">
        <v>25</v>
      </c>
      <c r="G223" s="2" t="s">
        <v>26</v>
      </c>
    </row>
    <row r="224" spans="1:7">
      <c r="A224" s="2">
        <v>223</v>
      </c>
      <c r="B224" s="2" t="s">
        <v>65</v>
      </c>
      <c r="C224" s="2" t="s">
        <v>16</v>
      </c>
      <c r="D224" s="2">
        <v>41</v>
      </c>
      <c r="E224" s="3">
        <v>29662</v>
      </c>
      <c r="F224" s="2" t="s">
        <v>25</v>
      </c>
      <c r="G224" s="2" t="s">
        <v>26</v>
      </c>
    </row>
    <row r="225" spans="1:7">
      <c r="A225" s="2">
        <v>224</v>
      </c>
      <c r="B225" s="2" t="s">
        <v>59</v>
      </c>
      <c r="C225" s="2" t="s">
        <v>12</v>
      </c>
      <c r="D225" s="2">
        <v>50</v>
      </c>
      <c r="E225" s="3">
        <v>90387</v>
      </c>
      <c r="F225" s="2" t="s">
        <v>9</v>
      </c>
      <c r="G225" s="2" t="s">
        <v>26</v>
      </c>
    </row>
    <row r="226" spans="1:7">
      <c r="A226" s="2">
        <v>225</v>
      </c>
      <c r="B226" s="2" t="s">
        <v>69</v>
      </c>
      <c r="C226" s="2" t="s">
        <v>22</v>
      </c>
      <c r="D226" s="2">
        <v>6</v>
      </c>
      <c r="E226" s="3">
        <v>26501</v>
      </c>
      <c r="F226" s="2" t="s">
        <v>38</v>
      </c>
      <c r="G226" s="2" t="s">
        <v>10</v>
      </c>
    </row>
    <row r="227" spans="1:7">
      <c r="A227" s="2">
        <v>226</v>
      </c>
      <c r="B227" s="2" t="s">
        <v>74</v>
      </c>
      <c r="C227" s="2" t="s">
        <v>22</v>
      </c>
      <c r="D227" s="2">
        <v>26</v>
      </c>
      <c r="E227" s="3">
        <v>48383</v>
      </c>
      <c r="F227" s="2" t="s">
        <v>25</v>
      </c>
      <c r="G227" s="2" t="s">
        <v>10</v>
      </c>
    </row>
    <row r="228" spans="1:7">
      <c r="A228" s="2">
        <v>227</v>
      </c>
      <c r="B228" s="2" t="s">
        <v>41</v>
      </c>
      <c r="C228" s="2" t="s">
        <v>16</v>
      </c>
      <c r="D228" s="2">
        <v>33</v>
      </c>
      <c r="E228" s="3">
        <v>52838</v>
      </c>
      <c r="F228" s="2" t="s">
        <v>13</v>
      </c>
      <c r="G228" s="2" t="s">
        <v>29</v>
      </c>
    </row>
    <row r="229" spans="1:7">
      <c r="A229" s="2">
        <v>228</v>
      </c>
      <c r="B229" s="2" t="s">
        <v>94</v>
      </c>
      <c r="C229" s="2" t="s">
        <v>8</v>
      </c>
      <c r="D229" s="2">
        <v>48</v>
      </c>
      <c r="E229" s="3">
        <v>57828</v>
      </c>
      <c r="F229" s="2" t="s">
        <v>9</v>
      </c>
      <c r="G229" s="2" t="s">
        <v>29</v>
      </c>
    </row>
    <row r="230" spans="1:7">
      <c r="A230" s="2">
        <v>229</v>
      </c>
      <c r="B230" s="2" t="s">
        <v>89</v>
      </c>
      <c r="C230" s="2" t="s">
        <v>16</v>
      </c>
      <c r="D230" s="2">
        <v>18</v>
      </c>
      <c r="E230" s="3">
        <v>25084</v>
      </c>
      <c r="F230" s="2" t="s">
        <v>25</v>
      </c>
      <c r="G230" s="2" t="s">
        <v>29</v>
      </c>
    </row>
    <row r="231" spans="1:7">
      <c r="A231" s="2">
        <v>230</v>
      </c>
      <c r="B231" s="2" t="s">
        <v>7</v>
      </c>
      <c r="C231" s="2" t="s">
        <v>16</v>
      </c>
      <c r="D231" s="2">
        <v>45</v>
      </c>
      <c r="E231" s="3">
        <v>68863</v>
      </c>
      <c r="F231" s="2" t="s">
        <v>17</v>
      </c>
      <c r="G231" s="2" t="s">
        <v>23</v>
      </c>
    </row>
    <row r="232" spans="1:7">
      <c r="A232" s="2">
        <v>231</v>
      </c>
      <c r="B232" s="2" t="s">
        <v>11</v>
      </c>
      <c r="C232" s="2" t="s">
        <v>8</v>
      </c>
      <c r="D232" s="2">
        <v>24</v>
      </c>
      <c r="E232" s="3">
        <v>50227</v>
      </c>
      <c r="F232" s="2" t="s">
        <v>9</v>
      </c>
      <c r="G232" s="2" t="s">
        <v>18</v>
      </c>
    </row>
    <row r="233" spans="1:7">
      <c r="A233" s="2">
        <v>232</v>
      </c>
      <c r="B233" s="2" t="s">
        <v>34</v>
      </c>
      <c r="C233" s="2" t="s">
        <v>16</v>
      </c>
      <c r="D233" s="2">
        <v>30</v>
      </c>
      <c r="E233" s="3">
        <v>82825</v>
      </c>
      <c r="F233" s="2" t="s">
        <v>28</v>
      </c>
      <c r="G233" s="2" t="s">
        <v>18</v>
      </c>
    </row>
    <row r="234" spans="1:7">
      <c r="A234" s="2">
        <v>233</v>
      </c>
      <c r="B234" s="2" t="s">
        <v>77</v>
      </c>
      <c r="C234" s="2" t="s">
        <v>8</v>
      </c>
      <c r="D234" s="2">
        <v>32</v>
      </c>
      <c r="E234" s="3">
        <v>38080</v>
      </c>
      <c r="F234" s="2" t="s">
        <v>28</v>
      </c>
      <c r="G234" s="2" t="s">
        <v>10</v>
      </c>
    </row>
    <row r="235" spans="1:7">
      <c r="A235" s="2">
        <v>234</v>
      </c>
      <c r="B235" s="2" t="s">
        <v>58</v>
      </c>
      <c r="C235" s="2" t="s">
        <v>8</v>
      </c>
      <c r="D235" s="2">
        <v>21</v>
      </c>
      <c r="E235" s="3">
        <v>42649</v>
      </c>
      <c r="F235" s="2" t="s">
        <v>38</v>
      </c>
      <c r="G235" s="2" t="s">
        <v>29</v>
      </c>
    </row>
    <row r="236" spans="1:7">
      <c r="A236" s="2">
        <v>235</v>
      </c>
      <c r="B236" s="2" t="s">
        <v>66</v>
      </c>
      <c r="C236" s="2" t="s">
        <v>22</v>
      </c>
      <c r="D236" s="2">
        <v>38</v>
      </c>
      <c r="E236" s="3">
        <v>56502</v>
      </c>
      <c r="F236" s="2" t="s">
        <v>13</v>
      </c>
      <c r="G236" s="2" t="s">
        <v>26</v>
      </c>
    </row>
    <row r="237" spans="1:7">
      <c r="A237" s="2">
        <v>236</v>
      </c>
      <c r="B237" s="2" t="s">
        <v>19</v>
      </c>
      <c r="C237" s="2" t="s">
        <v>8</v>
      </c>
      <c r="D237" s="2">
        <v>1</v>
      </c>
      <c r="E237" s="3">
        <v>78599</v>
      </c>
      <c r="F237" s="2" t="s">
        <v>20</v>
      </c>
      <c r="G237" s="2" t="s">
        <v>26</v>
      </c>
    </row>
    <row r="238" spans="1:7">
      <c r="A238" s="2">
        <v>237</v>
      </c>
      <c r="B238" s="2" t="s">
        <v>21</v>
      </c>
      <c r="C238" s="2" t="s">
        <v>16</v>
      </c>
      <c r="D238" s="2">
        <v>50</v>
      </c>
      <c r="E238" s="3">
        <v>27824</v>
      </c>
      <c r="F238" s="2" t="s">
        <v>25</v>
      </c>
      <c r="G238" s="2" t="s">
        <v>18</v>
      </c>
    </row>
    <row r="239" spans="1:7">
      <c r="A239" s="2">
        <v>238</v>
      </c>
      <c r="B239" s="2" t="s">
        <v>61</v>
      </c>
      <c r="C239" s="2" t="s">
        <v>8</v>
      </c>
      <c r="D239" s="2">
        <v>47</v>
      </c>
      <c r="E239" s="3">
        <v>25018</v>
      </c>
      <c r="F239" s="2" t="s">
        <v>38</v>
      </c>
      <c r="G239" s="2" t="s">
        <v>18</v>
      </c>
    </row>
    <row r="240" spans="1:7">
      <c r="A240" s="2">
        <v>239</v>
      </c>
      <c r="B240" s="2" t="s">
        <v>88</v>
      </c>
      <c r="C240" s="2" t="s">
        <v>16</v>
      </c>
      <c r="D240" s="2">
        <v>6</v>
      </c>
      <c r="E240" s="3">
        <v>90932</v>
      </c>
      <c r="F240" s="2" t="s">
        <v>32</v>
      </c>
      <c r="G240" s="2" t="s">
        <v>10</v>
      </c>
    </row>
    <row r="241" spans="1:7">
      <c r="A241" s="2">
        <v>240</v>
      </c>
      <c r="B241" s="2" t="s">
        <v>24</v>
      </c>
      <c r="C241" s="2" t="s">
        <v>8</v>
      </c>
      <c r="D241" s="2">
        <v>47</v>
      </c>
      <c r="E241" s="3">
        <v>32893</v>
      </c>
      <c r="F241" s="2" t="s">
        <v>28</v>
      </c>
      <c r="G241" s="2" t="s">
        <v>10</v>
      </c>
    </row>
    <row r="242" spans="1:7">
      <c r="A242" s="2">
        <v>241</v>
      </c>
      <c r="B242" s="2" t="s">
        <v>79</v>
      </c>
      <c r="C242" s="2" t="s">
        <v>22</v>
      </c>
      <c r="D242" s="2">
        <v>30</v>
      </c>
      <c r="E242" s="3">
        <v>38839</v>
      </c>
      <c r="F242" s="2" t="s">
        <v>9</v>
      </c>
      <c r="G242" s="2" t="s">
        <v>14</v>
      </c>
    </row>
    <row r="243" spans="1:7">
      <c r="A243" s="2">
        <v>242</v>
      </c>
      <c r="B243" s="2" t="s">
        <v>46</v>
      </c>
      <c r="C243" s="2" t="s">
        <v>16</v>
      </c>
      <c r="D243" s="2">
        <v>41</v>
      </c>
      <c r="E243" s="3">
        <v>92963</v>
      </c>
      <c r="F243" s="2" t="s">
        <v>20</v>
      </c>
      <c r="G243" s="2" t="s">
        <v>14</v>
      </c>
    </row>
    <row r="244" spans="1:7">
      <c r="A244" s="2">
        <v>243</v>
      </c>
      <c r="B244" s="2" t="s">
        <v>86</v>
      </c>
      <c r="C244" s="2" t="s">
        <v>16</v>
      </c>
      <c r="D244" s="2">
        <v>43</v>
      </c>
      <c r="E244" s="3">
        <v>34485</v>
      </c>
      <c r="F244" s="2" t="s">
        <v>9</v>
      </c>
      <c r="G244" s="2" t="s">
        <v>10</v>
      </c>
    </row>
    <row r="245" spans="1:7">
      <c r="A245" s="2">
        <v>244</v>
      </c>
      <c r="B245" s="2" t="s">
        <v>84</v>
      </c>
      <c r="C245" s="2" t="s">
        <v>16</v>
      </c>
      <c r="D245" s="2">
        <v>45</v>
      </c>
      <c r="E245" s="3">
        <v>88620</v>
      </c>
      <c r="F245" s="2" t="s">
        <v>17</v>
      </c>
      <c r="G245" s="2" t="s">
        <v>14</v>
      </c>
    </row>
    <row r="246" spans="1:7">
      <c r="A246" s="2">
        <v>245</v>
      </c>
      <c r="B246" s="2" t="s">
        <v>19</v>
      </c>
      <c r="C246" s="2" t="s">
        <v>8</v>
      </c>
      <c r="D246" s="2">
        <v>23</v>
      </c>
      <c r="E246" s="3">
        <v>42104</v>
      </c>
      <c r="F246" s="2" t="s">
        <v>28</v>
      </c>
      <c r="G246" s="2" t="s">
        <v>18</v>
      </c>
    </row>
    <row r="247" spans="1:7">
      <c r="A247" s="2">
        <v>246</v>
      </c>
      <c r="B247" s="2" t="s">
        <v>51</v>
      </c>
      <c r="C247" s="2" t="s">
        <v>22</v>
      </c>
      <c r="D247" s="2">
        <v>5</v>
      </c>
      <c r="E247" s="3">
        <v>98195</v>
      </c>
      <c r="F247" s="2" t="s">
        <v>17</v>
      </c>
      <c r="G247" s="2" t="s">
        <v>10</v>
      </c>
    </row>
    <row r="248" spans="1:7">
      <c r="A248" s="2">
        <v>247</v>
      </c>
      <c r="B248" s="2" t="s">
        <v>73</v>
      </c>
      <c r="C248" s="2" t="s">
        <v>22</v>
      </c>
      <c r="D248" s="2">
        <v>35</v>
      </c>
      <c r="E248" s="3">
        <v>38436</v>
      </c>
      <c r="F248" s="2" t="s">
        <v>17</v>
      </c>
      <c r="G248" s="2" t="s">
        <v>10</v>
      </c>
    </row>
    <row r="249" spans="1:7">
      <c r="A249" s="2">
        <v>248</v>
      </c>
      <c r="B249" s="2" t="s">
        <v>61</v>
      </c>
      <c r="C249" s="2" t="s">
        <v>22</v>
      </c>
      <c r="D249" s="2">
        <v>26</v>
      </c>
      <c r="E249" s="3">
        <v>98049</v>
      </c>
      <c r="F249" s="2" t="s">
        <v>28</v>
      </c>
      <c r="G249" s="2" t="s">
        <v>29</v>
      </c>
    </row>
    <row r="250" spans="1:7">
      <c r="A250" s="2">
        <v>249</v>
      </c>
      <c r="B250" s="2" t="s">
        <v>27</v>
      </c>
      <c r="C250" s="2" t="s">
        <v>22</v>
      </c>
      <c r="D250" s="2">
        <v>14</v>
      </c>
      <c r="E250" s="3">
        <v>71131</v>
      </c>
      <c r="F250" s="2" t="s">
        <v>17</v>
      </c>
      <c r="G250" s="2" t="s">
        <v>18</v>
      </c>
    </row>
    <row r="251" spans="1:7">
      <c r="A251" s="2">
        <v>250</v>
      </c>
      <c r="B251" s="2" t="s">
        <v>76</v>
      </c>
      <c r="C251" s="2" t="s">
        <v>8</v>
      </c>
      <c r="D251" s="2">
        <v>28</v>
      </c>
      <c r="E251" s="3">
        <v>26796</v>
      </c>
      <c r="F251" s="2" t="s">
        <v>38</v>
      </c>
      <c r="G251" s="2" t="s">
        <v>18</v>
      </c>
    </row>
    <row r="252" spans="1:7">
      <c r="A252" s="2">
        <v>251</v>
      </c>
      <c r="B252" s="2" t="s">
        <v>61</v>
      </c>
      <c r="C252" s="2" t="s">
        <v>16</v>
      </c>
      <c r="D252" s="2">
        <v>14</v>
      </c>
      <c r="E252" s="3">
        <v>60827</v>
      </c>
      <c r="F252" s="2" t="s">
        <v>13</v>
      </c>
      <c r="G252" s="2" t="s">
        <v>23</v>
      </c>
    </row>
    <row r="253" spans="1:7">
      <c r="A253" s="2">
        <v>252</v>
      </c>
      <c r="B253" s="2" t="s">
        <v>76</v>
      </c>
      <c r="C253" s="2" t="s">
        <v>12</v>
      </c>
      <c r="D253" s="2">
        <v>32</v>
      </c>
      <c r="E253" s="3">
        <v>79735</v>
      </c>
      <c r="F253" s="2" t="s">
        <v>20</v>
      </c>
      <c r="G253" s="2" t="s">
        <v>23</v>
      </c>
    </row>
    <row r="254" spans="1:7">
      <c r="A254" s="2">
        <v>253</v>
      </c>
      <c r="B254" s="2" t="s">
        <v>65</v>
      </c>
      <c r="C254" s="2" t="s">
        <v>22</v>
      </c>
      <c r="D254" s="2">
        <v>18</v>
      </c>
      <c r="E254" s="3">
        <v>71863</v>
      </c>
      <c r="F254" s="2" t="s">
        <v>17</v>
      </c>
      <c r="G254" s="2" t="s">
        <v>29</v>
      </c>
    </row>
    <row r="255" spans="1:7">
      <c r="A255" s="2">
        <v>254</v>
      </c>
      <c r="B255" s="2" t="s">
        <v>64</v>
      </c>
      <c r="C255" s="2" t="s">
        <v>12</v>
      </c>
      <c r="D255" s="2">
        <v>21</v>
      </c>
      <c r="E255" s="3">
        <v>95516</v>
      </c>
      <c r="F255" s="2" t="s">
        <v>32</v>
      </c>
      <c r="G255" s="2" t="s">
        <v>23</v>
      </c>
    </row>
    <row r="256" spans="1:7">
      <c r="A256" s="2">
        <v>255</v>
      </c>
      <c r="B256" s="2" t="s">
        <v>83</v>
      </c>
      <c r="C256" s="2" t="s">
        <v>8</v>
      </c>
      <c r="D256" s="2">
        <v>19</v>
      </c>
      <c r="E256" s="3">
        <v>65342</v>
      </c>
      <c r="F256" s="2" t="s">
        <v>25</v>
      </c>
      <c r="G256" s="2" t="s">
        <v>14</v>
      </c>
    </row>
    <row r="257" spans="1:7">
      <c r="A257" s="2">
        <v>256</v>
      </c>
      <c r="B257" s="2" t="s">
        <v>41</v>
      </c>
      <c r="C257" s="2" t="s">
        <v>8</v>
      </c>
      <c r="D257" s="2">
        <v>22</v>
      </c>
      <c r="E257" s="3">
        <v>81383</v>
      </c>
      <c r="F257" s="2" t="s">
        <v>28</v>
      </c>
      <c r="G257" s="2" t="s">
        <v>10</v>
      </c>
    </row>
    <row r="258" spans="1:7">
      <c r="A258" s="2">
        <v>257</v>
      </c>
      <c r="B258" s="2" t="s">
        <v>73</v>
      </c>
      <c r="C258" s="2" t="s">
        <v>12</v>
      </c>
      <c r="D258" s="2">
        <v>36</v>
      </c>
      <c r="E258" s="3">
        <v>44876</v>
      </c>
      <c r="F258" s="2" t="s">
        <v>17</v>
      </c>
      <c r="G258" s="2" t="s">
        <v>26</v>
      </c>
    </row>
    <row r="259" spans="1:7">
      <c r="A259" s="2">
        <v>258</v>
      </c>
      <c r="B259" s="2" t="s">
        <v>43</v>
      </c>
      <c r="C259" s="2" t="s">
        <v>16</v>
      </c>
      <c r="D259" s="2">
        <v>37</v>
      </c>
      <c r="E259" s="3">
        <v>88731</v>
      </c>
      <c r="F259" s="2" t="s">
        <v>17</v>
      </c>
      <c r="G259" s="2" t="s">
        <v>14</v>
      </c>
    </row>
    <row r="260" spans="1:7">
      <c r="A260" s="2">
        <v>259</v>
      </c>
      <c r="B260" s="2" t="s">
        <v>19</v>
      </c>
      <c r="C260" s="2" t="s">
        <v>12</v>
      </c>
      <c r="D260" s="2">
        <v>9</v>
      </c>
      <c r="E260" s="3">
        <v>93357</v>
      </c>
      <c r="F260" s="2" t="s">
        <v>9</v>
      </c>
      <c r="G260" s="2" t="s">
        <v>18</v>
      </c>
    </row>
    <row r="261" spans="1:7">
      <c r="A261" s="2">
        <v>260</v>
      </c>
      <c r="B261" s="2" t="s">
        <v>74</v>
      </c>
      <c r="C261" s="2" t="s">
        <v>8</v>
      </c>
      <c r="D261" s="2">
        <v>37</v>
      </c>
      <c r="E261" s="3">
        <v>86314</v>
      </c>
      <c r="F261" s="2" t="s">
        <v>9</v>
      </c>
      <c r="G261" s="2" t="s">
        <v>23</v>
      </c>
    </row>
    <row r="262" spans="1:7">
      <c r="A262" s="2">
        <v>261</v>
      </c>
      <c r="B262" s="2" t="s">
        <v>11</v>
      </c>
      <c r="C262" s="2" t="s">
        <v>12</v>
      </c>
      <c r="D262" s="2">
        <v>32</v>
      </c>
      <c r="E262" s="3">
        <v>61492</v>
      </c>
      <c r="F262" s="2" t="s">
        <v>20</v>
      </c>
      <c r="G262" s="2" t="s">
        <v>26</v>
      </c>
    </row>
    <row r="263" spans="1:7">
      <c r="A263" s="2">
        <v>262</v>
      </c>
      <c r="B263" s="2" t="s">
        <v>72</v>
      </c>
      <c r="C263" s="2" t="s">
        <v>22</v>
      </c>
      <c r="D263" s="2">
        <v>22</v>
      </c>
      <c r="E263" s="3">
        <v>93283</v>
      </c>
      <c r="F263" s="2" t="s">
        <v>13</v>
      </c>
      <c r="G263" s="2" t="s">
        <v>14</v>
      </c>
    </row>
    <row r="264" spans="1:7">
      <c r="A264" s="2">
        <v>263</v>
      </c>
      <c r="B264" s="2" t="s">
        <v>34</v>
      </c>
      <c r="C264" s="2" t="s">
        <v>22</v>
      </c>
      <c r="D264" s="2">
        <v>44</v>
      </c>
      <c r="E264" s="3">
        <v>45648</v>
      </c>
      <c r="F264" s="2" t="s">
        <v>28</v>
      </c>
      <c r="G264" s="2" t="s">
        <v>18</v>
      </c>
    </row>
    <row r="265" spans="1:7">
      <c r="A265" s="2">
        <v>264</v>
      </c>
      <c r="B265" s="2" t="s">
        <v>76</v>
      </c>
      <c r="C265" s="2" t="s">
        <v>16</v>
      </c>
      <c r="D265" s="2">
        <v>49</v>
      </c>
      <c r="E265" s="3">
        <v>70747</v>
      </c>
      <c r="F265" s="2" t="s">
        <v>9</v>
      </c>
      <c r="G265" s="2" t="s">
        <v>23</v>
      </c>
    </row>
    <row r="266" spans="1:7">
      <c r="A266" s="2">
        <v>265</v>
      </c>
      <c r="B266" s="2" t="s">
        <v>47</v>
      </c>
      <c r="C266" s="2" t="s">
        <v>12</v>
      </c>
      <c r="D266" s="2">
        <v>4</v>
      </c>
      <c r="E266" s="3">
        <v>29398</v>
      </c>
      <c r="F266" s="2" t="s">
        <v>25</v>
      </c>
      <c r="G266" s="2" t="s">
        <v>10</v>
      </c>
    </row>
    <row r="267" spans="1:7">
      <c r="A267" s="2">
        <v>266</v>
      </c>
      <c r="B267" s="2" t="s">
        <v>70</v>
      </c>
      <c r="C267" s="2" t="s">
        <v>12</v>
      </c>
      <c r="D267" s="2">
        <v>3</v>
      </c>
      <c r="E267" s="3">
        <v>90816</v>
      </c>
      <c r="F267" s="2" t="s">
        <v>25</v>
      </c>
      <c r="G267" s="2" t="s">
        <v>10</v>
      </c>
    </row>
    <row r="268" spans="1:7">
      <c r="A268" s="2">
        <v>267</v>
      </c>
      <c r="B268" s="2" t="s">
        <v>84</v>
      </c>
      <c r="C268" s="2" t="s">
        <v>12</v>
      </c>
      <c r="D268" s="2">
        <v>7</v>
      </c>
      <c r="E268" s="3">
        <v>74924</v>
      </c>
      <c r="F268" s="2" t="s">
        <v>17</v>
      </c>
      <c r="G268" s="2" t="s">
        <v>23</v>
      </c>
    </row>
    <row r="269" spans="1:7">
      <c r="A269" s="2">
        <v>268</v>
      </c>
      <c r="B269" s="2" t="s">
        <v>49</v>
      </c>
      <c r="C269" s="2" t="s">
        <v>12</v>
      </c>
      <c r="D269" s="2">
        <v>41</v>
      </c>
      <c r="E269" s="3">
        <v>97884</v>
      </c>
      <c r="F269" s="2" t="s">
        <v>13</v>
      </c>
      <c r="G269" s="2" t="s">
        <v>10</v>
      </c>
    </row>
    <row r="270" spans="1:7">
      <c r="A270" s="2">
        <v>269</v>
      </c>
      <c r="B270" s="2" t="s">
        <v>47</v>
      </c>
      <c r="C270" s="2" t="s">
        <v>16</v>
      </c>
      <c r="D270" s="2">
        <v>30</v>
      </c>
      <c r="E270" s="3">
        <v>94616</v>
      </c>
      <c r="F270" s="2" t="s">
        <v>13</v>
      </c>
      <c r="G270" s="2" t="s">
        <v>29</v>
      </c>
    </row>
    <row r="271" spans="1:7">
      <c r="A271" s="2">
        <v>270</v>
      </c>
      <c r="B271" s="2" t="s">
        <v>30</v>
      </c>
      <c r="C271" s="2" t="s">
        <v>8</v>
      </c>
      <c r="D271" s="2">
        <v>2</v>
      </c>
      <c r="E271" s="3">
        <v>49629</v>
      </c>
      <c r="F271" s="2" t="s">
        <v>20</v>
      </c>
      <c r="G271" s="2" t="s">
        <v>23</v>
      </c>
    </row>
    <row r="272" spans="1:7">
      <c r="A272" s="2">
        <v>271</v>
      </c>
      <c r="B272" s="2" t="s">
        <v>94</v>
      </c>
      <c r="C272" s="2" t="s">
        <v>16</v>
      </c>
      <c r="D272" s="2">
        <v>8</v>
      </c>
      <c r="E272" s="3">
        <v>52443</v>
      </c>
      <c r="F272" s="2" t="s">
        <v>20</v>
      </c>
      <c r="G272" s="2" t="s">
        <v>29</v>
      </c>
    </row>
    <row r="273" spans="1:7">
      <c r="A273" s="2">
        <v>272</v>
      </c>
      <c r="B273" s="2" t="s">
        <v>50</v>
      </c>
      <c r="C273" s="2" t="s">
        <v>8</v>
      </c>
      <c r="D273" s="2">
        <v>11</v>
      </c>
      <c r="E273" s="3">
        <v>61083</v>
      </c>
      <c r="F273" s="2" t="s">
        <v>25</v>
      </c>
      <c r="G273" s="2" t="s">
        <v>23</v>
      </c>
    </row>
    <row r="274" spans="1:7">
      <c r="A274" s="2">
        <v>273</v>
      </c>
      <c r="B274" s="2" t="s">
        <v>21</v>
      </c>
      <c r="C274" s="2" t="s">
        <v>8</v>
      </c>
      <c r="D274" s="2">
        <v>29</v>
      </c>
      <c r="E274" s="3">
        <v>51383</v>
      </c>
      <c r="F274" s="2" t="s">
        <v>17</v>
      </c>
      <c r="G274" s="2" t="s">
        <v>29</v>
      </c>
    </row>
    <row r="275" spans="1:7">
      <c r="A275" s="2">
        <v>274</v>
      </c>
      <c r="B275" s="2" t="s">
        <v>49</v>
      </c>
      <c r="C275" s="2" t="s">
        <v>8</v>
      </c>
      <c r="D275" s="2">
        <v>30</v>
      </c>
      <c r="E275" s="3">
        <v>99447</v>
      </c>
      <c r="F275" s="2" t="s">
        <v>32</v>
      </c>
      <c r="G275" s="2" t="s">
        <v>10</v>
      </c>
    </row>
    <row r="276" spans="1:7">
      <c r="A276" s="2">
        <v>275</v>
      </c>
      <c r="B276" s="2" t="s">
        <v>64</v>
      </c>
      <c r="C276" s="2" t="s">
        <v>12</v>
      </c>
      <c r="D276" s="2">
        <v>1</v>
      </c>
      <c r="E276" s="3">
        <v>31339</v>
      </c>
      <c r="F276" s="2" t="s">
        <v>17</v>
      </c>
      <c r="G276" s="2" t="s">
        <v>10</v>
      </c>
    </row>
    <row r="277" spans="1:7">
      <c r="A277" s="2">
        <v>276</v>
      </c>
      <c r="B277" s="2" t="s">
        <v>89</v>
      </c>
      <c r="C277" s="2" t="s">
        <v>16</v>
      </c>
      <c r="D277" s="2">
        <v>28</v>
      </c>
      <c r="E277" s="3">
        <v>48417</v>
      </c>
      <c r="F277" s="2" t="s">
        <v>17</v>
      </c>
      <c r="G277" s="2" t="s">
        <v>14</v>
      </c>
    </row>
    <row r="278" spans="1:7">
      <c r="A278" s="2">
        <v>277</v>
      </c>
      <c r="B278" s="2" t="s">
        <v>93</v>
      </c>
      <c r="C278" s="2" t="s">
        <v>8</v>
      </c>
      <c r="D278" s="2">
        <v>13</v>
      </c>
      <c r="E278" s="3">
        <v>96242</v>
      </c>
      <c r="F278" s="2" t="s">
        <v>28</v>
      </c>
      <c r="G278" s="2" t="s">
        <v>18</v>
      </c>
    </row>
    <row r="279" spans="1:7">
      <c r="A279" s="2">
        <v>278</v>
      </c>
      <c r="B279" s="2" t="s">
        <v>81</v>
      </c>
      <c r="C279" s="2" t="s">
        <v>22</v>
      </c>
      <c r="D279" s="2">
        <v>45</v>
      </c>
      <c r="E279" s="3">
        <v>84957</v>
      </c>
      <c r="F279" s="2" t="s">
        <v>28</v>
      </c>
      <c r="G279" s="2" t="s">
        <v>29</v>
      </c>
    </row>
    <row r="280" spans="1:7">
      <c r="A280" s="2">
        <v>279</v>
      </c>
      <c r="B280" s="2" t="s">
        <v>11</v>
      </c>
      <c r="C280" s="2" t="s">
        <v>8</v>
      </c>
      <c r="D280" s="2">
        <v>9</v>
      </c>
      <c r="E280" s="3">
        <v>90124</v>
      </c>
      <c r="F280" s="2" t="s">
        <v>13</v>
      </c>
      <c r="G280" s="2" t="s">
        <v>26</v>
      </c>
    </row>
    <row r="281" spans="1:7">
      <c r="A281" s="2">
        <v>280</v>
      </c>
      <c r="B281" s="2" t="s">
        <v>69</v>
      </c>
      <c r="C281" s="2" t="s">
        <v>16</v>
      </c>
      <c r="D281" s="2">
        <v>42</v>
      </c>
      <c r="E281" s="3">
        <v>96537</v>
      </c>
      <c r="F281" s="2" t="s">
        <v>28</v>
      </c>
      <c r="G281" s="2" t="s">
        <v>23</v>
      </c>
    </row>
    <row r="282" spans="1:7">
      <c r="A282" s="2">
        <v>281</v>
      </c>
      <c r="B282" s="2" t="s">
        <v>35</v>
      </c>
      <c r="C282" s="2" t="s">
        <v>12</v>
      </c>
      <c r="D282" s="2">
        <v>20</v>
      </c>
      <c r="E282" s="3">
        <v>89798</v>
      </c>
      <c r="F282" s="2" t="s">
        <v>9</v>
      </c>
      <c r="G282" s="2" t="s">
        <v>10</v>
      </c>
    </row>
    <row r="283" spans="1:7">
      <c r="A283" s="2">
        <v>282</v>
      </c>
      <c r="B283" s="2" t="s">
        <v>36</v>
      </c>
      <c r="C283" s="2" t="s">
        <v>22</v>
      </c>
      <c r="D283" s="2">
        <v>11</v>
      </c>
      <c r="E283" s="3">
        <v>80433</v>
      </c>
      <c r="F283" s="2" t="s">
        <v>17</v>
      </c>
      <c r="G283" s="2" t="s">
        <v>10</v>
      </c>
    </row>
    <row r="284" spans="1:7">
      <c r="A284" s="2">
        <v>283</v>
      </c>
      <c r="B284" s="2" t="s">
        <v>54</v>
      </c>
      <c r="C284" s="2" t="s">
        <v>8</v>
      </c>
      <c r="D284" s="2">
        <v>18</v>
      </c>
      <c r="E284" s="3">
        <v>87680</v>
      </c>
      <c r="F284" s="2" t="s">
        <v>9</v>
      </c>
      <c r="G284" s="2" t="s">
        <v>23</v>
      </c>
    </row>
    <row r="285" spans="1:7">
      <c r="A285" s="2">
        <v>284</v>
      </c>
      <c r="B285" s="2" t="s">
        <v>78</v>
      </c>
      <c r="C285" s="2" t="s">
        <v>12</v>
      </c>
      <c r="D285" s="2">
        <v>6</v>
      </c>
      <c r="E285" s="3">
        <v>43108</v>
      </c>
      <c r="F285" s="2" t="s">
        <v>13</v>
      </c>
      <c r="G285" s="2" t="s">
        <v>18</v>
      </c>
    </row>
    <row r="286" spans="1:7">
      <c r="A286" s="2">
        <v>285</v>
      </c>
      <c r="B286" s="2" t="s">
        <v>61</v>
      </c>
      <c r="C286" s="2" t="s">
        <v>16</v>
      </c>
      <c r="D286" s="2">
        <v>42</v>
      </c>
      <c r="E286" s="3">
        <v>37940</v>
      </c>
      <c r="F286" s="2" t="s">
        <v>25</v>
      </c>
      <c r="G286" s="2" t="s">
        <v>23</v>
      </c>
    </row>
    <row r="287" spans="1:7">
      <c r="A287" s="2">
        <v>286</v>
      </c>
      <c r="B287" s="2" t="s">
        <v>57</v>
      </c>
      <c r="C287" s="2" t="s">
        <v>16</v>
      </c>
      <c r="D287" s="2">
        <v>24</v>
      </c>
      <c r="E287" s="3">
        <v>85761</v>
      </c>
      <c r="F287" s="2" t="s">
        <v>25</v>
      </c>
      <c r="G287" s="2" t="s">
        <v>26</v>
      </c>
    </row>
    <row r="288" spans="1:7">
      <c r="A288" s="2">
        <v>287</v>
      </c>
      <c r="B288" s="2" t="s">
        <v>72</v>
      </c>
      <c r="C288" s="2" t="s">
        <v>22</v>
      </c>
      <c r="D288" s="2">
        <v>17</v>
      </c>
      <c r="E288" s="3">
        <v>72289</v>
      </c>
      <c r="F288" s="2" t="s">
        <v>38</v>
      </c>
      <c r="G288" s="2" t="s">
        <v>29</v>
      </c>
    </row>
    <row r="289" spans="1:7">
      <c r="A289" s="2">
        <v>288</v>
      </c>
      <c r="B289" s="2" t="s">
        <v>45</v>
      </c>
      <c r="C289" s="2" t="s">
        <v>22</v>
      </c>
      <c r="D289" s="2">
        <v>6</v>
      </c>
      <c r="E289" s="3">
        <v>54963</v>
      </c>
      <c r="F289" s="2" t="s">
        <v>25</v>
      </c>
      <c r="G289" s="2" t="s">
        <v>29</v>
      </c>
    </row>
    <row r="290" spans="1:7">
      <c r="A290" s="2">
        <v>289</v>
      </c>
      <c r="B290" s="2" t="s">
        <v>30</v>
      </c>
      <c r="C290" s="2" t="s">
        <v>8</v>
      </c>
      <c r="D290" s="2">
        <v>24</v>
      </c>
      <c r="E290" s="3">
        <v>92672</v>
      </c>
      <c r="F290" s="2" t="s">
        <v>32</v>
      </c>
      <c r="G290" s="2" t="s">
        <v>26</v>
      </c>
    </row>
    <row r="291" spans="1:7">
      <c r="A291" s="2">
        <v>290</v>
      </c>
      <c r="B291" s="2" t="s">
        <v>65</v>
      </c>
      <c r="C291" s="2" t="s">
        <v>12</v>
      </c>
      <c r="D291" s="2">
        <v>43</v>
      </c>
      <c r="E291" s="3">
        <v>59509</v>
      </c>
      <c r="F291" s="2" t="s">
        <v>28</v>
      </c>
      <c r="G291" s="2" t="s">
        <v>26</v>
      </c>
    </row>
    <row r="292" spans="1:7">
      <c r="A292" s="2">
        <v>291</v>
      </c>
      <c r="B292" s="2" t="s">
        <v>24</v>
      </c>
      <c r="C292" s="2" t="s">
        <v>12</v>
      </c>
      <c r="D292" s="2">
        <v>42</v>
      </c>
      <c r="E292" s="3">
        <v>49477</v>
      </c>
      <c r="F292" s="2" t="s">
        <v>20</v>
      </c>
      <c r="G292" s="2" t="s">
        <v>14</v>
      </c>
    </row>
    <row r="293" spans="1:7">
      <c r="A293" s="2">
        <v>292</v>
      </c>
      <c r="B293" s="2" t="s">
        <v>60</v>
      </c>
      <c r="C293" s="2" t="s">
        <v>16</v>
      </c>
      <c r="D293" s="2">
        <v>11</v>
      </c>
      <c r="E293" s="3">
        <v>37407</v>
      </c>
      <c r="F293" s="2" t="s">
        <v>32</v>
      </c>
      <c r="G293" s="2" t="s">
        <v>26</v>
      </c>
    </row>
    <row r="294" spans="1:7">
      <c r="A294" s="2">
        <v>293</v>
      </c>
      <c r="B294" s="2" t="s">
        <v>90</v>
      </c>
      <c r="C294" s="2" t="s">
        <v>16</v>
      </c>
      <c r="D294" s="2">
        <v>4</v>
      </c>
      <c r="E294" s="3">
        <v>40727</v>
      </c>
      <c r="F294" s="2" t="s">
        <v>25</v>
      </c>
      <c r="G294" s="2" t="s">
        <v>26</v>
      </c>
    </row>
    <row r="295" spans="1:7">
      <c r="A295" s="2">
        <v>294</v>
      </c>
      <c r="B295" s="2" t="s">
        <v>60</v>
      </c>
      <c r="C295" s="2" t="s">
        <v>8</v>
      </c>
      <c r="D295" s="2">
        <v>26</v>
      </c>
      <c r="E295" s="3">
        <v>62927</v>
      </c>
      <c r="F295" s="2" t="s">
        <v>13</v>
      </c>
      <c r="G295" s="2" t="s">
        <v>23</v>
      </c>
    </row>
    <row r="296" spans="1:7">
      <c r="A296" s="2">
        <v>295</v>
      </c>
      <c r="B296" s="2" t="s">
        <v>66</v>
      </c>
      <c r="C296" s="2" t="s">
        <v>8</v>
      </c>
      <c r="D296" s="2">
        <v>41</v>
      </c>
      <c r="E296" s="3">
        <v>67739</v>
      </c>
      <c r="F296" s="2" t="s">
        <v>20</v>
      </c>
      <c r="G296" s="2" t="s">
        <v>10</v>
      </c>
    </row>
    <row r="297" spans="1:7">
      <c r="A297" s="2">
        <v>296</v>
      </c>
      <c r="B297" s="2" t="s">
        <v>74</v>
      </c>
      <c r="C297" s="2" t="s">
        <v>16</v>
      </c>
      <c r="D297" s="2">
        <v>20</v>
      </c>
      <c r="E297" s="3">
        <v>98155</v>
      </c>
      <c r="F297" s="2" t="s">
        <v>20</v>
      </c>
      <c r="G297" s="2" t="s">
        <v>14</v>
      </c>
    </row>
    <row r="298" spans="1:7">
      <c r="A298" s="2">
        <v>297</v>
      </c>
      <c r="B298" s="2" t="s">
        <v>65</v>
      </c>
      <c r="C298" s="2" t="s">
        <v>16</v>
      </c>
      <c r="D298" s="2">
        <v>47</v>
      </c>
      <c r="E298" s="3">
        <v>27038</v>
      </c>
      <c r="F298" s="2" t="s">
        <v>20</v>
      </c>
      <c r="G298" s="2" t="s">
        <v>23</v>
      </c>
    </row>
    <row r="299" spans="1:7">
      <c r="A299" s="2">
        <v>298</v>
      </c>
      <c r="B299" s="2" t="s">
        <v>93</v>
      </c>
      <c r="C299" s="2" t="s">
        <v>12</v>
      </c>
      <c r="D299" s="2">
        <v>45</v>
      </c>
      <c r="E299" s="3">
        <v>92378</v>
      </c>
      <c r="F299" s="2" t="s">
        <v>9</v>
      </c>
      <c r="G299" s="2" t="s">
        <v>23</v>
      </c>
    </row>
    <row r="300" spans="1:7">
      <c r="A300" s="2">
        <v>299</v>
      </c>
      <c r="B300" s="2" t="s">
        <v>19</v>
      </c>
      <c r="C300" s="2" t="s">
        <v>12</v>
      </c>
      <c r="D300" s="2">
        <v>49</v>
      </c>
      <c r="E300" s="3">
        <v>25648</v>
      </c>
      <c r="F300" s="2" t="s">
        <v>38</v>
      </c>
      <c r="G300" s="2" t="s">
        <v>10</v>
      </c>
    </row>
    <row r="301" spans="1:7">
      <c r="A301" s="2">
        <v>300</v>
      </c>
      <c r="B301" s="2" t="s">
        <v>71</v>
      </c>
      <c r="C301" s="2" t="s">
        <v>12</v>
      </c>
      <c r="D301" s="2">
        <v>15</v>
      </c>
      <c r="E301" s="3">
        <v>53396</v>
      </c>
      <c r="F301" s="2" t="s">
        <v>38</v>
      </c>
      <c r="G301" s="2" t="s">
        <v>18</v>
      </c>
    </row>
    <row r="302" spans="1:7">
      <c r="A302" s="2">
        <v>301</v>
      </c>
      <c r="B302" s="2" t="s">
        <v>93</v>
      </c>
      <c r="C302" s="2" t="s">
        <v>8</v>
      </c>
      <c r="D302" s="2">
        <v>28</v>
      </c>
      <c r="E302" s="3">
        <v>53552</v>
      </c>
      <c r="F302" s="2" t="s">
        <v>13</v>
      </c>
      <c r="G302" s="2" t="s">
        <v>23</v>
      </c>
    </row>
    <row r="303" spans="1:7">
      <c r="A303" s="2">
        <v>302</v>
      </c>
      <c r="B303" s="2" t="s">
        <v>89</v>
      </c>
      <c r="C303" s="2" t="s">
        <v>12</v>
      </c>
      <c r="D303" s="2">
        <v>42</v>
      </c>
      <c r="E303" s="3">
        <v>93371</v>
      </c>
      <c r="F303" s="2" t="s">
        <v>20</v>
      </c>
      <c r="G303" s="2" t="s">
        <v>14</v>
      </c>
    </row>
    <row r="304" spans="1:7">
      <c r="A304" s="2">
        <v>303</v>
      </c>
      <c r="B304" s="2" t="s">
        <v>93</v>
      </c>
      <c r="C304" s="2" t="s">
        <v>22</v>
      </c>
      <c r="D304" s="2">
        <v>6</v>
      </c>
      <c r="E304" s="3">
        <v>90334</v>
      </c>
      <c r="F304" s="2" t="s">
        <v>20</v>
      </c>
      <c r="G304" s="2" t="s">
        <v>10</v>
      </c>
    </row>
    <row r="305" spans="1:7">
      <c r="A305" s="2">
        <v>304</v>
      </c>
      <c r="B305" s="2" t="s">
        <v>51</v>
      </c>
      <c r="C305" s="2" t="s">
        <v>22</v>
      </c>
      <c r="D305" s="2">
        <v>46</v>
      </c>
      <c r="E305" s="3">
        <v>97968</v>
      </c>
      <c r="F305" s="2" t="s">
        <v>28</v>
      </c>
      <c r="G305" s="2" t="s">
        <v>29</v>
      </c>
    </row>
    <row r="306" spans="1:7">
      <c r="A306" s="2">
        <v>305</v>
      </c>
      <c r="B306" s="2" t="s">
        <v>82</v>
      </c>
      <c r="C306" s="2" t="s">
        <v>12</v>
      </c>
      <c r="D306" s="2">
        <v>7</v>
      </c>
      <c r="E306" s="3">
        <v>56101</v>
      </c>
      <c r="F306" s="2" t="s">
        <v>25</v>
      </c>
      <c r="G306" s="2" t="s">
        <v>18</v>
      </c>
    </row>
    <row r="307" spans="1:7">
      <c r="A307" s="2">
        <v>306</v>
      </c>
      <c r="B307" s="2" t="s">
        <v>33</v>
      </c>
      <c r="C307" s="2" t="s">
        <v>12</v>
      </c>
      <c r="D307" s="2">
        <v>1</v>
      </c>
      <c r="E307" s="3">
        <v>43664</v>
      </c>
      <c r="F307" s="2" t="s">
        <v>20</v>
      </c>
      <c r="G307" s="2" t="s">
        <v>10</v>
      </c>
    </row>
    <row r="308" spans="1:7">
      <c r="A308" s="2">
        <v>307</v>
      </c>
      <c r="B308" s="2" t="s">
        <v>63</v>
      </c>
      <c r="C308" s="2" t="s">
        <v>16</v>
      </c>
      <c r="D308" s="2">
        <v>14</v>
      </c>
      <c r="E308" s="3">
        <v>63289</v>
      </c>
      <c r="F308" s="2" t="s">
        <v>13</v>
      </c>
      <c r="G308" s="2" t="s">
        <v>14</v>
      </c>
    </row>
    <row r="309" spans="1:7">
      <c r="A309" s="2">
        <v>308</v>
      </c>
      <c r="B309" s="2" t="s">
        <v>57</v>
      </c>
      <c r="C309" s="2" t="s">
        <v>16</v>
      </c>
      <c r="D309" s="2">
        <v>31</v>
      </c>
      <c r="E309" s="3">
        <v>59479</v>
      </c>
      <c r="F309" s="2" t="s">
        <v>28</v>
      </c>
      <c r="G309" s="2" t="s">
        <v>23</v>
      </c>
    </row>
    <row r="310" spans="1:7">
      <c r="A310" s="2">
        <v>309</v>
      </c>
      <c r="B310" s="2" t="s">
        <v>69</v>
      </c>
      <c r="C310" s="2" t="s">
        <v>8</v>
      </c>
      <c r="D310" s="2">
        <v>5</v>
      </c>
      <c r="E310" s="3">
        <v>88559</v>
      </c>
      <c r="F310" s="2" t="s">
        <v>32</v>
      </c>
      <c r="G310" s="2" t="s">
        <v>14</v>
      </c>
    </row>
    <row r="311" spans="1:7">
      <c r="A311" s="2">
        <v>310</v>
      </c>
      <c r="B311" s="2" t="s">
        <v>44</v>
      </c>
      <c r="C311" s="2" t="s">
        <v>22</v>
      </c>
      <c r="D311" s="2">
        <v>9</v>
      </c>
      <c r="E311" s="3">
        <v>41225</v>
      </c>
      <c r="F311" s="2" t="s">
        <v>32</v>
      </c>
      <c r="G311" s="2" t="s">
        <v>26</v>
      </c>
    </row>
    <row r="312" spans="1:7">
      <c r="A312" s="2">
        <v>311</v>
      </c>
      <c r="B312" s="2" t="s">
        <v>80</v>
      </c>
      <c r="C312" s="2" t="s">
        <v>22</v>
      </c>
      <c r="D312" s="2">
        <v>38</v>
      </c>
      <c r="E312" s="3">
        <v>52035</v>
      </c>
      <c r="F312" s="2" t="s">
        <v>28</v>
      </c>
      <c r="G312" s="2" t="s">
        <v>23</v>
      </c>
    </row>
    <row r="313" spans="1:7">
      <c r="A313" s="2">
        <v>312</v>
      </c>
      <c r="B313" s="2" t="s">
        <v>67</v>
      </c>
      <c r="C313" s="2" t="s">
        <v>8</v>
      </c>
      <c r="D313" s="2">
        <v>15</v>
      </c>
      <c r="E313" s="3">
        <v>58604</v>
      </c>
      <c r="F313" s="2" t="s">
        <v>9</v>
      </c>
      <c r="G313" s="2" t="s">
        <v>10</v>
      </c>
    </row>
    <row r="314" spans="1:7">
      <c r="A314" s="2">
        <v>313</v>
      </c>
      <c r="B314" s="2" t="s">
        <v>66</v>
      </c>
      <c r="C314" s="2" t="s">
        <v>12</v>
      </c>
      <c r="D314" s="2">
        <v>34</v>
      </c>
      <c r="E314" s="3">
        <v>26933</v>
      </c>
      <c r="F314" s="2" t="s">
        <v>25</v>
      </c>
      <c r="G314" s="2" t="s">
        <v>18</v>
      </c>
    </row>
    <row r="315" spans="1:7">
      <c r="A315" s="2">
        <v>314</v>
      </c>
      <c r="B315" s="2" t="s">
        <v>70</v>
      </c>
      <c r="C315" s="2" t="s">
        <v>12</v>
      </c>
      <c r="D315" s="2">
        <v>44</v>
      </c>
      <c r="E315" s="3">
        <v>74163</v>
      </c>
      <c r="F315" s="2" t="s">
        <v>25</v>
      </c>
      <c r="G315" s="2" t="s">
        <v>10</v>
      </c>
    </row>
    <row r="316" spans="1:7">
      <c r="A316" s="2">
        <v>315</v>
      </c>
      <c r="B316" s="2" t="s">
        <v>41</v>
      </c>
      <c r="C316" s="2" t="s">
        <v>8</v>
      </c>
      <c r="D316" s="2">
        <v>29</v>
      </c>
      <c r="E316" s="3">
        <v>48704</v>
      </c>
      <c r="F316" s="2" t="s">
        <v>25</v>
      </c>
      <c r="G316" s="2" t="s">
        <v>26</v>
      </c>
    </row>
    <row r="317" spans="1:7">
      <c r="A317" s="2">
        <v>316</v>
      </c>
      <c r="B317" s="2" t="s">
        <v>68</v>
      </c>
      <c r="C317" s="2" t="s">
        <v>22</v>
      </c>
      <c r="D317" s="2">
        <v>1</v>
      </c>
      <c r="E317" s="3">
        <v>78133</v>
      </c>
      <c r="F317" s="2" t="s">
        <v>38</v>
      </c>
      <c r="G317" s="2" t="s">
        <v>26</v>
      </c>
    </row>
    <row r="318" spans="1:7">
      <c r="A318" s="2">
        <v>317</v>
      </c>
      <c r="B318" s="2" t="s">
        <v>44</v>
      </c>
      <c r="C318" s="2" t="s">
        <v>22</v>
      </c>
      <c r="D318" s="2">
        <v>1</v>
      </c>
      <c r="E318" s="3">
        <v>27769</v>
      </c>
      <c r="F318" s="2" t="s">
        <v>38</v>
      </c>
      <c r="G318" s="2" t="s">
        <v>14</v>
      </c>
    </row>
    <row r="319" spans="1:7">
      <c r="A319" s="2">
        <v>318</v>
      </c>
      <c r="B319" s="2" t="s">
        <v>84</v>
      </c>
      <c r="C319" s="2" t="s">
        <v>12</v>
      </c>
      <c r="D319" s="2">
        <v>45</v>
      </c>
      <c r="E319" s="3">
        <v>97804</v>
      </c>
      <c r="F319" s="2" t="s">
        <v>17</v>
      </c>
      <c r="G319" s="2" t="s">
        <v>14</v>
      </c>
    </row>
    <row r="320" spans="1:7">
      <c r="A320" s="2">
        <v>319</v>
      </c>
      <c r="B320" s="2" t="s">
        <v>52</v>
      </c>
      <c r="C320" s="2" t="s">
        <v>16</v>
      </c>
      <c r="D320" s="2">
        <v>22</v>
      </c>
      <c r="E320" s="3">
        <v>34399</v>
      </c>
      <c r="F320" s="2" t="s">
        <v>17</v>
      </c>
      <c r="G320" s="2" t="s">
        <v>29</v>
      </c>
    </row>
    <row r="321" spans="1:7">
      <c r="A321" s="2">
        <v>320</v>
      </c>
      <c r="B321" s="2" t="s">
        <v>27</v>
      </c>
      <c r="C321" s="2" t="s">
        <v>8</v>
      </c>
      <c r="D321" s="2">
        <v>8</v>
      </c>
      <c r="E321" s="3">
        <v>47286</v>
      </c>
      <c r="F321" s="2" t="s">
        <v>9</v>
      </c>
      <c r="G321" s="2" t="s">
        <v>29</v>
      </c>
    </row>
    <row r="322" spans="1:7">
      <c r="A322" s="2">
        <v>321</v>
      </c>
      <c r="B322" s="2" t="s">
        <v>11</v>
      </c>
      <c r="C322" s="2" t="s">
        <v>8</v>
      </c>
      <c r="D322" s="2">
        <v>28</v>
      </c>
      <c r="E322" s="3">
        <v>56784</v>
      </c>
      <c r="F322" s="2" t="s">
        <v>9</v>
      </c>
      <c r="G322" s="2" t="s">
        <v>23</v>
      </c>
    </row>
    <row r="323" spans="1:7">
      <c r="A323" s="2">
        <v>322</v>
      </c>
      <c r="B323" s="2" t="s">
        <v>88</v>
      </c>
      <c r="C323" s="2" t="s">
        <v>12</v>
      </c>
      <c r="D323" s="2">
        <v>45</v>
      </c>
      <c r="E323" s="3">
        <v>32096</v>
      </c>
      <c r="F323" s="2" t="s">
        <v>28</v>
      </c>
      <c r="G323" s="2" t="s">
        <v>26</v>
      </c>
    </row>
    <row r="324" spans="1:7">
      <c r="A324" s="2">
        <v>323</v>
      </c>
      <c r="B324" s="2" t="s">
        <v>71</v>
      </c>
      <c r="C324" s="2" t="s">
        <v>8</v>
      </c>
      <c r="D324" s="2">
        <v>9</v>
      </c>
      <c r="E324" s="3">
        <v>92471</v>
      </c>
      <c r="F324" s="2" t="s">
        <v>9</v>
      </c>
      <c r="G324" s="2" t="s">
        <v>14</v>
      </c>
    </row>
    <row r="325" spans="1:7">
      <c r="A325" s="2">
        <v>324</v>
      </c>
      <c r="B325" s="2" t="s">
        <v>40</v>
      </c>
      <c r="C325" s="2" t="s">
        <v>22</v>
      </c>
      <c r="D325" s="2">
        <v>31</v>
      </c>
      <c r="E325" s="3">
        <v>47612</v>
      </c>
      <c r="F325" s="2" t="s">
        <v>25</v>
      </c>
      <c r="G325" s="2" t="s">
        <v>29</v>
      </c>
    </row>
    <row r="326" spans="1:7">
      <c r="A326" s="2">
        <v>325</v>
      </c>
      <c r="B326" s="2" t="s">
        <v>27</v>
      </c>
      <c r="C326" s="2" t="s">
        <v>12</v>
      </c>
      <c r="D326" s="2">
        <v>5</v>
      </c>
      <c r="E326" s="3">
        <v>85181</v>
      </c>
      <c r="F326" s="2" t="s">
        <v>25</v>
      </c>
      <c r="G326" s="2" t="s">
        <v>26</v>
      </c>
    </row>
    <row r="327" spans="1:7">
      <c r="A327" s="2">
        <v>326</v>
      </c>
      <c r="B327" s="2" t="s">
        <v>27</v>
      </c>
      <c r="C327" s="2" t="s">
        <v>22</v>
      </c>
      <c r="D327" s="2">
        <v>15</v>
      </c>
      <c r="E327" s="3">
        <v>79438</v>
      </c>
      <c r="F327" s="2" t="s">
        <v>9</v>
      </c>
      <c r="G327" s="2" t="s">
        <v>29</v>
      </c>
    </row>
    <row r="328" spans="1:7">
      <c r="A328" s="2">
        <v>327</v>
      </c>
      <c r="B328" s="2" t="s">
        <v>87</v>
      </c>
      <c r="C328" s="2" t="s">
        <v>16</v>
      </c>
      <c r="D328" s="2">
        <v>25</v>
      </c>
      <c r="E328" s="3">
        <v>41749</v>
      </c>
      <c r="F328" s="2" t="s">
        <v>13</v>
      </c>
      <c r="G328" s="2" t="s">
        <v>10</v>
      </c>
    </row>
    <row r="329" spans="1:7">
      <c r="A329" s="2">
        <v>328</v>
      </c>
      <c r="B329" s="2" t="s">
        <v>64</v>
      </c>
      <c r="C329" s="2" t="s">
        <v>8</v>
      </c>
      <c r="D329" s="2">
        <v>6</v>
      </c>
      <c r="E329" s="3">
        <v>35131</v>
      </c>
      <c r="F329" s="2" t="s">
        <v>28</v>
      </c>
      <c r="G329" s="2" t="s">
        <v>23</v>
      </c>
    </row>
    <row r="330" spans="1:7">
      <c r="A330" s="2">
        <v>329</v>
      </c>
      <c r="B330" s="2" t="s">
        <v>81</v>
      </c>
      <c r="C330" s="2" t="s">
        <v>8</v>
      </c>
      <c r="D330" s="2">
        <v>47</v>
      </c>
      <c r="E330" s="3">
        <v>80272</v>
      </c>
      <c r="F330" s="2" t="s">
        <v>17</v>
      </c>
      <c r="G330" s="2" t="s">
        <v>18</v>
      </c>
    </row>
    <row r="331" spans="1:7">
      <c r="A331" s="2">
        <v>330</v>
      </c>
      <c r="B331" s="2" t="s">
        <v>49</v>
      </c>
      <c r="C331" s="2" t="s">
        <v>22</v>
      </c>
      <c r="D331" s="2">
        <v>7</v>
      </c>
      <c r="E331" s="3">
        <v>77276</v>
      </c>
      <c r="F331" s="2" t="s">
        <v>9</v>
      </c>
      <c r="G331" s="2" t="s">
        <v>10</v>
      </c>
    </row>
    <row r="332" spans="1:7">
      <c r="A332" s="2">
        <v>331</v>
      </c>
      <c r="B332" s="2" t="s">
        <v>46</v>
      </c>
      <c r="C332" s="2" t="s">
        <v>12</v>
      </c>
      <c r="D332" s="2">
        <v>7</v>
      </c>
      <c r="E332" s="3">
        <v>78586</v>
      </c>
      <c r="F332" s="2" t="s">
        <v>32</v>
      </c>
      <c r="G332" s="2" t="s">
        <v>23</v>
      </c>
    </row>
    <row r="333" spans="1:7">
      <c r="A333" s="2">
        <v>332</v>
      </c>
      <c r="B333" s="2" t="s">
        <v>48</v>
      </c>
      <c r="C333" s="2" t="s">
        <v>12</v>
      </c>
      <c r="D333" s="2">
        <v>21</v>
      </c>
      <c r="E333" s="3">
        <v>33022</v>
      </c>
      <c r="F333" s="2" t="s">
        <v>20</v>
      </c>
      <c r="G333" s="2" t="s">
        <v>23</v>
      </c>
    </row>
    <row r="334" spans="1:7">
      <c r="A334" s="2">
        <v>333</v>
      </c>
      <c r="B334" s="2" t="s">
        <v>60</v>
      </c>
      <c r="C334" s="2" t="s">
        <v>8</v>
      </c>
      <c r="D334" s="2">
        <v>24</v>
      </c>
      <c r="E334" s="3">
        <v>88936</v>
      </c>
      <c r="F334" s="2" t="s">
        <v>9</v>
      </c>
      <c r="G334" s="2" t="s">
        <v>10</v>
      </c>
    </row>
    <row r="335" spans="1:7">
      <c r="A335" s="2">
        <v>334</v>
      </c>
      <c r="B335" s="2" t="s">
        <v>64</v>
      </c>
      <c r="C335" s="2" t="s">
        <v>22</v>
      </c>
      <c r="D335" s="2">
        <v>20</v>
      </c>
      <c r="E335" s="3">
        <v>87005</v>
      </c>
      <c r="F335" s="2" t="s">
        <v>28</v>
      </c>
      <c r="G335" s="2" t="s">
        <v>29</v>
      </c>
    </row>
    <row r="336" spans="1:7">
      <c r="A336" s="2">
        <v>335</v>
      </c>
      <c r="B336" s="2" t="s">
        <v>69</v>
      </c>
      <c r="C336" s="2" t="s">
        <v>16</v>
      </c>
      <c r="D336" s="2">
        <v>9</v>
      </c>
      <c r="E336" s="3">
        <v>84993</v>
      </c>
      <c r="F336" s="2" t="s">
        <v>17</v>
      </c>
      <c r="G336" s="2" t="s">
        <v>29</v>
      </c>
    </row>
    <row r="337" spans="1:7">
      <c r="A337" s="2">
        <v>336</v>
      </c>
      <c r="B337" s="2" t="s">
        <v>49</v>
      </c>
      <c r="C337" s="2" t="s">
        <v>22</v>
      </c>
      <c r="D337" s="2">
        <v>25</v>
      </c>
      <c r="E337" s="3">
        <v>64718</v>
      </c>
      <c r="F337" s="2" t="s">
        <v>13</v>
      </c>
      <c r="G337" s="2" t="s">
        <v>26</v>
      </c>
    </row>
    <row r="338" spans="1:7">
      <c r="A338" s="2">
        <v>337</v>
      </c>
      <c r="B338" s="2" t="s">
        <v>72</v>
      </c>
      <c r="C338" s="2" t="s">
        <v>12</v>
      </c>
      <c r="D338" s="2">
        <v>50</v>
      </c>
      <c r="E338" s="3">
        <v>70095</v>
      </c>
      <c r="F338" s="2" t="s">
        <v>28</v>
      </c>
      <c r="G338" s="2" t="s">
        <v>18</v>
      </c>
    </row>
    <row r="339" spans="1:7">
      <c r="A339" s="2">
        <v>338</v>
      </c>
      <c r="B339" s="2" t="s">
        <v>84</v>
      </c>
      <c r="C339" s="2" t="s">
        <v>8</v>
      </c>
      <c r="D339" s="2">
        <v>49</v>
      </c>
      <c r="E339" s="3">
        <v>37908</v>
      </c>
      <c r="F339" s="2" t="s">
        <v>25</v>
      </c>
      <c r="G339" s="2" t="s">
        <v>18</v>
      </c>
    </row>
    <row r="340" spans="1:7">
      <c r="A340" s="2">
        <v>339</v>
      </c>
      <c r="B340" s="2" t="s">
        <v>87</v>
      </c>
      <c r="C340" s="2" t="s">
        <v>8</v>
      </c>
      <c r="D340" s="2">
        <v>9</v>
      </c>
      <c r="E340" s="3">
        <v>52114</v>
      </c>
      <c r="F340" s="2" t="s">
        <v>28</v>
      </c>
      <c r="G340" s="2" t="s">
        <v>23</v>
      </c>
    </row>
    <row r="341" spans="1:7">
      <c r="A341" s="2">
        <v>340</v>
      </c>
      <c r="B341" s="2" t="s">
        <v>44</v>
      </c>
      <c r="C341" s="2" t="s">
        <v>8</v>
      </c>
      <c r="D341" s="2">
        <v>42</v>
      </c>
      <c r="E341" s="3">
        <v>77138</v>
      </c>
      <c r="F341" s="2" t="s">
        <v>38</v>
      </c>
      <c r="G341" s="2" t="s">
        <v>26</v>
      </c>
    </row>
    <row r="342" spans="1:7">
      <c r="A342" s="2">
        <v>341</v>
      </c>
      <c r="B342" s="2" t="s">
        <v>71</v>
      </c>
      <c r="C342" s="2" t="s">
        <v>16</v>
      </c>
      <c r="D342" s="2">
        <v>44</v>
      </c>
      <c r="E342" s="3">
        <v>89640</v>
      </c>
      <c r="F342" s="2" t="s">
        <v>38</v>
      </c>
      <c r="G342" s="2" t="s">
        <v>18</v>
      </c>
    </row>
    <row r="343" spans="1:7">
      <c r="A343" s="2">
        <v>342</v>
      </c>
      <c r="B343" s="2" t="s">
        <v>87</v>
      </c>
      <c r="C343" s="2" t="s">
        <v>16</v>
      </c>
      <c r="D343" s="2">
        <v>10</v>
      </c>
      <c r="E343" s="3">
        <v>80399</v>
      </c>
      <c r="F343" s="2" t="s">
        <v>25</v>
      </c>
      <c r="G343" s="2" t="s">
        <v>10</v>
      </c>
    </row>
    <row r="344" spans="1:7">
      <c r="A344" s="2">
        <v>343</v>
      </c>
      <c r="B344" s="2" t="s">
        <v>76</v>
      </c>
      <c r="C344" s="2" t="s">
        <v>12</v>
      </c>
      <c r="D344" s="2">
        <v>5</v>
      </c>
      <c r="E344" s="3">
        <v>61371</v>
      </c>
      <c r="F344" s="2" t="s">
        <v>17</v>
      </c>
      <c r="G344" s="2" t="s">
        <v>26</v>
      </c>
    </row>
    <row r="345" spans="1:7">
      <c r="A345" s="2">
        <v>344</v>
      </c>
      <c r="B345" s="2" t="s">
        <v>61</v>
      </c>
      <c r="C345" s="2" t="s">
        <v>22</v>
      </c>
      <c r="D345" s="2">
        <v>34</v>
      </c>
      <c r="E345" s="3">
        <v>64858</v>
      </c>
      <c r="F345" s="2" t="s">
        <v>28</v>
      </c>
      <c r="G345" s="2" t="s">
        <v>18</v>
      </c>
    </row>
    <row r="346" spans="1:7">
      <c r="A346" s="2">
        <v>345</v>
      </c>
      <c r="B346" s="2" t="s">
        <v>49</v>
      </c>
      <c r="C346" s="2" t="s">
        <v>22</v>
      </c>
      <c r="D346" s="2">
        <v>37</v>
      </c>
      <c r="E346" s="3">
        <v>77253</v>
      </c>
      <c r="F346" s="2" t="s">
        <v>9</v>
      </c>
      <c r="G346" s="2" t="s">
        <v>14</v>
      </c>
    </row>
    <row r="347" spans="1:7">
      <c r="A347" s="2">
        <v>346</v>
      </c>
      <c r="B347" s="2" t="s">
        <v>27</v>
      </c>
      <c r="C347" s="2" t="s">
        <v>22</v>
      </c>
      <c r="D347" s="2">
        <v>1</v>
      </c>
      <c r="E347" s="3">
        <v>91361</v>
      </c>
      <c r="F347" s="2" t="s">
        <v>38</v>
      </c>
      <c r="G347" s="2" t="s">
        <v>23</v>
      </c>
    </row>
    <row r="348" spans="1:7">
      <c r="A348" s="2">
        <v>347</v>
      </c>
      <c r="B348" s="2" t="s">
        <v>50</v>
      </c>
      <c r="C348" s="2" t="s">
        <v>16</v>
      </c>
      <c r="D348" s="2">
        <v>40</v>
      </c>
      <c r="E348" s="3">
        <v>78669</v>
      </c>
      <c r="F348" s="2" t="s">
        <v>9</v>
      </c>
      <c r="G348" s="2" t="s">
        <v>14</v>
      </c>
    </row>
    <row r="349" spans="1:7">
      <c r="A349" s="2">
        <v>348</v>
      </c>
      <c r="B349" s="2" t="s">
        <v>70</v>
      </c>
      <c r="C349" s="2" t="s">
        <v>8</v>
      </c>
      <c r="D349" s="2">
        <v>42</v>
      </c>
      <c r="E349" s="3">
        <v>97058</v>
      </c>
      <c r="F349" s="2" t="s">
        <v>9</v>
      </c>
      <c r="G349" s="2" t="s">
        <v>23</v>
      </c>
    </row>
    <row r="350" spans="1:7">
      <c r="A350" s="2">
        <v>349</v>
      </c>
      <c r="B350" s="2" t="s">
        <v>27</v>
      </c>
      <c r="C350" s="2" t="s">
        <v>12</v>
      </c>
      <c r="D350" s="2">
        <v>11</v>
      </c>
      <c r="E350" s="3">
        <v>89720</v>
      </c>
      <c r="F350" s="2" t="s">
        <v>28</v>
      </c>
      <c r="G350" s="2" t="s">
        <v>23</v>
      </c>
    </row>
    <row r="351" spans="1:7">
      <c r="A351" s="2">
        <v>350</v>
      </c>
      <c r="B351" s="2" t="s">
        <v>7</v>
      </c>
      <c r="C351" s="2" t="s">
        <v>12</v>
      </c>
      <c r="D351" s="2">
        <v>29</v>
      </c>
      <c r="E351" s="3">
        <v>35543</v>
      </c>
      <c r="F351" s="2" t="s">
        <v>38</v>
      </c>
      <c r="G351" s="2" t="s">
        <v>10</v>
      </c>
    </row>
    <row r="352" spans="1:7">
      <c r="A352" s="2">
        <v>351</v>
      </c>
      <c r="B352" s="2" t="s">
        <v>57</v>
      </c>
      <c r="C352" s="2" t="s">
        <v>16</v>
      </c>
      <c r="D352" s="2">
        <v>23</v>
      </c>
      <c r="E352" s="3">
        <v>79700</v>
      </c>
      <c r="F352" s="2" t="s">
        <v>13</v>
      </c>
      <c r="G352" s="2" t="s">
        <v>29</v>
      </c>
    </row>
    <row r="353" spans="1:7">
      <c r="A353" s="2">
        <v>352</v>
      </c>
      <c r="B353" s="2" t="s">
        <v>68</v>
      </c>
      <c r="C353" s="2" t="s">
        <v>16</v>
      </c>
      <c r="D353" s="2">
        <v>47</v>
      </c>
      <c r="E353" s="3">
        <v>33293</v>
      </c>
      <c r="F353" s="2" t="s">
        <v>28</v>
      </c>
      <c r="G353" s="2" t="s">
        <v>18</v>
      </c>
    </row>
    <row r="354" spans="1:7">
      <c r="A354" s="2">
        <v>353</v>
      </c>
      <c r="B354" s="2" t="s">
        <v>15</v>
      </c>
      <c r="C354" s="2" t="s">
        <v>8</v>
      </c>
      <c r="D354" s="2">
        <v>14</v>
      </c>
      <c r="E354" s="3">
        <v>28308</v>
      </c>
      <c r="F354" s="2" t="s">
        <v>32</v>
      </c>
      <c r="G354" s="2" t="s">
        <v>14</v>
      </c>
    </row>
    <row r="355" spans="1:7">
      <c r="A355" s="2">
        <v>354</v>
      </c>
      <c r="B355" s="2" t="s">
        <v>86</v>
      </c>
      <c r="C355" s="2" t="s">
        <v>8</v>
      </c>
      <c r="D355" s="2">
        <v>41</v>
      </c>
      <c r="E355" s="3">
        <v>70713</v>
      </c>
      <c r="F355" s="2" t="s">
        <v>38</v>
      </c>
      <c r="G355" s="2" t="s">
        <v>18</v>
      </c>
    </row>
    <row r="356" spans="1:7">
      <c r="A356" s="2">
        <v>355</v>
      </c>
      <c r="B356" s="2" t="s">
        <v>63</v>
      </c>
      <c r="C356" s="2" t="s">
        <v>16</v>
      </c>
      <c r="D356" s="2">
        <v>48</v>
      </c>
      <c r="E356" s="3">
        <v>27849</v>
      </c>
      <c r="F356" s="2" t="s">
        <v>17</v>
      </c>
      <c r="G356" s="2" t="s">
        <v>23</v>
      </c>
    </row>
    <row r="357" spans="1:7">
      <c r="A357" s="2">
        <v>356</v>
      </c>
      <c r="B357" s="2" t="s">
        <v>19</v>
      </c>
      <c r="C357" s="2" t="s">
        <v>12</v>
      </c>
      <c r="D357" s="2">
        <v>10</v>
      </c>
      <c r="E357" s="3">
        <v>92560</v>
      </c>
      <c r="F357" s="2" t="s">
        <v>32</v>
      </c>
      <c r="G357" s="2" t="s">
        <v>14</v>
      </c>
    </row>
    <row r="358" spans="1:7">
      <c r="A358" s="2">
        <v>357</v>
      </c>
      <c r="B358" s="2" t="s">
        <v>53</v>
      </c>
      <c r="C358" s="2" t="s">
        <v>8</v>
      </c>
      <c r="D358" s="2">
        <v>27</v>
      </c>
      <c r="E358" s="3">
        <v>54768</v>
      </c>
      <c r="F358" s="2" t="s">
        <v>13</v>
      </c>
      <c r="G358" s="2" t="s">
        <v>14</v>
      </c>
    </row>
    <row r="359" spans="1:7">
      <c r="A359" s="2">
        <v>358</v>
      </c>
      <c r="B359" s="2" t="s">
        <v>64</v>
      </c>
      <c r="C359" s="2" t="s">
        <v>8</v>
      </c>
      <c r="D359" s="2">
        <v>40</v>
      </c>
      <c r="E359" s="3">
        <v>57222</v>
      </c>
      <c r="F359" s="2" t="s">
        <v>13</v>
      </c>
      <c r="G359" s="2" t="s">
        <v>26</v>
      </c>
    </row>
    <row r="360" spans="1:7">
      <c r="A360" s="2">
        <v>359</v>
      </c>
      <c r="B360" s="2" t="s">
        <v>49</v>
      </c>
      <c r="C360" s="2" t="s">
        <v>12</v>
      </c>
      <c r="D360" s="2">
        <v>44</v>
      </c>
      <c r="E360" s="3">
        <v>83028</v>
      </c>
      <c r="F360" s="2" t="s">
        <v>13</v>
      </c>
      <c r="G360" s="2" t="s">
        <v>23</v>
      </c>
    </row>
    <row r="361" spans="1:7">
      <c r="A361" s="2">
        <v>360</v>
      </c>
      <c r="B361" s="2" t="s">
        <v>81</v>
      </c>
      <c r="C361" s="2" t="s">
        <v>8</v>
      </c>
      <c r="D361" s="2">
        <v>29</v>
      </c>
      <c r="E361" s="3">
        <v>97904</v>
      </c>
      <c r="F361" s="2" t="s">
        <v>32</v>
      </c>
      <c r="G361" s="2" t="s">
        <v>18</v>
      </c>
    </row>
    <row r="362" spans="1:7">
      <c r="A362" s="2">
        <v>361</v>
      </c>
      <c r="B362" s="2" t="s">
        <v>43</v>
      </c>
      <c r="C362" s="2" t="s">
        <v>12</v>
      </c>
      <c r="D362" s="2">
        <v>14</v>
      </c>
      <c r="E362" s="3">
        <v>62030</v>
      </c>
      <c r="F362" s="2" t="s">
        <v>25</v>
      </c>
      <c r="G362" s="2" t="s">
        <v>14</v>
      </c>
    </row>
    <row r="363" spans="1:7">
      <c r="A363" s="2">
        <v>362</v>
      </c>
      <c r="B363" s="2" t="s">
        <v>55</v>
      </c>
      <c r="C363" s="2" t="s">
        <v>22</v>
      </c>
      <c r="D363" s="2">
        <v>6</v>
      </c>
      <c r="E363" s="3">
        <v>95683</v>
      </c>
      <c r="F363" s="2" t="s">
        <v>13</v>
      </c>
      <c r="G363" s="2" t="s">
        <v>18</v>
      </c>
    </row>
    <row r="364" spans="1:7">
      <c r="A364" s="2">
        <v>363</v>
      </c>
      <c r="B364" s="2" t="s">
        <v>11</v>
      </c>
      <c r="C364" s="2" t="s">
        <v>8</v>
      </c>
      <c r="D364" s="2">
        <v>7</v>
      </c>
      <c r="E364" s="3">
        <v>30307</v>
      </c>
      <c r="F364" s="2" t="s">
        <v>13</v>
      </c>
      <c r="G364" s="2" t="s">
        <v>14</v>
      </c>
    </row>
    <row r="365" spans="1:7">
      <c r="A365" s="2">
        <v>364</v>
      </c>
      <c r="B365" s="2" t="s">
        <v>60</v>
      </c>
      <c r="C365" s="2" t="s">
        <v>8</v>
      </c>
      <c r="D365" s="2">
        <v>9</v>
      </c>
      <c r="E365" s="3">
        <v>42150</v>
      </c>
      <c r="F365" s="2" t="s">
        <v>32</v>
      </c>
      <c r="G365" s="2" t="s">
        <v>29</v>
      </c>
    </row>
    <row r="366" spans="1:7">
      <c r="A366" s="2">
        <v>365</v>
      </c>
      <c r="B366" s="2" t="s">
        <v>82</v>
      </c>
      <c r="C366" s="2" t="s">
        <v>22</v>
      </c>
      <c r="D366" s="2">
        <v>49</v>
      </c>
      <c r="E366" s="3">
        <v>53841</v>
      </c>
      <c r="F366" s="2" t="s">
        <v>28</v>
      </c>
      <c r="G366" s="2" t="s">
        <v>10</v>
      </c>
    </row>
    <row r="367" spans="1:7">
      <c r="A367" s="2">
        <v>366</v>
      </c>
      <c r="B367" s="2" t="s">
        <v>49</v>
      </c>
      <c r="C367" s="2" t="s">
        <v>12</v>
      </c>
      <c r="D367" s="2">
        <v>8</v>
      </c>
      <c r="E367" s="3">
        <v>40082</v>
      </c>
      <c r="F367" s="2" t="s">
        <v>20</v>
      </c>
      <c r="G367" s="2" t="s">
        <v>26</v>
      </c>
    </row>
    <row r="368" spans="1:7">
      <c r="A368" s="2">
        <v>367</v>
      </c>
      <c r="B368" s="2" t="s">
        <v>76</v>
      </c>
      <c r="C368" s="2" t="s">
        <v>8</v>
      </c>
      <c r="D368" s="2">
        <v>38</v>
      </c>
      <c r="E368" s="3">
        <v>99499</v>
      </c>
      <c r="F368" s="2" t="s">
        <v>13</v>
      </c>
      <c r="G368" s="2" t="s">
        <v>23</v>
      </c>
    </row>
    <row r="369" spans="1:7">
      <c r="A369" s="2">
        <v>368</v>
      </c>
      <c r="B369" s="2" t="s">
        <v>89</v>
      </c>
      <c r="C369" s="2" t="s">
        <v>22</v>
      </c>
      <c r="D369" s="2">
        <v>47</v>
      </c>
      <c r="E369" s="3">
        <v>43961</v>
      </c>
      <c r="F369" s="2" t="s">
        <v>32</v>
      </c>
      <c r="G369" s="2" t="s">
        <v>10</v>
      </c>
    </row>
    <row r="370" spans="1:7">
      <c r="A370" s="2">
        <v>369</v>
      </c>
      <c r="B370" s="2" t="s">
        <v>77</v>
      </c>
      <c r="C370" s="2" t="s">
        <v>12</v>
      </c>
      <c r="D370" s="2">
        <v>25</v>
      </c>
      <c r="E370" s="3">
        <v>29616</v>
      </c>
      <c r="F370" s="2" t="s">
        <v>28</v>
      </c>
      <c r="G370" s="2" t="s">
        <v>26</v>
      </c>
    </row>
    <row r="371" spans="1:7">
      <c r="A371" s="2">
        <v>370</v>
      </c>
      <c r="B371" s="2" t="s">
        <v>91</v>
      </c>
      <c r="C371" s="2" t="s">
        <v>8</v>
      </c>
      <c r="D371" s="2">
        <v>23</v>
      </c>
      <c r="E371" s="3">
        <v>31204</v>
      </c>
      <c r="F371" s="2" t="s">
        <v>28</v>
      </c>
      <c r="G371" s="2" t="s">
        <v>18</v>
      </c>
    </row>
    <row r="372" spans="1:7">
      <c r="A372" s="2">
        <v>371</v>
      </c>
      <c r="B372" s="2" t="s">
        <v>62</v>
      </c>
      <c r="C372" s="2" t="s">
        <v>16</v>
      </c>
      <c r="D372" s="2">
        <v>28</v>
      </c>
      <c r="E372" s="3">
        <v>88797</v>
      </c>
      <c r="F372" s="2" t="s">
        <v>28</v>
      </c>
      <c r="G372" s="2" t="s">
        <v>26</v>
      </c>
    </row>
    <row r="373" spans="1:7">
      <c r="A373" s="2">
        <v>372</v>
      </c>
      <c r="B373" s="2" t="s">
        <v>24</v>
      </c>
      <c r="C373" s="2" t="s">
        <v>22</v>
      </c>
      <c r="D373" s="2">
        <v>21</v>
      </c>
      <c r="E373" s="3">
        <v>49863</v>
      </c>
      <c r="F373" s="2" t="s">
        <v>13</v>
      </c>
      <c r="G373" s="2" t="s">
        <v>10</v>
      </c>
    </row>
    <row r="374" spans="1:7">
      <c r="A374" s="2">
        <v>373</v>
      </c>
      <c r="B374" s="2" t="s">
        <v>43</v>
      </c>
      <c r="C374" s="2" t="s">
        <v>12</v>
      </c>
      <c r="D374" s="2">
        <v>9</v>
      </c>
      <c r="E374" s="3">
        <v>81053</v>
      </c>
      <c r="F374" s="2" t="s">
        <v>32</v>
      </c>
      <c r="G374" s="2" t="s">
        <v>10</v>
      </c>
    </row>
    <row r="375" spans="1:7">
      <c r="A375" s="2">
        <v>374</v>
      </c>
      <c r="B375" s="2" t="s">
        <v>57</v>
      </c>
      <c r="C375" s="2" t="s">
        <v>16</v>
      </c>
      <c r="D375" s="2">
        <v>16</v>
      </c>
      <c r="E375" s="3">
        <v>63867</v>
      </c>
      <c r="F375" s="2" t="s">
        <v>20</v>
      </c>
      <c r="G375" s="2" t="s">
        <v>10</v>
      </c>
    </row>
    <row r="376" spans="1:7">
      <c r="A376" s="2">
        <v>375</v>
      </c>
      <c r="B376" s="2" t="s">
        <v>47</v>
      </c>
      <c r="C376" s="2" t="s">
        <v>12</v>
      </c>
      <c r="D376" s="2">
        <v>18</v>
      </c>
      <c r="E376" s="3">
        <v>41748</v>
      </c>
      <c r="F376" s="2" t="s">
        <v>25</v>
      </c>
      <c r="G376" s="2" t="s">
        <v>10</v>
      </c>
    </row>
    <row r="377" spans="1:7">
      <c r="A377" s="2">
        <v>376</v>
      </c>
      <c r="B377" s="2" t="s">
        <v>39</v>
      </c>
      <c r="C377" s="2" t="s">
        <v>16</v>
      </c>
      <c r="D377" s="2">
        <v>42</v>
      </c>
      <c r="E377" s="3">
        <v>61565</v>
      </c>
      <c r="F377" s="2" t="s">
        <v>25</v>
      </c>
      <c r="G377" s="2" t="s">
        <v>23</v>
      </c>
    </row>
    <row r="378" spans="1:7">
      <c r="A378" s="2">
        <v>377</v>
      </c>
      <c r="B378" s="2" t="s">
        <v>35</v>
      </c>
      <c r="C378" s="2" t="s">
        <v>16</v>
      </c>
      <c r="D378" s="2">
        <v>6</v>
      </c>
      <c r="E378" s="3">
        <v>26782</v>
      </c>
      <c r="F378" s="2" t="s">
        <v>28</v>
      </c>
      <c r="G378" s="2" t="s">
        <v>29</v>
      </c>
    </row>
    <row r="379" spans="1:7">
      <c r="A379" s="2">
        <v>378</v>
      </c>
      <c r="B379" s="2" t="s">
        <v>58</v>
      </c>
      <c r="C379" s="2" t="s">
        <v>22</v>
      </c>
      <c r="D379" s="2">
        <v>16</v>
      </c>
      <c r="E379" s="3">
        <v>85307</v>
      </c>
      <c r="F379" s="2" t="s">
        <v>20</v>
      </c>
      <c r="G379" s="2" t="s">
        <v>26</v>
      </c>
    </row>
    <row r="380" spans="1:7">
      <c r="A380" s="2">
        <v>379</v>
      </c>
      <c r="B380" s="2" t="s">
        <v>60</v>
      </c>
      <c r="C380" s="2" t="s">
        <v>22</v>
      </c>
      <c r="D380" s="2">
        <v>36</v>
      </c>
      <c r="E380" s="3">
        <v>80828</v>
      </c>
      <c r="F380" s="2" t="s">
        <v>9</v>
      </c>
      <c r="G380" s="2" t="s">
        <v>29</v>
      </c>
    </row>
    <row r="381" spans="1:7">
      <c r="A381" s="2">
        <v>380</v>
      </c>
      <c r="B381" s="2" t="s">
        <v>91</v>
      </c>
      <c r="C381" s="2" t="s">
        <v>16</v>
      </c>
      <c r="D381" s="2">
        <v>39</v>
      </c>
      <c r="E381" s="3">
        <v>37443</v>
      </c>
      <c r="F381" s="2" t="s">
        <v>9</v>
      </c>
      <c r="G381" s="2" t="s">
        <v>10</v>
      </c>
    </row>
    <row r="382" spans="1:7">
      <c r="A382" s="2">
        <v>381</v>
      </c>
      <c r="B382" s="2" t="s">
        <v>39</v>
      </c>
      <c r="C382" s="2" t="s">
        <v>22</v>
      </c>
      <c r="D382" s="2">
        <v>39</v>
      </c>
      <c r="E382" s="3">
        <v>50416</v>
      </c>
      <c r="F382" s="2" t="s">
        <v>28</v>
      </c>
      <c r="G382" s="2" t="s">
        <v>29</v>
      </c>
    </row>
    <row r="383" spans="1:7">
      <c r="A383" s="2">
        <v>382</v>
      </c>
      <c r="B383" s="2" t="s">
        <v>76</v>
      </c>
      <c r="C383" s="2" t="s">
        <v>12</v>
      </c>
      <c r="D383" s="2">
        <v>47</v>
      </c>
      <c r="E383" s="3">
        <v>72515</v>
      </c>
      <c r="F383" s="2" t="s">
        <v>9</v>
      </c>
      <c r="G383" s="2" t="s">
        <v>29</v>
      </c>
    </row>
    <row r="384" spans="1:7">
      <c r="A384" s="2">
        <v>383</v>
      </c>
      <c r="B384" s="2" t="s">
        <v>77</v>
      </c>
      <c r="C384" s="2" t="s">
        <v>8</v>
      </c>
      <c r="D384" s="2">
        <v>39</v>
      </c>
      <c r="E384" s="3">
        <v>35200</v>
      </c>
      <c r="F384" s="2" t="s">
        <v>32</v>
      </c>
      <c r="G384" s="2" t="s">
        <v>23</v>
      </c>
    </row>
    <row r="385" spans="1:7">
      <c r="A385" s="2">
        <v>384</v>
      </c>
      <c r="B385" s="2" t="s">
        <v>90</v>
      </c>
      <c r="C385" s="2" t="s">
        <v>12</v>
      </c>
      <c r="D385" s="2">
        <v>19</v>
      </c>
      <c r="E385" s="3">
        <v>81837</v>
      </c>
      <c r="F385" s="2" t="s">
        <v>17</v>
      </c>
      <c r="G385" s="2" t="s">
        <v>10</v>
      </c>
    </row>
    <row r="386" spans="1:7">
      <c r="A386" s="2">
        <v>385</v>
      </c>
      <c r="B386" s="2" t="s">
        <v>39</v>
      </c>
      <c r="C386" s="2" t="s">
        <v>16</v>
      </c>
      <c r="D386" s="2">
        <v>50</v>
      </c>
      <c r="E386" s="3">
        <v>63289</v>
      </c>
      <c r="F386" s="2" t="s">
        <v>38</v>
      </c>
      <c r="G386" s="2" t="s">
        <v>18</v>
      </c>
    </row>
    <row r="387" spans="1:7">
      <c r="A387" s="2">
        <v>386</v>
      </c>
      <c r="B387" s="2" t="s">
        <v>91</v>
      </c>
      <c r="C387" s="2" t="s">
        <v>12</v>
      </c>
      <c r="D387" s="2">
        <v>45</v>
      </c>
      <c r="E387" s="3">
        <v>99044</v>
      </c>
      <c r="F387" s="2" t="s">
        <v>25</v>
      </c>
      <c r="G387" s="2" t="s">
        <v>10</v>
      </c>
    </row>
    <row r="388" spans="1:7">
      <c r="A388" s="2">
        <v>387</v>
      </c>
      <c r="B388" s="2" t="s">
        <v>47</v>
      </c>
      <c r="C388" s="2" t="s">
        <v>16</v>
      </c>
      <c r="D388" s="2">
        <v>2</v>
      </c>
      <c r="E388" s="3">
        <v>94002</v>
      </c>
      <c r="F388" s="2" t="s">
        <v>38</v>
      </c>
      <c r="G388" s="2" t="s">
        <v>29</v>
      </c>
    </row>
    <row r="389" spans="1:7">
      <c r="A389" s="2">
        <v>388</v>
      </c>
      <c r="B389" s="2" t="s">
        <v>24</v>
      </c>
      <c r="C389" s="2" t="s">
        <v>12</v>
      </c>
      <c r="D389" s="2">
        <v>43</v>
      </c>
      <c r="E389" s="3">
        <v>92482</v>
      </c>
      <c r="F389" s="2" t="s">
        <v>38</v>
      </c>
      <c r="G389" s="2" t="s">
        <v>18</v>
      </c>
    </row>
    <row r="390" spans="1:7">
      <c r="A390" s="2">
        <v>389</v>
      </c>
      <c r="B390" s="2" t="s">
        <v>85</v>
      </c>
      <c r="C390" s="2" t="s">
        <v>12</v>
      </c>
      <c r="D390" s="2">
        <v>20</v>
      </c>
      <c r="E390" s="3">
        <v>26959</v>
      </c>
      <c r="F390" s="2" t="s">
        <v>25</v>
      </c>
      <c r="G390" s="2" t="s">
        <v>26</v>
      </c>
    </row>
    <row r="391" spans="1:7">
      <c r="A391" s="2">
        <v>390</v>
      </c>
      <c r="B391" s="2" t="s">
        <v>15</v>
      </c>
      <c r="C391" s="2" t="s">
        <v>22</v>
      </c>
      <c r="D391" s="2">
        <v>14</v>
      </c>
      <c r="E391" s="3">
        <v>86081</v>
      </c>
      <c r="F391" s="2" t="s">
        <v>20</v>
      </c>
      <c r="G391" s="2" t="s">
        <v>29</v>
      </c>
    </row>
    <row r="392" spans="1:7">
      <c r="A392" s="2">
        <v>391</v>
      </c>
      <c r="B392" s="2" t="s">
        <v>53</v>
      </c>
      <c r="C392" s="2" t="s">
        <v>16</v>
      </c>
      <c r="D392" s="2">
        <v>34</v>
      </c>
      <c r="E392" s="3">
        <v>92934</v>
      </c>
      <c r="F392" s="2" t="s">
        <v>28</v>
      </c>
      <c r="G392" s="2" t="s">
        <v>29</v>
      </c>
    </row>
    <row r="393" spans="1:7">
      <c r="A393" s="2">
        <v>392</v>
      </c>
      <c r="B393" s="2" t="s">
        <v>45</v>
      </c>
      <c r="C393" s="2" t="s">
        <v>16</v>
      </c>
      <c r="D393" s="2">
        <v>39</v>
      </c>
      <c r="E393" s="3">
        <v>92845</v>
      </c>
      <c r="F393" s="2" t="s">
        <v>28</v>
      </c>
      <c r="G393" s="2" t="s">
        <v>14</v>
      </c>
    </row>
    <row r="394" spans="1:7">
      <c r="A394" s="2">
        <v>393</v>
      </c>
      <c r="B394" s="2" t="s">
        <v>77</v>
      </c>
      <c r="C394" s="2" t="s">
        <v>8</v>
      </c>
      <c r="D394" s="2">
        <v>33</v>
      </c>
      <c r="E394" s="3">
        <v>91383</v>
      </c>
      <c r="F394" s="2" t="s">
        <v>25</v>
      </c>
      <c r="G394" s="2" t="s">
        <v>14</v>
      </c>
    </row>
    <row r="395" spans="1:7">
      <c r="A395" s="2">
        <v>394</v>
      </c>
      <c r="B395" s="2" t="s">
        <v>21</v>
      </c>
      <c r="C395" s="2" t="s">
        <v>12</v>
      </c>
      <c r="D395" s="2">
        <v>13</v>
      </c>
      <c r="E395" s="3">
        <v>81592</v>
      </c>
      <c r="F395" s="2" t="s">
        <v>9</v>
      </c>
      <c r="G395" s="2" t="s">
        <v>26</v>
      </c>
    </row>
    <row r="396" spans="1:7">
      <c r="A396" s="2">
        <v>395</v>
      </c>
      <c r="B396" s="2" t="s">
        <v>37</v>
      </c>
      <c r="C396" s="2" t="s">
        <v>12</v>
      </c>
      <c r="D396" s="2">
        <v>48</v>
      </c>
      <c r="E396" s="3">
        <v>58525</v>
      </c>
      <c r="F396" s="2" t="s">
        <v>38</v>
      </c>
      <c r="G396" s="2" t="s">
        <v>14</v>
      </c>
    </row>
    <row r="397" spans="1:7">
      <c r="A397" s="2">
        <v>396</v>
      </c>
      <c r="B397" s="2" t="s">
        <v>31</v>
      </c>
      <c r="C397" s="2" t="s">
        <v>8</v>
      </c>
      <c r="D397" s="2">
        <v>26</v>
      </c>
      <c r="E397" s="3">
        <v>37903</v>
      </c>
      <c r="F397" s="2" t="s">
        <v>32</v>
      </c>
      <c r="G397" s="2" t="s">
        <v>29</v>
      </c>
    </row>
    <row r="398" spans="1:7">
      <c r="A398" s="2">
        <v>397</v>
      </c>
      <c r="B398" s="2" t="s">
        <v>77</v>
      </c>
      <c r="C398" s="2" t="s">
        <v>16</v>
      </c>
      <c r="D398" s="2">
        <v>19</v>
      </c>
      <c r="E398" s="3">
        <v>44740</v>
      </c>
      <c r="F398" s="2" t="s">
        <v>20</v>
      </c>
      <c r="G398" s="2" t="s">
        <v>26</v>
      </c>
    </row>
    <row r="399" spans="1:7">
      <c r="A399" s="2">
        <v>398</v>
      </c>
      <c r="B399" s="2" t="s">
        <v>57</v>
      </c>
      <c r="C399" s="2" t="s">
        <v>12</v>
      </c>
      <c r="D399" s="2">
        <v>42</v>
      </c>
      <c r="E399" s="3">
        <v>41499</v>
      </c>
      <c r="F399" s="2" t="s">
        <v>25</v>
      </c>
      <c r="G399" s="2" t="s">
        <v>10</v>
      </c>
    </row>
    <row r="400" spans="1:7">
      <c r="A400" s="2">
        <v>399</v>
      </c>
      <c r="B400" s="2" t="s">
        <v>74</v>
      </c>
      <c r="C400" s="2" t="s">
        <v>8</v>
      </c>
      <c r="D400" s="2">
        <v>4</v>
      </c>
      <c r="E400" s="3">
        <v>55627</v>
      </c>
      <c r="F400" s="2" t="s">
        <v>38</v>
      </c>
      <c r="G400" s="2" t="s">
        <v>26</v>
      </c>
    </row>
    <row r="401" spans="1:7">
      <c r="A401" s="2">
        <v>400</v>
      </c>
      <c r="B401" s="2" t="s">
        <v>54</v>
      </c>
      <c r="C401" s="2" t="s">
        <v>8</v>
      </c>
      <c r="D401" s="2">
        <v>16</v>
      </c>
      <c r="E401" s="3">
        <v>96569</v>
      </c>
      <c r="F401" s="2" t="s">
        <v>9</v>
      </c>
      <c r="G401" s="2" t="s">
        <v>10</v>
      </c>
    </row>
    <row r="402" spans="1:7">
      <c r="A402" s="2">
        <v>401</v>
      </c>
      <c r="B402" s="2" t="s">
        <v>83</v>
      </c>
      <c r="C402" s="2" t="s">
        <v>8</v>
      </c>
      <c r="D402" s="2">
        <v>32</v>
      </c>
      <c r="E402" s="3">
        <v>35015</v>
      </c>
      <c r="F402" s="2" t="s">
        <v>32</v>
      </c>
      <c r="G402" s="2" t="s">
        <v>29</v>
      </c>
    </row>
    <row r="403" spans="1:7">
      <c r="A403" s="2">
        <v>402</v>
      </c>
      <c r="B403" s="2" t="s">
        <v>66</v>
      </c>
      <c r="C403" s="2" t="s">
        <v>12</v>
      </c>
      <c r="D403" s="2">
        <v>25</v>
      </c>
      <c r="E403" s="3">
        <v>93880</v>
      </c>
      <c r="F403" s="2" t="s">
        <v>17</v>
      </c>
      <c r="G403" s="2" t="s">
        <v>14</v>
      </c>
    </row>
    <row r="404" spans="1:7">
      <c r="A404" s="2">
        <v>403</v>
      </c>
      <c r="B404" s="2" t="s">
        <v>83</v>
      </c>
      <c r="C404" s="2" t="s">
        <v>16</v>
      </c>
      <c r="D404" s="2">
        <v>8</v>
      </c>
      <c r="E404" s="3">
        <v>78048</v>
      </c>
      <c r="F404" s="2" t="s">
        <v>13</v>
      </c>
      <c r="G404" s="2" t="s">
        <v>29</v>
      </c>
    </row>
    <row r="405" spans="1:7">
      <c r="A405" s="2">
        <v>404</v>
      </c>
      <c r="B405" s="2" t="s">
        <v>50</v>
      </c>
      <c r="C405" s="2" t="s">
        <v>16</v>
      </c>
      <c r="D405" s="2">
        <v>16</v>
      </c>
      <c r="E405" s="3">
        <v>97254</v>
      </c>
      <c r="F405" s="2" t="s">
        <v>28</v>
      </c>
      <c r="G405" s="2" t="s">
        <v>26</v>
      </c>
    </row>
    <row r="406" spans="1:7">
      <c r="A406" s="2">
        <v>405</v>
      </c>
      <c r="B406" s="2" t="s">
        <v>47</v>
      </c>
      <c r="C406" s="2" t="s">
        <v>8</v>
      </c>
      <c r="D406" s="2">
        <v>32</v>
      </c>
      <c r="E406" s="3">
        <v>55035</v>
      </c>
      <c r="F406" s="2" t="s">
        <v>9</v>
      </c>
      <c r="G406" s="2" t="s">
        <v>10</v>
      </c>
    </row>
    <row r="407" spans="1:7">
      <c r="A407" s="2">
        <v>406</v>
      </c>
      <c r="B407" s="2" t="s">
        <v>76</v>
      </c>
      <c r="C407" s="2" t="s">
        <v>8</v>
      </c>
      <c r="D407" s="2">
        <v>41</v>
      </c>
      <c r="E407" s="3">
        <v>74886</v>
      </c>
      <c r="F407" s="2" t="s">
        <v>17</v>
      </c>
      <c r="G407" s="2" t="s">
        <v>10</v>
      </c>
    </row>
    <row r="408" spans="1:7">
      <c r="A408" s="2">
        <v>407</v>
      </c>
      <c r="B408" s="2" t="s">
        <v>91</v>
      </c>
      <c r="C408" s="2" t="s">
        <v>16</v>
      </c>
      <c r="D408" s="2">
        <v>39</v>
      </c>
      <c r="E408" s="3">
        <v>89524</v>
      </c>
      <c r="F408" s="2" t="s">
        <v>9</v>
      </c>
      <c r="G408" s="2" t="s">
        <v>26</v>
      </c>
    </row>
    <row r="409" spans="1:7">
      <c r="A409" s="2">
        <v>408</v>
      </c>
      <c r="B409" s="2" t="s">
        <v>92</v>
      </c>
      <c r="C409" s="2" t="s">
        <v>8</v>
      </c>
      <c r="D409" s="2">
        <v>5</v>
      </c>
      <c r="E409" s="3">
        <v>83231</v>
      </c>
      <c r="F409" s="2" t="s">
        <v>38</v>
      </c>
      <c r="G409" s="2" t="s">
        <v>23</v>
      </c>
    </row>
    <row r="410" spans="1:7">
      <c r="A410" s="2">
        <v>409</v>
      </c>
      <c r="B410" s="2" t="s">
        <v>79</v>
      </c>
      <c r="C410" s="2" t="s">
        <v>8</v>
      </c>
      <c r="D410" s="2">
        <v>34</v>
      </c>
      <c r="E410" s="3">
        <v>35004</v>
      </c>
      <c r="F410" s="2" t="s">
        <v>17</v>
      </c>
      <c r="G410" s="2" t="s">
        <v>10</v>
      </c>
    </row>
    <row r="411" spans="1:7">
      <c r="A411" s="2">
        <v>410</v>
      </c>
      <c r="B411" s="2" t="s">
        <v>80</v>
      </c>
      <c r="C411" s="2" t="s">
        <v>16</v>
      </c>
      <c r="D411" s="2">
        <v>1</v>
      </c>
      <c r="E411" s="3">
        <v>65911</v>
      </c>
      <c r="F411" s="2" t="s">
        <v>20</v>
      </c>
      <c r="G411" s="2" t="s">
        <v>23</v>
      </c>
    </row>
    <row r="412" spans="1:7">
      <c r="A412" s="2">
        <v>411</v>
      </c>
      <c r="B412" s="2" t="s">
        <v>86</v>
      </c>
      <c r="C412" s="2" t="s">
        <v>12</v>
      </c>
      <c r="D412" s="2">
        <v>24</v>
      </c>
      <c r="E412" s="3">
        <v>27932</v>
      </c>
      <c r="F412" s="2" t="s">
        <v>25</v>
      </c>
      <c r="G412" s="2" t="s">
        <v>29</v>
      </c>
    </row>
    <row r="413" spans="1:7">
      <c r="A413" s="2">
        <v>412</v>
      </c>
      <c r="B413" s="2" t="s">
        <v>50</v>
      </c>
      <c r="C413" s="2" t="s">
        <v>8</v>
      </c>
      <c r="D413" s="2">
        <v>21</v>
      </c>
      <c r="E413" s="3">
        <v>56435</v>
      </c>
      <c r="F413" s="2" t="s">
        <v>38</v>
      </c>
      <c r="G413" s="2" t="s">
        <v>10</v>
      </c>
    </row>
    <row r="414" spans="1:7">
      <c r="A414" s="2">
        <v>413</v>
      </c>
      <c r="B414" s="2" t="s">
        <v>65</v>
      </c>
      <c r="C414" s="2" t="s">
        <v>12</v>
      </c>
      <c r="D414" s="2">
        <v>9</v>
      </c>
      <c r="E414" s="3">
        <v>46535</v>
      </c>
      <c r="F414" s="2" t="s">
        <v>28</v>
      </c>
      <c r="G414" s="2" t="s">
        <v>23</v>
      </c>
    </row>
    <row r="415" spans="1:7">
      <c r="A415" s="2">
        <v>414</v>
      </c>
      <c r="B415" s="2" t="s">
        <v>41</v>
      </c>
      <c r="C415" s="2" t="s">
        <v>8</v>
      </c>
      <c r="D415" s="2">
        <v>25</v>
      </c>
      <c r="E415" s="3">
        <v>28513</v>
      </c>
      <c r="F415" s="2" t="s">
        <v>13</v>
      </c>
      <c r="G415" s="2" t="s">
        <v>10</v>
      </c>
    </row>
    <row r="416" spans="1:7">
      <c r="A416" s="2">
        <v>415</v>
      </c>
      <c r="B416" s="2" t="s">
        <v>11</v>
      </c>
      <c r="C416" s="2" t="s">
        <v>8</v>
      </c>
      <c r="D416" s="2">
        <v>37</v>
      </c>
      <c r="E416" s="3">
        <v>68384</v>
      </c>
      <c r="F416" s="2" t="s">
        <v>20</v>
      </c>
      <c r="G416" s="2" t="s">
        <v>23</v>
      </c>
    </row>
    <row r="417" spans="1:7">
      <c r="A417" s="2">
        <v>416</v>
      </c>
      <c r="B417" s="2" t="s">
        <v>56</v>
      </c>
      <c r="C417" s="2" t="s">
        <v>8</v>
      </c>
      <c r="D417" s="2">
        <v>27</v>
      </c>
      <c r="E417" s="3">
        <v>39640</v>
      </c>
      <c r="F417" s="2" t="s">
        <v>9</v>
      </c>
      <c r="G417" s="2" t="s">
        <v>10</v>
      </c>
    </row>
    <row r="418" spans="1:7">
      <c r="A418" s="2">
        <v>417</v>
      </c>
      <c r="B418" s="2" t="s">
        <v>21</v>
      </c>
      <c r="C418" s="2" t="s">
        <v>22</v>
      </c>
      <c r="D418" s="2">
        <v>24</v>
      </c>
      <c r="E418" s="3">
        <v>42916</v>
      </c>
      <c r="F418" s="2" t="s">
        <v>25</v>
      </c>
      <c r="G418" s="2" t="s">
        <v>10</v>
      </c>
    </row>
    <row r="419" spans="1:7">
      <c r="A419" s="2">
        <v>418</v>
      </c>
      <c r="B419" s="2" t="s">
        <v>80</v>
      </c>
      <c r="C419" s="2" t="s">
        <v>12</v>
      </c>
      <c r="D419" s="2">
        <v>35</v>
      </c>
      <c r="E419" s="3">
        <v>91893</v>
      </c>
      <c r="F419" s="2" t="s">
        <v>32</v>
      </c>
      <c r="G419" s="2" t="s">
        <v>18</v>
      </c>
    </row>
    <row r="420" spans="1:7">
      <c r="A420" s="2">
        <v>419</v>
      </c>
      <c r="B420" s="2" t="s">
        <v>78</v>
      </c>
      <c r="C420" s="2" t="s">
        <v>12</v>
      </c>
      <c r="D420" s="2">
        <v>44</v>
      </c>
      <c r="E420" s="3">
        <v>40884</v>
      </c>
      <c r="F420" s="2" t="s">
        <v>28</v>
      </c>
      <c r="G420" s="2" t="s">
        <v>29</v>
      </c>
    </row>
    <row r="421" spans="1:7">
      <c r="A421" s="2">
        <v>420</v>
      </c>
      <c r="B421" s="2" t="s">
        <v>67</v>
      </c>
      <c r="C421" s="2" t="s">
        <v>8</v>
      </c>
      <c r="D421" s="2">
        <v>12</v>
      </c>
      <c r="E421" s="3">
        <v>37323</v>
      </c>
      <c r="F421" s="2" t="s">
        <v>13</v>
      </c>
      <c r="G421" s="2" t="s">
        <v>29</v>
      </c>
    </row>
    <row r="422" spans="1:7">
      <c r="A422" s="2">
        <v>421</v>
      </c>
      <c r="B422" s="2" t="s">
        <v>44</v>
      </c>
      <c r="C422" s="2" t="s">
        <v>16</v>
      </c>
      <c r="D422" s="2">
        <v>49</v>
      </c>
      <c r="E422" s="3">
        <v>48486</v>
      </c>
      <c r="F422" s="2" t="s">
        <v>38</v>
      </c>
      <c r="G422" s="2" t="s">
        <v>10</v>
      </c>
    </row>
    <row r="423" spans="1:7">
      <c r="A423" s="2">
        <v>422</v>
      </c>
      <c r="B423" s="2" t="s">
        <v>64</v>
      </c>
      <c r="C423" s="2" t="s">
        <v>8</v>
      </c>
      <c r="D423" s="2">
        <v>31</v>
      </c>
      <c r="E423" s="3">
        <v>88846</v>
      </c>
      <c r="F423" s="2" t="s">
        <v>20</v>
      </c>
      <c r="G423" s="2" t="s">
        <v>23</v>
      </c>
    </row>
    <row r="424" spans="1:7">
      <c r="A424" s="2">
        <v>423</v>
      </c>
      <c r="B424" s="2" t="s">
        <v>19</v>
      </c>
      <c r="C424" s="2" t="s">
        <v>22</v>
      </c>
      <c r="D424" s="2">
        <v>50</v>
      </c>
      <c r="E424" s="3">
        <v>92657</v>
      </c>
      <c r="F424" s="2" t="s">
        <v>32</v>
      </c>
      <c r="G424" s="2" t="s">
        <v>14</v>
      </c>
    </row>
    <row r="425" spans="1:7">
      <c r="A425" s="2">
        <v>424</v>
      </c>
      <c r="B425" s="2" t="s">
        <v>89</v>
      </c>
      <c r="C425" s="2" t="s">
        <v>8</v>
      </c>
      <c r="D425" s="2">
        <v>5</v>
      </c>
      <c r="E425" s="3">
        <v>98105</v>
      </c>
      <c r="F425" s="2" t="s">
        <v>13</v>
      </c>
      <c r="G425" s="2" t="s">
        <v>23</v>
      </c>
    </row>
    <row r="426" spans="1:7">
      <c r="A426" s="2">
        <v>425</v>
      </c>
      <c r="B426" s="2" t="s">
        <v>21</v>
      </c>
      <c r="C426" s="2" t="s">
        <v>22</v>
      </c>
      <c r="D426" s="2">
        <v>2</v>
      </c>
      <c r="E426" s="3">
        <v>35304</v>
      </c>
      <c r="F426" s="2" t="s">
        <v>9</v>
      </c>
      <c r="G426" s="2" t="s">
        <v>10</v>
      </c>
    </row>
    <row r="427" spans="1:7">
      <c r="A427" s="2">
        <v>426</v>
      </c>
      <c r="B427" s="2" t="s">
        <v>59</v>
      </c>
      <c r="C427" s="2" t="s">
        <v>8</v>
      </c>
      <c r="D427" s="2">
        <v>38</v>
      </c>
      <c r="E427" s="3">
        <v>43780</v>
      </c>
      <c r="F427" s="2" t="s">
        <v>32</v>
      </c>
      <c r="G427" s="2" t="s">
        <v>26</v>
      </c>
    </row>
    <row r="428" spans="1:7">
      <c r="A428" s="2">
        <v>427</v>
      </c>
      <c r="B428" s="2" t="s">
        <v>67</v>
      </c>
      <c r="C428" s="2" t="s">
        <v>12</v>
      </c>
      <c r="D428" s="2">
        <v>5</v>
      </c>
      <c r="E428" s="3">
        <v>54415</v>
      </c>
      <c r="F428" s="2" t="s">
        <v>38</v>
      </c>
      <c r="G428" s="2" t="s">
        <v>29</v>
      </c>
    </row>
    <row r="429" spans="1:7">
      <c r="A429" s="2">
        <v>428</v>
      </c>
      <c r="B429" s="2" t="s">
        <v>44</v>
      </c>
      <c r="C429" s="2" t="s">
        <v>8</v>
      </c>
      <c r="D429" s="2">
        <v>1</v>
      </c>
      <c r="E429" s="3">
        <v>99323</v>
      </c>
      <c r="F429" s="2" t="s">
        <v>32</v>
      </c>
      <c r="G429" s="2" t="s">
        <v>26</v>
      </c>
    </row>
    <row r="430" spans="1:7">
      <c r="A430" s="2">
        <v>429</v>
      </c>
      <c r="B430" s="2" t="s">
        <v>60</v>
      </c>
      <c r="C430" s="2" t="s">
        <v>12</v>
      </c>
      <c r="D430" s="2">
        <v>17</v>
      </c>
      <c r="E430" s="3">
        <v>50205</v>
      </c>
      <c r="F430" s="2" t="s">
        <v>9</v>
      </c>
      <c r="G430" s="2" t="s">
        <v>23</v>
      </c>
    </row>
    <row r="431" spans="1:7">
      <c r="A431" s="2">
        <v>430</v>
      </c>
      <c r="B431" s="2" t="s">
        <v>86</v>
      </c>
      <c r="C431" s="2" t="s">
        <v>16</v>
      </c>
      <c r="D431" s="2">
        <v>14</v>
      </c>
      <c r="E431" s="3">
        <v>55673</v>
      </c>
      <c r="F431" s="2" t="s">
        <v>20</v>
      </c>
      <c r="G431" s="2" t="s">
        <v>18</v>
      </c>
    </row>
    <row r="432" spans="1:7">
      <c r="A432" s="2">
        <v>431</v>
      </c>
      <c r="B432" s="2" t="s">
        <v>92</v>
      </c>
      <c r="C432" s="2" t="s">
        <v>16</v>
      </c>
      <c r="D432" s="2">
        <v>3</v>
      </c>
      <c r="E432" s="3">
        <v>53100</v>
      </c>
      <c r="F432" s="2" t="s">
        <v>32</v>
      </c>
      <c r="G432" s="2" t="s">
        <v>10</v>
      </c>
    </row>
    <row r="433" spans="1:7">
      <c r="A433" s="2">
        <v>432</v>
      </c>
      <c r="B433" s="2" t="s">
        <v>57</v>
      </c>
      <c r="C433" s="2" t="s">
        <v>8</v>
      </c>
      <c r="D433" s="2">
        <v>4</v>
      </c>
      <c r="E433" s="3">
        <v>48399</v>
      </c>
      <c r="F433" s="2" t="s">
        <v>9</v>
      </c>
      <c r="G433" s="2" t="s">
        <v>23</v>
      </c>
    </row>
    <row r="434" spans="1:7">
      <c r="A434" s="2">
        <v>433</v>
      </c>
      <c r="B434" s="2" t="s">
        <v>74</v>
      </c>
      <c r="C434" s="2" t="s">
        <v>8</v>
      </c>
      <c r="D434" s="2">
        <v>26</v>
      </c>
      <c r="E434" s="3">
        <v>64039</v>
      </c>
      <c r="F434" s="2" t="s">
        <v>13</v>
      </c>
      <c r="G434" s="2" t="s">
        <v>23</v>
      </c>
    </row>
    <row r="435" spans="1:7">
      <c r="A435" s="2">
        <v>434</v>
      </c>
      <c r="B435" s="2" t="s">
        <v>39</v>
      </c>
      <c r="C435" s="2" t="s">
        <v>16</v>
      </c>
      <c r="D435" s="2">
        <v>33</v>
      </c>
      <c r="E435" s="3">
        <v>88348</v>
      </c>
      <c r="F435" s="2" t="s">
        <v>28</v>
      </c>
      <c r="G435" s="2" t="s">
        <v>18</v>
      </c>
    </row>
    <row r="436" spans="1:7">
      <c r="A436" s="2">
        <v>435</v>
      </c>
      <c r="B436" s="2" t="s">
        <v>53</v>
      </c>
      <c r="C436" s="2" t="s">
        <v>22</v>
      </c>
      <c r="D436" s="2">
        <v>19</v>
      </c>
      <c r="E436" s="3">
        <v>40355</v>
      </c>
      <c r="F436" s="2" t="s">
        <v>17</v>
      </c>
      <c r="G436" s="2" t="s">
        <v>14</v>
      </c>
    </row>
    <row r="437" spans="1:7">
      <c r="A437" s="2">
        <v>436</v>
      </c>
      <c r="B437" s="2" t="s">
        <v>11</v>
      </c>
      <c r="C437" s="2" t="s">
        <v>16</v>
      </c>
      <c r="D437" s="2">
        <v>41</v>
      </c>
      <c r="E437" s="3">
        <v>73243</v>
      </c>
      <c r="F437" s="2" t="s">
        <v>25</v>
      </c>
      <c r="G437" s="2" t="s">
        <v>14</v>
      </c>
    </row>
    <row r="438" spans="1:7">
      <c r="A438" s="2">
        <v>437</v>
      </c>
      <c r="B438" s="2" t="s">
        <v>60</v>
      </c>
      <c r="C438" s="2" t="s">
        <v>16</v>
      </c>
      <c r="D438" s="2">
        <v>46</v>
      </c>
      <c r="E438" s="3">
        <v>75413</v>
      </c>
      <c r="F438" s="2" t="s">
        <v>38</v>
      </c>
      <c r="G438" s="2" t="s">
        <v>23</v>
      </c>
    </row>
    <row r="439" spans="1:7">
      <c r="A439" s="2">
        <v>438</v>
      </c>
      <c r="B439" s="2" t="s">
        <v>15</v>
      </c>
      <c r="C439" s="2" t="s">
        <v>22</v>
      </c>
      <c r="D439" s="2">
        <v>33</v>
      </c>
      <c r="E439" s="3">
        <v>88713</v>
      </c>
      <c r="F439" s="2" t="s">
        <v>20</v>
      </c>
      <c r="G439" s="2" t="s">
        <v>10</v>
      </c>
    </row>
    <row r="440" spans="1:7">
      <c r="A440" s="2">
        <v>439</v>
      </c>
      <c r="B440" s="2" t="s">
        <v>68</v>
      </c>
      <c r="C440" s="2" t="s">
        <v>16</v>
      </c>
      <c r="D440" s="2">
        <v>50</v>
      </c>
      <c r="E440" s="3">
        <v>66204</v>
      </c>
      <c r="F440" s="2" t="s">
        <v>28</v>
      </c>
      <c r="G440" s="2" t="s">
        <v>26</v>
      </c>
    </row>
    <row r="441" spans="1:7">
      <c r="A441" s="2">
        <v>440</v>
      </c>
      <c r="B441" s="2" t="s">
        <v>93</v>
      </c>
      <c r="C441" s="2" t="s">
        <v>16</v>
      </c>
      <c r="D441" s="2">
        <v>27</v>
      </c>
      <c r="E441" s="3">
        <v>53711</v>
      </c>
      <c r="F441" s="2" t="s">
        <v>9</v>
      </c>
      <c r="G441" s="2" t="s">
        <v>18</v>
      </c>
    </row>
    <row r="442" spans="1:7">
      <c r="A442" s="2">
        <v>441</v>
      </c>
      <c r="B442" s="2" t="s">
        <v>49</v>
      </c>
      <c r="C442" s="2" t="s">
        <v>22</v>
      </c>
      <c r="D442" s="2">
        <v>28</v>
      </c>
      <c r="E442" s="3">
        <v>86359</v>
      </c>
      <c r="F442" s="2" t="s">
        <v>28</v>
      </c>
      <c r="G442" s="2" t="s">
        <v>14</v>
      </c>
    </row>
    <row r="443" spans="1:7">
      <c r="A443" s="2">
        <v>442</v>
      </c>
      <c r="B443" s="2" t="s">
        <v>85</v>
      </c>
      <c r="C443" s="2" t="s">
        <v>22</v>
      </c>
      <c r="D443" s="2">
        <v>45</v>
      </c>
      <c r="E443" s="3">
        <v>82906</v>
      </c>
      <c r="F443" s="2" t="s">
        <v>32</v>
      </c>
      <c r="G443" s="2" t="s">
        <v>23</v>
      </c>
    </row>
    <row r="444" spans="1:7">
      <c r="A444" s="2">
        <v>443</v>
      </c>
      <c r="B444" s="2" t="s">
        <v>51</v>
      </c>
      <c r="C444" s="2" t="s">
        <v>12</v>
      </c>
      <c r="D444" s="2">
        <v>26</v>
      </c>
      <c r="E444" s="3">
        <v>89097</v>
      </c>
      <c r="F444" s="2" t="s">
        <v>17</v>
      </c>
      <c r="G444" s="2" t="s">
        <v>10</v>
      </c>
    </row>
    <row r="445" spans="1:7">
      <c r="A445" s="2">
        <v>444</v>
      </c>
      <c r="B445" s="2" t="s">
        <v>54</v>
      </c>
      <c r="C445" s="2" t="s">
        <v>8</v>
      </c>
      <c r="D445" s="2">
        <v>6</v>
      </c>
      <c r="E445" s="3">
        <v>69155</v>
      </c>
      <c r="F445" s="2" t="s">
        <v>38</v>
      </c>
      <c r="G445" s="2" t="s">
        <v>26</v>
      </c>
    </row>
    <row r="446" spans="1:7">
      <c r="A446" s="2">
        <v>445</v>
      </c>
      <c r="B446" s="2" t="s">
        <v>34</v>
      </c>
      <c r="C446" s="2" t="s">
        <v>12</v>
      </c>
      <c r="D446" s="2">
        <v>41</v>
      </c>
      <c r="E446" s="3">
        <v>52110</v>
      </c>
      <c r="F446" s="2" t="s">
        <v>32</v>
      </c>
      <c r="G446" s="2" t="s">
        <v>14</v>
      </c>
    </row>
    <row r="447" spans="1:7">
      <c r="A447" s="2">
        <v>446</v>
      </c>
      <c r="B447" s="2" t="s">
        <v>48</v>
      </c>
      <c r="C447" s="2" t="s">
        <v>22</v>
      </c>
      <c r="D447" s="2">
        <v>35</v>
      </c>
      <c r="E447" s="3">
        <v>98600</v>
      </c>
      <c r="F447" s="2" t="s">
        <v>20</v>
      </c>
      <c r="G447" s="2" t="s">
        <v>29</v>
      </c>
    </row>
    <row r="448" spans="1:7">
      <c r="A448" s="2">
        <v>447</v>
      </c>
      <c r="B448" s="2" t="s">
        <v>52</v>
      </c>
      <c r="C448" s="2" t="s">
        <v>16</v>
      </c>
      <c r="D448" s="2">
        <v>35</v>
      </c>
      <c r="E448" s="3">
        <v>97491</v>
      </c>
      <c r="F448" s="2" t="s">
        <v>32</v>
      </c>
      <c r="G448" s="2" t="s">
        <v>26</v>
      </c>
    </row>
    <row r="449" spans="1:7">
      <c r="A449" s="2">
        <v>448</v>
      </c>
      <c r="B449" s="2" t="s">
        <v>82</v>
      </c>
      <c r="C449" s="2" t="s">
        <v>22</v>
      </c>
      <c r="D449" s="2">
        <v>40</v>
      </c>
      <c r="E449" s="3">
        <v>31273</v>
      </c>
      <c r="F449" s="2" t="s">
        <v>13</v>
      </c>
      <c r="G449" s="2" t="s">
        <v>26</v>
      </c>
    </row>
    <row r="450" spans="1:7">
      <c r="A450" s="2">
        <v>449</v>
      </c>
      <c r="B450" s="2" t="s">
        <v>71</v>
      </c>
      <c r="C450" s="2" t="s">
        <v>16</v>
      </c>
      <c r="D450" s="2">
        <v>10</v>
      </c>
      <c r="E450" s="3">
        <v>85460</v>
      </c>
      <c r="F450" s="2" t="s">
        <v>17</v>
      </c>
      <c r="G450" s="2" t="s">
        <v>23</v>
      </c>
    </row>
    <row r="451" spans="1:7">
      <c r="A451" s="2">
        <v>450</v>
      </c>
      <c r="B451" s="2" t="s">
        <v>81</v>
      </c>
      <c r="C451" s="2" t="s">
        <v>12</v>
      </c>
      <c r="D451" s="2">
        <v>18</v>
      </c>
      <c r="E451" s="3">
        <v>73333</v>
      </c>
      <c r="F451" s="2" t="s">
        <v>38</v>
      </c>
      <c r="G451" s="2" t="s">
        <v>18</v>
      </c>
    </row>
    <row r="452" spans="1:7">
      <c r="A452" s="2">
        <v>451</v>
      </c>
      <c r="B452" s="2" t="s">
        <v>51</v>
      </c>
      <c r="C452" s="2" t="s">
        <v>12</v>
      </c>
      <c r="D452" s="2">
        <v>6</v>
      </c>
      <c r="E452" s="3">
        <v>63561</v>
      </c>
      <c r="F452" s="2" t="s">
        <v>25</v>
      </c>
      <c r="G452" s="2" t="s">
        <v>10</v>
      </c>
    </row>
    <row r="453" spans="1:7">
      <c r="A453" s="2">
        <v>452</v>
      </c>
      <c r="B453" s="2" t="s">
        <v>82</v>
      </c>
      <c r="C453" s="2" t="s">
        <v>12</v>
      </c>
      <c r="D453" s="2">
        <v>20</v>
      </c>
      <c r="E453" s="3">
        <v>33829</v>
      </c>
      <c r="F453" s="2" t="s">
        <v>28</v>
      </c>
      <c r="G453" s="2" t="s">
        <v>23</v>
      </c>
    </row>
    <row r="454" spans="1:7">
      <c r="A454" s="2">
        <v>453</v>
      </c>
      <c r="B454" s="2" t="s">
        <v>63</v>
      </c>
      <c r="C454" s="2" t="s">
        <v>16</v>
      </c>
      <c r="D454" s="2">
        <v>6</v>
      </c>
      <c r="E454" s="3">
        <v>70949</v>
      </c>
      <c r="F454" s="2" t="s">
        <v>20</v>
      </c>
      <c r="G454" s="2" t="s">
        <v>14</v>
      </c>
    </row>
    <row r="455" spans="1:7">
      <c r="A455" s="2">
        <v>454</v>
      </c>
      <c r="B455" s="2" t="s">
        <v>37</v>
      </c>
      <c r="C455" s="2" t="s">
        <v>8</v>
      </c>
      <c r="D455" s="2">
        <v>33</v>
      </c>
      <c r="E455" s="3">
        <v>78485</v>
      </c>
      <c r="F455" s="2" t="s">
        <v>13</v>
      </c>
      <c r="G455" s="2" t="s">
        <v>23</v>
      </c>
    </row>
    <row r="456" spans="1:7">
      <c r="A456" s="2">
        <v>455</v>
      </c>
      <c r="B456" s="2" t="s">
        <v>70</v>
      </c>
      <c r="C456" s="2" t="s">
        <v>8</v>
      </c>
      <c r="D456" s="2">
        <v>14</v>
      </c>
      <c r="E456" s="3">
        <v>97650</v>
      </c>
      <c r="F456" s="2" t="s">
        <v>32</v>
      </c>
      <c r="G456" s="2" t="s">
        <v>23</v>
      </c>
    </row>
    <row r="457" spans="1:7">
      <c r="A457" s="2">
        <v>456</v>
      </c>
      <c r="B457" s="2" t="s">
        <v>45</v>
      </c>
      <c r="C457" s="2" t="s">
        <v>8</v>
      </c>
      <c r="D457" s="2">
        <v>10</v>
      </c>
      <c r="E457" s="3">
        <v>50720</v>
      </c>
      <c r="F457" s="2" t="s">
        <v>38</v>
      </c>
      <c r="G457" s="2" t="s">
        <v>14</v>
      </c>
    </row>
    <row r="458" spans="1:7">
      <c r="A458" s="2">
        <v>457</v>
      </c>
      <c r="B458" s="2" t="s">
        <v>82</v>
      </c>
      <c r="C458" s="2" t="s">
        <v>22</v>
      </c>
      <c r="D458" s="2">
        <v>35</v>
      </c>
      <c r="E458" s="3">
        <v>95569</v>
      </c>
      <c r="F458" s="2" t="s">
        <v>38</v>
      </c>
      <c r="G458" s="2" t="s">
        <v>29</v>
      </c>
    </row>
    <row r="459" spans="1:7">
      <c r="A459" s="2">
        <v>458</v>
      </c>
      <c r="B459" s="2" t="s">
        <v>45</v>
      </c>
      <c r="C459" s="2" t="s">
        <v>22</v>
      </c>
      <c r="D459" s="2">
        <v>21</v>
      </c>
      <c r="E459" s="3">
        <v>84529</v>
      </c>
      <c r="F459" s="2" t="s">
        <v>9</v>
      </c>
      <c r="G459" s="2" t="s">
        <v>10</v>
      </c>
    </row>
    <row r="460" spans="1:7">
      <c r="A460" s="2">
        <v>459</v>
      </c>
      <c r="B460" s="2" t="s">
        <v>61</v>
      </c>
      <c r="C460" s="2" t="s">
        <v>16</v>
      </c>
      <c r="D460" s="2">
        <v>26</v>
      </c>
      <c r="E460" s="3">
        <v>78201</v>
      </c>
      <c r="F460" s="2" t="s">
        <v>25</v>
      </c>
      <c r="G460" s="2" t="s">
        <v>26</v>
      </c>
    </row>
    <row r="461" spans="1:7">
      <c r="A461" s="2">
        <v>460</v>
      </c>
      <c r="B461" s="2" t="s">
        <v>75</v>
      </c>
      <c r="C461" s="2" t="s">
        <v>22</v>
      </c>
      <c r="D461" s="2">
        <v>38</v>
      </c>
      <c r="E461" s="3">
        <v>50819</v>
      </c>
      <c r="F461" s="2" t="s">
        <v>17</v>
      </c>
      <c r="G461" s="2" t="s">
        <v>26</v>
      </c>
    </row>
    <row r="462" spans="1:7">
      <c r="A462" s="2">
        <v>461</v>
      </c>
      <c r="B462" s="2" t="s">
        <v>42</v>
      </c>
      <c r="C462" s="2" t="s">
        <v>16</v>
      </c>
      <c r="D462" s="2">
        <v>41</v>
      </c>
      <c r="E462" s="3">
        <v>93297</v>
      </c>
      <c r="F462" s="2" t="s">
        <v>20</v>
      </c>
      <c r="G462" s="2" t="s">
        <v>26</v>
      </c>
    </row>
    <row r="463" spans="1:7">
      <c r="A463" s="2">
        <v>462</v>
      </c>
      <c r="B463" s="2" t="s">
        <v>92</v>
      </c>
      <c r="C463" s="2" t="s">
        <v>12</v>
      </c>
      <c r="D463" s="2">
        <v>49</v>
      </c>
      <c r="E463" s="3">
        <v>96216</v>
      </c>
      <c r="F463" s="2" t="s">
        <v>32</v>
      </c>
      <c r="G463" s="2" t="s">
        <v>26</v>
      </c>
    </row>
    <row r="464" spans="1:7">
      <c r="A464" s="2">
        <v>463</v>
      </c>
      <c r="B464" s="2" t="s">
        <v>59</v>
      </c>
      <c r="C464" s="2" t="s">
        <v>16</v>
      </c>
      <c r="D464" s="2">
        <v>42</v>
      </c>
      <c r="E464" s="3">
        <v>64077</v>
      </c>
      <c r="F464" s="2" t="s">
        <v>25</v>
      </c>
      <c r="G464" s="2" t="s">
        <v>14</v>
      </c>
    </row>
    <row r="465" spans="1:7">
      <c r="A465" s="2">
        <v>464</v>
      </c>
      <c r="B465" s="2" t="s">
        <v>27</v>
      </c>
      <c r="C465" s="2" t="s">
        <v>22</v>
      </c>
      <c r="D465" s="2">
        <v>44</v>
      </c>
      <c r="E465" s="3">
        <v>45167</v>
      </c>
      <c r="F465" s="2" t="s">
        <v>9</v>
      </c>
      <c r="G465" s="2" t="s">
        <v>26</v>
      </c>
    </row>
    <row r="466" spans="1:7">
      <c r="A466" s="2">
        <v>465</v>
      </c>
      <c r="B466" s="2" t="s">
        <v>69</v>
      </c>
      <c r="C466" s="2" t="s">
        <v>12</v>
      </c>
      <c r="D466" s="2">
        <v>42</v>
      </c>
      <c r="E466" s="3">
        <v>72003</v>
      </c>
      <c r="F466" s="2" t="s">
        <v>20</v>
      </c>
      <c r="G466" s="2" t="s">
        <v>26</v>
      </c>
    </row>
    <row r="467" spans="1:7">
      <c r="A467" s="2">
        <v>466</v>
      </c>
      <c r="B467" s="2" t="s">
        <v>71</v>
      </c>
      <c r="C467" s="2" t="s">
        <v>12</v>
      </c>
      <c r="D467" s="2">
        <v>5</v>
      </c>
      <c r="E467" s="3">
        <v>67099</v>
      </c>
      <c r="F467" s="2" t="s">
        <v>17</v>
      </c>
      <c r="G467" s="2" t="s">
        <v>23</v>
      </c>
    </row>
    <row r="468" spans="1:7">
      <c r="A468" s="2">
        <v>467</v>
      </c>
      <c r="B468" s="2" t="s">
        <v>92</v>
      </c>
      <c r="C468" s="2" t="s">
        <v>16</v>
      </c>
      <c r="D468" s="2">
        <v>20</v>
      </c>
      <c r="E468" s="3">
        <v>93154</v>
      </c>
      <c r="F468" s="2" t="s">
        <v>38</v>
      </c>
      <c r="G468" s="2" t="s">
        <v>23</v>
      </c>
    </row>
    <row r="469" spans="1:7">
      <c r="A469" s="2">
        <v>468</v>
      </c>
      <c r="B469" s="2" t="s">
        <v>60</v>
      </c>
      <c r="C469" s="2" t="s">
        <v>8</v>
      </c>
      <c r="D469" s="2">
        <v>45</v>
      </c>
      <c r="E469" s="3">
        <v>46737</v>
      </c>
      <c r="F469" s="2" t="s">
        <v>38</v>
      </c>
      <c r="G469" s="2" t="s">
        <v>18</v>
      </c>
    </row>
    <row r="470" spans="1:7">
      <c r="A470" s="2">
        <v>469</v>
      </c>
      <c r="B470" s="2" t="s">
        <v>15</v>
      </c>
      <c r="C470" s="2" t="s">
        <v>22</v>
      </c>
      <c r="D470" s="2">
        <v>28</v>
      </c>
      <c r="E470" s="3">
        <v>72184</v>
      </c>
      <c r="F470" s="2" t="s">
        <v>17</v>
      </c>
      <c r="G470" s="2" t="s">
        <v>23</v>
      </c>
    </row>
    <row r="471" spans="1:7">
      <c r="A471" s="2">
        <v>470</v>
      </c>
      <c r="B471" s="2" t="s">
        <v>30</v>
      </c>
      <c r="C471" s="2" t="s">
        <v>22</v>
      </c>
      <c r="D471" s="2">
        <v>47</v>
      </c>
      <c r="E471" s="3">
        <v>58552</v>
      </c>
      <c r="F471" s="2" t="s">
        <v>25</v>
      </c>
      <c r="G471" s="2" t="s">
        <v>14</v>
      </c>
    </row>
    <row r="472" spans="1:7">
      <c r="A472" s="2">
        <v>471</v>
      </c>
      <c r="B472" s="2" t="s">
        <v>70</v>
      </c>
      <c r="C472" s="2" t="s">
        <v>8</v>
      </c>
      <c r="D472" s="2">
        <v>16</v>
      </c>
      <c r="E472" s="3">
        <v>81553</v>
      </c>
      <c r="F472" s="2" t="s">
        <v>20</v>
      </c>
      <c r="G472" s="2" t="s">
        <v>18</v>
      </c>
    </row>
    <row r="473" spans="1:7">
      <c r="A473" s="2">
        <v>472</v>
      </c>
      <c r="B473" s="2" t="s">
        <v>59</v>
      </c>
      <c r="C473" s="2" t="s">
        <v>22</v>
      </c>
      <c r="D473" s="2">
        <v>4</v>
      </c>
      <c r="E473" s="3">
        <v>42440</v>
      </c>
      <c r="F473" s="2" t="s">
        <v>25</v>
      </c>
      <c r="G473" s="2" t="s">
        <v>23</v>
      </c>
    </row>
    <row r="474" spans="1:7">
      <c r="A474" s="2">
        <v>473</v>
      </c>
      <c r="B474" s="2" t="s">
        <v>48</v>
      </c>
      <c r="C474" s="2" t="s">
        <v>8</v>
      </c>
      <c r="D474" s="2">
        <v>16</v>
      </c>
      <c r="E474" s="3">
        <v>97209</v>
      </c>
      <c r="F474" s="2" t="s">
        <v>9</v>
      </c>
      <c r="G474" s="2" t="s">
        <v>14</v>
      </c>
    </row>
    <row r="475" spans="1:7">
      <c r="A475" s="2">
        <v>474</v>
      </c>
      <c r="B475" s="2" t="s">
        <v>82</v>
      </c>
      <c r="C475" s="2" t="s">
        <v>8</v>
      </c>
      <c r="D475" s="2">
        <v>6</v>
      </c>
      <c r="E475" s="3">
        <v>69936</v>
      </c>
      <c r="F475" s="2" t="s">
        <v>32</v>
      </c>
      <c r="G475" s="2" t="s">
        <v>10</v>
      </c>
    </row>
    <row r="476" spans="1:7">
      <c r="A476" s="2">
        <v>475</v>
      </c>
      <c r="B476" s="2" t="s">
        <v>62</v>
      </c>
      <c r="C476" s="2" t="s">
        <v>12</v>
      </c>
      <c r="D476" s="2">
        <v>28</v>
      </c>
      <c r="E476" s="3">
        <v>63744</v>
      </c>
      <c r="F476" s="2" t="s">
        <v>17</v>
      </c>
      <c r="G476" s="2" t="s">
        <v>10</v>
      </c>
    </row>
    <row r="477" spans="1:7">
      <c r="A477" s="2">
        <v>476</v>
      </c>
      <c r="B477" s="2" t="s">
        <v>81</v>
      </c>
      <c r="C477" s="2" t="s">
        <v>12</v>
      </c>
      <c r="D477" s="2">
        <v>8</v>
      </c>
      <c r="E477" s="3">
        <v>62880</v>
      </c>
      <c r="F477" s="2" t="s">
        <v>17</v>
      </c>
      <c r="G477" s="2" t="s">
        <v>23</v>
      </c>
    </row>
    <row r="478" spans="1:7">
      <c r="A478" s="2">
        <v>477</v>
      </c>
      <c r="B478" s="2" t="s">
        <v>83</v>
      </c>
      <c r="C478" s="2" t="s">
        <v>16</v>
      </c>
      <c r="D478" s="2">
        <v>30</v>
      </c>
      <c r="E478" s="3">
        <v>83128</v>
      </c>
      <c r="F478" s="2" t="s">
        <v>9</v>
      </c>
      <c r="G478" s="2" t="s">
        <v>10</v>
      </c>
    </row>
    <row r="479" spans="1:7">
      <c r="A479" s="2">
        <v>478</v>
      </c>
      <c r="B479" s="2" t="s">
        <v>19</v>
      </c>
      <c r="C479" s="2" t="s">
        <v>12</v>
      </c>
      <c r="D479" s="2">
        <v>40</v>
      </c>
      <c r="E479" s="3">
        <v>54214</v>
      </c>
      <c r="F479" s="2" t="s">
        <v>32</v>
      </c>
      <c r="G479" s="2" t="s">
        <v>23</v>
      </c>
    </row>
    <row r="480" spans="1:7">
      <c r="A480" s="2">
        <v>479</v>
      </c>
      <c r="B480" s="2" t="s">
        <v>74</v>
      </c>
      <c r="C480" s="2" t="s">
        <v>8</v>
      </c>
      <c r="D480" s="2">
        <v>39</v>
      </c>
      <c r="E480" s="3">
        <v>57872</v>
      </c>
      <c r="F480" s="2" t="s">
        <v>38</v>
      </c>
      <c r="G480" s="2" t="s">
        <v>26</v>
      </c>
    </row>
    <row r="481" spans="1:7">
      <c r="A481" s="2">
        <v>480</v>
      </c>
      <c r="B481" s="2" t="s">
        <v>74</v>
      </c>
      <c r="C481" s="2" t="s">
        <v>16</v>
      </c>
      <c r="D481" s="2">
        <v>4</v>
      </c>
      <c r="E481" s="3">
        <v>87755</v>
      </c>
      <c r="F481" s="2" t="s">
        <v>13</v>
      </c>
      <c r="G481" s="2" t="s">
        <v>18</v>
      </c>
    </row>
    <row r="482" spans="1:7">
      <c r="A482" s="2">
        <v>481</v>
      </c>
      <c r="B482" s="2" t="s">
        <v>46</v>
      </c>
      <c r="C482" s="2" t="s">
        <v>22</v>
      </c>
      <c r="D482" s="2">
        <v>20</v>
      </c>
      <c r="E482" s="3">
        <v>35824</v>
      </c>
      <c r="F482" s="2" t="s">
        <v>17</v>
      </c>
      <c r="G482" s="2" t="s">
        <v>10</v>
      </c>
    </row>
    <row r="483" spans="1:7">
      <c r="A483" s="2">
        <v>482</v>
      </c>
      <c r="B483" s="2" t="s">
        <v>40</v>
      </c>
      <c r="C483" s="2" t="s">
        <v>8</v>
      </c>
      <c r="D483" s="2">
        <v>43</v>
      </c>
      <c r="E483" s="3">
        <v>37135</v>
      </c>
      <c r="F483" s="2" t="s">
        <v>25</v>
      </c>
      <c r="G483" s="2" t="s">
        <v>18</v>
      </c>
    </row>
    <row r="484" spans="1:7">
      <c r="A484" s="2">
        <v>483</v>
      </c>
      <c r="B484" s="2" t="s">
        <v>93</v>
      </c>
      <c r="C484" s="2" t="s">
        <v>16</v>
      </c>
      <c r="D484" s="2">
        <v>48</v>
      </c>
      <c r="E484" s="3">
        <v>49670</v>
      </c>
      <c r="F484" s="2" t="s">
        <v>28</v>
      </c>
      <c r="G484" s="2" t="s">
        <v>18</v>
      </c>
    </row>
    <row r="485" spans="1:7">
      <c r="A485" s="2">
        <v>484</v>
      </c>
      <c r="B485" s="2" t="s">
        <v>62</v>
      </c>
      <c r="C485" s="2" t="s">
        <v>12</v>
      </c>
      <c r="D485" s="2">
        <v>43</v>
      </c>
      <c r="E485" s="3">
        <v>38249</v>
      </c>
      <c r="F485" s="2" t="s">
        <v>38</v>
      </c>
      <c r="G485" s="2" t="s">
        <v>18</v>
      </c>
    </row>
    <row r="486" spans="1:7">
      <c r="A486" s="2">
        <v>485</v>
      </c>
      <c r="B486" s="2" t="s">
        <v>41</v>
      </c>
      <c r="C486" s="2" t="s">
        <v>8</v>
      </c>
      <c r="D486" s="2">
        <v>48</v>
      </c>
      <c r="E486" s="3">
        <v>59413</v>
      </c>
      <c r="F486" s="2" t="s">
        <v>9</v>
      </c>
      <c r="G486" s="2" t="s">
        <v>29</v>
      </c>
    </row>
    <row r="487" spans="1:7">
      <c r="A487" s="2">
        <v>486</v>
      </c>
      <c r="B487" s="2" t="s">
        <v>30</v>
      </c>
      <c r="C487" s="2" t="s">
        <v>16</v>
      </c>
      <c r="D487" s="2">
        <v>12</v>
      </c>
      <c r="E487" s="3">
        <v>39730</v>
      </c>
      <c r="F487" s="2" t="s">
        <v>9</v>
      </c>
      <c r="G487" s="2" t="s">
        <v>14</v>
      </c>
    </row>
    <row r="488" spans="1:7">
      <c r="A488" s="2">
        <v>487</v>
      </c>
      <c r="B488" s="2" t="s">
        <v>36</v>
      </c>
      <c r="C488" s="2" t="s">
        <v>22</v>
      </c>
      <c r="D488" s="2">
        <v>8</v>
      </c>
      <c r="E488" s="3">
        <v>67023</v>
      </c>
      <c r="F488" s="2" t="s">
        <v>28</v>
      </c>
      <c r="G488" s="2" t="s">
        <v>26</v>
      </c>
    </row>
    <row r="489" spans="1:7">
      <c r="A489" s="2">
        <v>488</v>
      </c>
      <c r="B489" s="2" t="s">
        <v>86</v>
      </c>
      <c r="C489" s="2" t="s">
        <v>8</v>
      </c>
      <c r="D489" s="2">
        <v>1</v>
      </c>
      <c r="E489" s="3">
        <v>58118</v>
      </c>
      <c r="F489" s="2" t="s">
        <v>9</v>
      </c>
      <c r="G489" s="2" t="s">
        <v>23</v>
      </c>
    </row>
    <row r="490" spans="1:7">
      <c r="A490" s="2">
        <v>489</v>
      </c>
      <c r="B490" s="2" t="s">
        <v>44</v>
      </c>
      <c r="C490" s="2" t="s">
        <v>8</v>
      </c>
      <c r="D490" s="2">
        <v>46</v>
      </c>
      <c r="E490" s="3">
        <v>49307</v>
      </c>
      <c r="F490" s="2" t="s">
        <v>32</v>
      </c>
      <c r="G490" s="2" t="s">
        <v>26</v>
      </c>
    </row>
    <row r="491" spans="1:7">
      <c r="A491" s="2">
        <v>490</v>
      </c>
      <c r="B491" s="2" t="s">
        <v>37</v>
      </c>
      <c r="C491" s="2" t="s">
        <v>16</v>
      </c>
      <c r="D491" s="2">
        <v>9</v>
      </c>
      <c r="E491" s="3">
        <v>41183</v>
      </c>
      <c r="F491" s="2" t="s">
        <v>25</v>
      </c>
      <c r="G491" s="2" t="s">
        <v>18</v>
      </c>
    </row>
    <row r="492" spans="1:7">
      <c r="A492" s="2">
        <v>491</v>
      </c>
      <c r="B492" s="2" t="s">
        <v>47</v>
      </c>
      <c r="C492" s="2" t="s">
        <v>16</v>
      </c>
      <c r="D492" s="2">
        <v>45</v>
      </c>
      <c r="E492" s="3">
        <v>95807</v>
      </c>
      <c r="F492" s="2" t="s">
        <v>17</v>
      </c>
      <c r="G492" s="2" t="s">
        <v>26</v>
      </c>
    </row>
    <row r="493" spans="1:7">
      <c r="A493" s="2">
        <v>492</v>
      </c>
      <c r="B493" s="2" t="s">
        <v>71</v>
      </c>
      <c r="C493" s="2" t="s">
        <v>12</v>
      </c>
      <c r="D493" s="2">
        <v>1</v>
      </c>
      <c r="E493" s="3">
        <v>61615</v>
      </c>
      <c r="F493" s="2" t="s">
        <v>17</v>
      </c>
      <c r="G493" s="2" t="s">
        <v>23</v>
      </c>
    </row>
    <row r="494" spans="1:7">
      <c r="A494" s="2">
        <v>493</v>
      </c>
      <c r="B494" s="2" t="s">
        <v>71</v>
      </c>
      <c r="C494" s="2" t="s">
        <v>12</v>
      </c>
      <c r="D494" s="2">
        <v>11</v>
      </c>
      <c r="E494" s="3">
        <v>66950</v>
      </c>
      <c r="F494" s="2" t="s">
        <v>9</v>
      </c>
      <c r="G494" s="2" t="s">
        <v>18</v>
      </c>
    </row>
    <row r="495" spans="1:7">
      <c r="A495" s="2">
        <v>494</v>
      </c>
      <c r="B495" s="2" t="s">
        <v>48</v>
      </c>
      <c r="C495" s="2" t="s">
        <v>8</v>
      </c>
      <c r="D495" s="2">
        <v>32</v>
      </c>
      <c r="E495" s="3">
        <v>35248</v>
      </c>
      <c r="F495" s="2" t="s">
        <v>28</v>
      </c>
      <c r="G495" s="2" t="s">
        <v>14</v>
      </c>
    </row>
    <row r="496" spans="1:7">
      <c r="A496" s="2">
        <v>495</v>
      </c>
      <c r="B496" s="2" t="s">
        <v>78</v>
      </c>
      <c r="C496" s="2" t="s">
        <v>22</v>
      </c>
      <c r="D496" s="2">
        <v>23</v>
      </c>
      <c r="E496" s="3">
        <v>69732</v>
      </c>
      <c r="F496" s="2" t="s">
        <v>25</v>
      </c>
      <c r="G496" s="2" t="s">
        <v>26</v>
      </c>
    </row>
    <row r="497" spans="1:7">
      <c r="A497" s="2">
        <v>496</v>
      </c>
      <c r="B497" s="2" t="s">
        <v>94</v>
      </c>
      <c r="C497" s="2" t="s">
        <v>12</v>
      </c>
      <c r="D497" s="2">
        <v>34</v>
      </c>
      <c r="E497" s="3">
        <v>83703</v>
      </c>
      <c r="F497" s="2" t="s">
        <v>20</v>
      </c>
      <c r="G497" s="2" t="s">
        <v>10</v>
      </c>
    </row>
    <row r="498" spans="1:7">
      <c r="A498" s="2">
        <v>497</v>
      </c>
      <c r="B498" s="2" t="s">
        <v>84</v>
      </c>
      <c r="C498" s="2" t="s">
        <v>22</v>
      </c>
      <c r="D498" s="2">
        <v>34</v>
      </c>
      <c r="E498" s="3">
        <v>68735</v>
      </c>
      <c r="F498" s="2" t="s">
        <v>25</v>
      </c>
      <c r="G498" s="2" t="s">
        <v>23</v>
      </c>
    </row>
    <row r="499" spans="1:7">
      <c r="A499" s="2">
        <v>498</v>
      </c>
      <c r="B499" s="2" t="s">
        <v>64</v>
      </c>
      <c r="C499" s="2" t="s">
        <v>16</v>
      </c>
      <c r="D499" s="2">
        <v>47</v>
      </c>
      <c r="E499" s="3">
        <v>52918</v>
      </c>
      <c r="F499" s="2" t="s">
        <v>9</v>
      </c>
      <c r="G499" s="2" t="s">
        <v>29</v>
      </c>
    </row>
    <row r="500" spans="1:7">
      <c r="A500" s="2">
        <v>499</v>
      </c>
      <c r="B500" s="2" t="s">
        <v>61</v>
      </c>
      <c r="C500" s="2" t="s">
        <v>16</v>
      </c>
      <c r="D500" s="2">
        <v>17</v>
      </c>
      <c r="E500" s="3">
        <v>90219</v>
      </c>
      <c r="F500" s="2" t="s">
        <v>28</v>
      </c>
      <c r="G500" s="2" t="s">
        <v>23</v>
      </c>
    </row>
    <row r="501" spans="1:7">
      <c r="A501" s="2">
        <v>500</v>
      </c>
      <c r="B501" s="2" t="s">
        <v>78</v>
      </c>
      <c r="C501" s="2" t="s">
        <v>12</v>
      </c>
      <c r="D501" s="2">
        <v>11</v>
      </c>
      <c r="E501" s="3">
        <v>84408</v>
      </c>
      <c r="F501" s="2" t="s">
        <v>28</v>
      </c>
      <c r="G501" s="2" t="s">
        <v>14</v>
      </c>
    </row>
    <row r="502" spans="1:7">
      <c r="A502" s="2">
        <v>501</v>
      </c>
      <c r="B502" s="2" t="s">
        <v>50</v>
      </c>
      <c r="C502" s="2" t="s">
        <v>8</v>
      </c>
      <c r="D502" s="2">
        <v>24</v>
      </c>
      <c r="E502" s="3">
        <v>45425</v>
      </c>
      <c r="F502" s="2" t="s">
        <v>17</v>
      </c>
      <c r="G502" s="2" t="s">
        <v>26</v>
      </c>
    </row>
    <row r="503" spans="1:7">
      <c r="A503" s="2">
        <v>502</v>
      </c>
      <c r="B503" s="2" t="s">
        <v>7</v>
      </c>
      <c r="C503" s="2" t="s">
        <v>16</v>
      </c>
      <c r="D503" s="2">
        <v>9</v>
      </c>
      <c r="E503" s="3">
        <v>49359</v>
      </c>
      <c r="F503" s="2" t="s">
        <v>9</v>
      </c>
      <c r="G503" s="2" t="s">
        <v>18</v>
      </c>
    </row>
    <row r="504" spans="1:7">
      <c r="A504" s="2">
        <v>503</v>
      </c>
      <c r="B504" s="2" t="s">
        <v>86</v>
      </c>
      <c r="C504" s="2" t="s">
        <v>22</v>
      </c>
      <c r="D504" s="2">
        <v>48</v>
      </c>
      <c r="E504" s="3">
        <v>77253</v>
      </c>
      <c r="F504" s="2" t="s">
        <v>38</v>
      </c>
      <c r="G504" s="2" t="s">
        <v>26</v>
      </c>
    </row>
    <row r="505" spans="1:7">
      <c r="A505" s="2">
        <v>504</v>
      </c>
      <c r="B505" s="2" t="s">
        <v>81</v>
      </c>
      <c r="C505" s="2" t="s">
        <v>8</v>
      </c>
      <c r="D505" s="2">
        <v>50</v>
      </c>
      <c r="E505" s="3">
        <v>85693</v>
      </c>
      <c r="F505" s="2" t="s">
        <v>13</v>
      </c>
      <c r="G505" s="2" t="s">
        <v>23</v>
      </c>
    </row>
    <row r="506" spans="1:7">
      <c r="A506" s="2">
        <v>505</v>
      </c>
      <c r="B506" s="2" t="s">
        <v>71</v>
      </c>
      <c r="C506" s="2" t="s">
        <v>12</v>
      </c>
      <c r="D506" s="2">
        <v>18</v>
      </c>
      <c r="E506" s="3">
        <v>65093</v>
      </c>
      <c r="F506" s="2" t="s">
        <v>25</v>
      </c>
      <c r="G506" s="2" t="s">
        <v>14</v>
      </c>
    </row>
    <row r="507" spans="1:7">
      <c r="A507" s="2">
        <v>506</v>
      </c>
      <c r="B507" s="2" t="s">
        <v>67</v>
      </c>
      <c r="C507" s="2" t="s">
        <v>16</v>
      </c>
      <c r="D507" s="2">
        <v>47</v>
      </c>
      <c r="E507" s="3">
        <v>91759</v>
      </c>
      <c r="F507" s="2" t="s">
        <v>38</v>
      </c>
      <c r="G507" s="2" t="s">
        <v>18</v>
      </c>
    </row>
    <row r="508" spans="1:7">
      <c r="A508" s="2">
        <v>507</v>
      </c>
      <c r="B508" s="2" t="s">
        <v>65</v>
      </c>
      <c r="C508" s="2" t="s">
        <v>12</v>
      </c>
      <c r="D508" s="2">
        <v>8</v>
      </c>
      <c r="E508" s="3">
        <v>56812</v>
      </c>
      <c r="F508" s="2" t="s">
        <v>17</v>
      </c>
      <c r="G508" s="2" t="s">
        <v>10</v>
      </c>
    </row>
    <row r="509" spans="1:7">
      <c r="A509" s="2">
        <v>508</v>
      </c>
      <c r="B509" s="2" t="s">
        <v>19</v>
      </c>
      <c r="C509" s="2" t="s">
        <v>8</v>
      </c>
      <c r="D509" s="2">
        <v>50</v>
      </c>
      <c r="E509" s="3">
        <v>77603</v>
      </c>
      <c r="F509" s="2" t="s">
        <v>32</v>
      </c>
      <c r="G509" s="2" t="s">
        <v>14</v>
      </c>
    </row>
    <row r="510" spans="1:7">
      <c r="A510" s="2">
        <v>509</v>
      </c>
      <c r="B510" s="2" t="s">
        <v>49</v>
      </c>
      <c r="C510" s="2" t="s">
        <v>8</v>
      </c>
      <c r="D510" s="2">
        <v>2</v>
      </c>
      <c r="E510" s="3">
        <v>75496</v>
      </c>
      <c r="F510" s="2" t="s">
        <v>17</v>
      </c>
      <c r="G510" s="2" t="s">
        <v>29</v>
      </c>
    </row>
    <row r="511" spans="1:7">
      <c r="A511" s="2">
        <v>510</v>
      </c>
      <c r="B511" s="2" t="s">
        <v>80</v>
      </c>
      <c r="C511" s="2" t="s">
        <v>8</v>
      </c>
      <c r="D511" s="2">
        <v>22</v>
      </c>
      <c r="E511" s="3">
        <v>75882</v>
      </c>
      <c r="F511" s="2" t="s">
        <v>20</v>
      </c>
      <c r="G511" s="2" t="s">
        <v>23</v>
      </c>
    </row>
    <row r="512" spans="1:7">
      <c r="A512" s="2">
        <v>511</v>
      </c>
      <c r="B512" s="2" t="s">
        <v>64</v>
      </c>
      <c r="C512" s="2" t="s">
        <v>22</v>
      </c>
      <c r="D512" s="2">
        <v>28</v>
      </c>
      <c r="E512" s="3">
        <v>91179</v>
      </c>
      <c r="F512" s="2" t="s">
        <v>13</v>
      </c>
      <c r="G512" s="2" t="s">
        <v>14</v>
      </c>
    </row>
    <row r="513" spans="1:7">
      <c r="A513" s="2">
        <v>512</v>
      </c>
      <c r="B513" s="2" t="s">
        <v>83</v>
      </c>
      <c r="C513" s="2" t="s">
        <v>8</v>
      </c>
      <c r="D513" s="2">
        <v>18</v>
      </c>
      <c r="E513" s="3">
        <v>84959</v>
      </c>
      <c r="F513" s="2" t="s">
        <v>32</v>
      </c>
      <c r="G513" s="2" t="s">
        <v>18</v>
      </c>
    </row>
    <row r="514" spans="1:7">
      <c r="A514" s="2">
        <v>513</v>
      </c>
      <c r="B514" s="2" t="s">
        <v>11</v>
      </c>
      <c r="C514" s="2" t="s">
        <v>8</v>
      </c>
      <c r="D514" s="2">
        <v>34</v>
      </c>
      <c r="E514" s="3">
        <v>76373</v>
      </c>
      <c r="F514" s="2" t="s">
        <v>9</v>
      </c>
      <c r="G514" s="2" t="s">
        <v>18</v>
      </c>
    </row>
    <row r="515" spans="1:7">
      <c r="A515" s="2">
        <v>514</v>
      </c>
      <c r="B515" s="2" t="s">
        <v>11</v>
      </c>
      <c r="C515" s="2" t="s">
        <v>16</v>
      </c>
      <c r="D515" s="2">
        <v>5</v>
      </c>
      <c r="E515" s="3">
        <v>57822</v>
      </c>
      <c r="F515" s="2" t="s">
        <v>25</v>
      </c>
      <c r="G515" s="2" t="s">
        <v>29</v>
      </c>
    </row>
    <row r="516" spans="1:7">
      <c r="A516" s="2">
        <v>515</v>
      </c>
      <c r="B516" s="2" t="s">
        <v>37</v>
      </c>
      <c r="C516" s="2" t="s">
        <v>22</v>
      </c>
      <c r="D516" s="2">
        <v>17</v>
      </c>
      <c r="E516" s="3">
        <v>74791</v>
      </c>
      <c r="F516" s="2" t="s">
        <v>28</v>
      </c>
      <c r="G516" s="2" t="s">
        <v>23</v>
      </c>
    </row>
    <row r="517" spans="1:7">
      <c r="A517" s="2">
        <v>516</v>
      </c>
      <c r="B517" s="2" t="s">
        <v>73</v>
      </c>
      <c r="C517" s="2" t="s">
        <v>22</v>
      </c>
      <c r="D517" s="2">
        <v>46</v>
      </c>
      <c r="E517" s="3">
        <v>68651</v>
      </c>
      <c r="F517" s="2" t="s">
        <v>17</v>
      </c>
      <c r="G517" s="2" t="s">
        <v>18</v>
      </c>
    </row>
    <row r="518" spans="1:7">
      <c r="A518" s="2">
        <v>517</v>
      </c>
      <c r="B518" s="2" t="s">
        <v>33</v>
      </c>
      <c r="C518" s="2" t="s">
        <v>12</v>
      </c>
      <c r="D518" s="2">
        <v>37</v>
      </c>
      <c r="E518" s="3">
        <v>55349</v>
      </c>
      <c r="F518" s="2" t="s">
        <v>13</v>
      </c>
      <c r="G518" s="2" t="s">
        <v>18</v>
      </c>
    </row>
    <row r="519" spans="1:7">
      <c r="A519" s="2">
        <v>518</v>
      </c>
      <c r="B519" s="2" t="s">
        <v>60</v>
      </c>
      <c r="C519" s="2" t="s">
        <v>8</v>
      </c>
      <c r="D519" s="2">
        <v>41</v>
      </c>
      <c r="E519" s="3">
        <v>90580</v>
      </c>
      <c r="F519" s="2" t="s">
        <v>17</v>
      </c>
      <c r="G519" s="2" t="s">
        <v>18</v>
      </c>
    </row>
    <row r="520" spans="1:7">
      <c r="A520" s="2">
        <v>519</v>
      </c>
      <c r="B520" s="2" t="s">
        <v>94</v>
      </c>
      <c r="C520" s="2" t="s">
        <v>16</v>
      </c>
      <c r="D520" s="2">
        <v>5</v>
      </c>
      <c r="E520" s="3">
        <v>85240</v>
      </c>
      <c r="F520" s="2" t="s">
        <v>20</v>
      </c>
      <c r="G520" s="2" t="s">
        <v>14</v>
      </c>
    </row>
    <row r="521" spans="1:7">
      <c r="A521" s="2">
        <v>520</v>
      </c>
      <c r="B521" s="2" t="s">
        <v>59</v>
      </c>
      <c r="C521" s="2" t="s">
        <v>12</v>
      </c>
      <c r="D521" s="2">
        <v>32</v>
      </c>
      <c r="E521" s="3">
        <v>80364</v>
      </c>
      <c r="F521" s="2" t="s">
        <v>20</v>
      </c>
      <c r="G521" s="2" t="s">
        <v>26</v>
      </c>
    </row>
    <row r="522" spans="1:7">
      <c r="A522" s="2">
        <v>521</v>
      </c>
      <c r="B522" s="2" t="s">
        <v>40</v>
      </c>
      <c r="C522" s="2" t="s">
        <v>8</v>
      </c>
      <c r="D522" s="2">
        <v>30</v>
      </c>
      <c r="E522" s="3">
        <v>59766</v>
      </c>
      <c r="F522" s="2" t="s">
        <v>20</v>
      </c>
      <c r="G522" s="2" t="s">
        <v>14</v>
      </c>
    </row>
    <row r="523" spans="1:7">
      <c r="A523" s="2">
        <v>522</v>
      </c>
      <c r="B523" s="2" t="s">
        <v>21</v>
      </c>
      <c r="C523" s="2" t="s">
        <v>22</v>
      </c>
      <c r="D523" s="2">
        <v>33</v>
      </c>
      <c r="E523" s="3">
        <v>37650</v>
      </c>
      <c r="F523" s="2" t="s">
        <v>38</v>
      </c>
      <c r="G523" s="2" t="s">
        <v>23</v>
      </c>
    </row>
    <row r="524" spans="1:7">
      <c r="A524" s="2">
        <v>523</v>
      </c>
      <c r="B524" s="2" t="s">
        <v>79</v>
      </c>
      <c r="C524" s="2" t="s">
        <v>8</v>
      </c>
      <c r="D524" s="2">
        <v>24</v>
      </c>
      <c r="E524" s="3">
        <v>92025</v>
      </c>
      <c r="F524" s="2" t="s">
        <v>25</v>
      </c>
      <c r="G524" s="2" t="s">
        <v>29</v>
      </c>
    </row>
    <row r="525" spans="1:7">
      <c r="A525" s="2">
        <v>524</v>
      </c>
      <c r="B525" s="2" t="s">
        <v>78</v>
      </c>
      <c r="C525" s="2" t="s">
        <v>8</v>
      </c>
      <c r="D525" s="2">
        <v>4</v>
      </c>
      <c r="E525" s="3">
        <v>26303</v>
      </c>
      <c r="F525" s="2" t="s">
        <v>25</v>
      </c>
      <c r="G525" s="2" t="s">
        <v>23</v>
      </c>
    </row>
    <row r="526" spans="1:7">
      <c r="A526" s="2">
        <v>525</v>
      </c>
      <c r="B526" s="2" t="s">
        <v>82</v>
      </c>
      <c r="C526" s="2" t="s">
        <v>16</v>
      </c>
      <c r="D526" s="2">
        <v>32</v>
      </c>
      <c r="E526" s="3">
        <v>55668</v>
      </c>
      <c r="F526" s="2" t="s">
        <v>38</v>
      </c>
      <c r="G526" s="2" t="s">
        <v>26</v>
      </c>
    </row>
    <row r="527" spans="1:7">
      <c r="A527" s="2">
        <v>526</v>
      </c>
      <c r="B527" s="2" t="s">
        <v>64</v>
      </c>
      <c r="C527" s="2" t="s">
        <v>16</v>
      </c>
      <c r="D527" s="2">
        <v>37</v>
      </c>
      <c r="E527" s="3">
        <v>79334</v>
      </c>
      <c r="F527" s="2" t="s">
        <v>32</v>
      </c>
      <c r="G527" s="2" t="s">
        <v>29</v>
      </c>
    </row>
    <row r="528" spans="1:7">
      <c r="A528" s="2">
        <v>527</v>
      </c>
      <c r="B528" s="2" t="s">
        <v>50</v>
      </c>
      <c r="C528" s="2" t="s">
        <v>16</v>
      </c>
      <c r="D528" s="2">
        <v>11</v>
      </c>
      <c r="E528" s="3">
        <v>38842</v>
      </c>
      <c r="F528" s="2" t="s">
        <v>20</v>
      </c>
      <c r="G528" s="2" t="s">
        <v>26</v>
      </c>
    </row>
    <row r="529" spans="1:7">
      <c r="A529" s="2">
        <v>528</v>
      </c>
      <c r="B529" s="2" t="s">
        <v>76</v>
      </c>
      <c r="C529" s="2" t="s">
        <v>12</v>
      </c>
      <c r="D529" s="2">
        <v>24</v>
      </c>
      <c r="E529" s="3">
        <v>36596</v>
      </c>
      <c r="F529" s="2" t="s">
        <v>9</v>
      </c>
      <c r="G529" s="2" t="s">
        <v>10</v>
      </c>
    </row>
    <row r="530" spans="1:7">
      <c r="A530" s="2">
        <v>529</v>
      </c>
      <c r="B530" s="2" t="s">
        <v>27</v>
      </c>
      <c r="C530" s="2" t="s">
        <v>16</v>
      </c>
      <c r="D530" s="2">
        <v>11</v>
      </c>
      <c r="E530" s="3">
        <v>29286</v>
      </c>
      <c r="F530" s="2" t="s">
        <v>32</v>
      </c>
      <c r="G530" s="2" t="s">
        <v>18</v>
      </c>
    </row>
    <row r="531" spans="1:7">
      <c r="A531" s="2">
        <v>530</v>
      </c>
      <c r="B531" s="2" t="s">
        <v>47</v>
      </c>
      <c r="C531" s="2" t="s">
        <v>12</v>
      </c>
      <c r="D531" s="2">
        <v>17</v>
      </c>
      <c r="E531" s="3">
        <v>61575</v>
      </c>
      <c r="F531" s="2" t="s">
        <v>20</v>
      </c>
      <c r="G531" s="2" t="s">
        <v>29</v>
      </c>
    </row>
    <row r="532" spans="1:7">
      <c r="A532" s="2">
        <v>531</v>
      </c>
      <c r="B532" s="2" t="s">
        <v>64</v>
      </c>
      <c r="C532" s="2" t="s">
        <v>8</v>
      </c>
      <c r="D532" s="2">
        <v>50</v>
      </c>
      <c r="E532" s="3">
        <v>98320</v>
      </c>
      <c r="F532" s="2" t="s">
        <v>38</v>
      </c>
      <c r="G532" s="2" t="s">
        <v>18</v>
      </c>
    </row>
    <row r="533" spans="1:7">
      <c r="A533" s="2">
        <v>532</v>
      </c>
      <c r="B533" s="2" t="s">
        <v>46</v>
      </c>
      <c r="C533" s="2" t="s">
        <v>12</v>
      </c>
      <c r="D533" s="2">
        <v>7</v>
      </c>
      <c r="E533" s="3">
        <v>36375</v>
      </c>
      <c r="F533" s="2" t="s">
        <v>13</v>
      </c>
      <c r="G533" s="2" t="s">
        <v>26</v>
      </c>
    </row>
    <row r="534" spans="1:7">
      <c r="A534" s="2">
        <v>533</v>
      </c>
      <c r="B534" s="2" t="s">
        <v>81</v>
      </c>
      <c r="C534" s="2" t="s">
        <v>12</v>
      </c>
      <c r="D534" s="2">
        <v>37</v>
      </c>
      <c r="E534" s="3">
        <v>90916</v>
      </c>
      <c r="F534" s="2" t="s">
        <v>9</v>
      </c>
      <c r="G534" s="2" t="s">
        <v>29</v>
      </c>
    </row>
    <row r="535" spans="1:7">
      <c r="A535" s="2">
        <v>534</v>
      </c>
      <c r="B535" s="2" t="s">
        <v>94</v>
      </c>
      <c r="C535" s="2" t="s">
        <v>16</v>
      </c>
      <c r="D535" s="2">
        <v>44</v>
      </c>
      <c r="E535" s="3">
        <v>29614</v>
      </c>
      <c r="F535" s="2" t="s">
        <v>28</v>
      </c>
      <c r="G535" s="2" t="s">
        <v>10</v>
      </c>
    </row>
    <row r="536" spans="1:7">
      <c r="A536" s="2">
        <v>535</v>
      </c>
      <c r="B536" s="2" t="s">
        <v>89</v>
      </c>
      <c r="C536" s="2" t="s">
        <v>16</v>
      </c>
      <c r="D536" s="2">
        <v>47</v>
      </c>
      <c r="E536" s="3">
        <v>30280</v>
      </c>
      <c r="F536" s="2" t="s">
        <v>38</v>
      </c>
      <c r="G536" s="2" t="s">
        <v>29</v>
      </c>
    </row>
    <row r="537" spans="1:7">
      <c r="A537" s="2">
        <v>536</v>
      </c>
      <c r="B537" s="2" t="s">
        <v>75</v>
      </c>
      <c r="C537" s="2" t="s">
        <v>22</v>
      </c>
      <c r="D537" s="2">
        <v>8</v>
      </c>
      <c r="E537" s="3">
        <v>40452</v>
      </c>
      <c r="F537" s="2" t="s">
        <v>17</v>
      </c>
      <c r="G537" s="2" t="s">
        <v>23</v>
      </c>
    </row>
    <row r="538" spans="1:7">
      <c r="A538" s="2">
        <v>537</v>
      </c>
      <c r="B538" s="2" t="s">
        <v>37</v>
      </c>
      <c r="C538" s="2" t="s">
        <v>12</v>
      </c>
      <c r="D538" s="2">
        <v>15</v>
      </c>
      <c r="E538" s="3">
        <v>73087</v>
      </c>
      <c r="F538" s="2" t="s">
        <v>32</v>
      </c>
      <c r="G538" s="2" t="s">
        <v>14</v>
      </c>
    </row>
    <row r="539" spans="1:7">
      <c r="A539" s="2">
        <v>538</v>
      </c>
      <c r="B539" s="2" t="s">
        <v>7</v>
      </c>
      <c r="C539" s="2" t="s">
        <v>8</v>
      </c>
      <c r="D539" s="2">
        <v>48</v>
      </c>
      <c r="E539" s="3">
        <v>41300</v>
      </c>
      <c r="F539" s="2" t="s">
        <v>20</v>
      </c>
      <c r="G539" s="2" t="s">
        <v>18</v>
      </c>
    </row>
    <row r="540" spans="1:7">
      <c r="A540" s="2">
        <v>539</v>
      </c>
      <c r="B540" s="2" t="s">
        <v>94</v>
      </c>
      <c r="C540" s="2" t="s">
        <v>22</v>
      </c>
      <c r="D540" s="2">
        <v>33</v>
      </c>
      <c r="E540" s="3">
        <v>36819</v>
      </c>
      <c r="F540" s="2" t="s">
        <v>38</v>
      </c>
      <c r="G540" s="2" t="s">
        <v>14</v>
      </c>
    </row>
    <row r="541" spans="1:7">
      <c r="A541" s="2">
        <v>540</v>
      </c>
      <c r="B541" s="2" t="s">
        <v>24</v>
      </c>
      <c r="C541" s="2" t="s">
        <v>22</v>
      </c>
      <c r="D541" s="2">
        <v>1</v>
      </c>
      <c r="E541" s="3">
        <v>97304</v>
      </c>
      <c r="F541" s="2" t="s">
        <v>32</v>
      </c>
      <c r="G541" s="2" t="s">
        <v>29</v>
      </c>
    </row>
    <row r="542" spans="1:7">
      <c r="A542" s="2">
        <v>541</v>
      </c>
      <c r="B542" s="2" t="s">
        <v>88</v>
      </c>
      <c r="C542" s="2" t="s">
        <v>22</v>
      </c>
      <c r="D542" s="2">
        <v>3</v>
      </c>
      <c r="E542" s="3">
        <v>76299</v>
      </c>
      <c r="F542" s="2" t="s">
        <v>9</v>
      </c>
      <c r="G542" s="2" t="s">
        <v>23</v>
      </c>
    </row>
    <row r="543" spans="1:7">
      <c r="A543" s="2">
        <v>542</v>
      </c>
      <c r="B543" s="2" t="s">
        <v>87</v>
      </c>
      <c r="C543" s="2" t="s">
        <v>16</v>
      </c>
      <c r="D543" s="2">
        <v>1</v>
      </c>
      <c r="E543" s="3">
        <v>32137</v>
      </c>
      <c r="F543" s="2" t="s">
        <v>20</v>
      </c>
      <c r="G543" s="2" t="s">
        <v>29</v>
      </c>
    </row>
    <row r="544" spans="1:7">
      <c r="A544" s="2">
        <v>543</v>
      </c>
      <c r="B544" s="2" t="s">
        <v>87</v>
      </c>
      <c r="C544" s="2" t="s">
        <v>16</v>
      </c>
      <c r="D544" s="2">
        <v>16</v>
      </c>
      <c r="E544" s="3">
        <v>85083</v>
      </c>
      <c r="F544" s="2" t="s">
        <v>9</v>
      </c>
      <c r="G544" s="2" t="s">
        <v>10</v>
      </c>
    </row>
    <row r="545" spans="1:7">
      <c r="A545" s="2">
        <v>544</v>
      </c>
      <c r="B545" s="2" t="s">
        <v>93</v>
      </c>
      <c r="C545" s="2" t="s">
        <v>16</v>
      </c>
      <c r="D545" s="2">
        <v>3</v>
      </c>
      <c r="E545" s="3">
        <v>93655</v>
      </c>
      <c r="F545" s="2" t="s">
        <v>38</v>
      </c>
      <c r="G545" s="2" t="s">
        <v>10</v>
      </c>
    </row>
    <row r="546" spans="1:7">
      <c r="A546" s="2">
        <v>545</v>
      </c>
      <c r="B546" s="2" t="s">
        <v>48</v>
      </c>
      <c r="C546" s="2" t="s">
        <v>8</v>
      </c>
      <c r="D546" s="2">
        <v>31</v>
      </c>
      <c r="E546" s="3">
        <v>90693</v>
      </c>
      <c r="F546" s="2" t="s">
        <v>17</v>
      </c>
      <c r="G546" s="2" t="s">
        <v>10</v>
      </c>
    </row>
    <row r="547" spans="1:7">
      <c r="A547" s="2">
        <v>546</v>
      </c>
      <c r="B547" s="2" t="s">
        <v>43</v>
      </c>
      <c r="C547" s="2" t="s">
        <v>12</v>
      </c>
      <c r="D547" s="2">
        <v>24</v>
      </c>
      <c r="E547" s="3">
        <v>39973</v>
      </c>
      <c r="F547" s="2" t="s">
        <v>13</v>
      </c>
      <c r="G547" s="2" t="s">
        <v>29</v>
      </c>
    </row>
    <row r="548" spans="1:7">
      <c r="A548" s="2">
        <v>547</v>
      </c>
      <c r="B548" s="2" t="s">
        <v>54</v>
      </c>
      <c r="C548" s="2" t="s">
        <v>22</v>
      </c>
      <c r="D548" s="2">
        <v>25</v>
      </c>
      <c r="E548" s="3">
        <v>89748</v>
      </c>
      <c r="F548" s="2" t="s">
        <v>17</v>
      </c>
      <c r="G548" s="2" t="s">
        <v>26</v>
      </c>
    </row>
    <row r="549" spans="1:7">
      <c r="A549" s="2">
        <v>548</v>
      </c>
      <c r="B549" s="2" t="s">
        <v>57</v>
      </c>
      <c r="C549" s="2" t="s">
        <v>16</v>
      </c>
      <c r="D549" s="2">
        <v>10</v>
      </c>
      <c r="E549" s="3">
        <v>64646</v>
      </c>
      <c r="F549" s="2" t="s">
        <v>38</v>
      </c>
      <c r="G549" s="2" t="s">
        <v>10</v>
      </c>
    </row>
    <row r="550" spans="1:7">
      <c r="A550" s="2">
        <v>549</v>
      </c>
      <c r="B550" s="2" t="s">
        <v>79</v>
      </c>
      <c r="C550" s="2" t="s">
        <v>12</v>
      </c>
      <c r="D550" s="2">
        <v>12</v>
      </c>
      <c r="E550" s="3">
        <v>76522</v>
      </c>
      <c r="F550" s="2" t="s">
        <v>28</v>
      </c>
      <c r="G550" s="2" t="s">
        <v>26</v>
      </c>
    </row>
    <row r="551" spans="1:7">
      <c r="A551" s="2">
        <v>550</v>
      </c>
      <c r="B551" s="2" t="s">
        <v>39</v>
      </c>
      <c r="C551" s="2" t="s">
        <v>22</v>
      </c>
      <c r="D551" s="2">
        <v>3</v>
      </c>
      <c r="E551" s="3">
        <v>99360</v>
      </c>
      <c r="F551" s="2" t="s">
        <v>38</v>
      </c>
      <c r="G551" s="2" t="s">
        <v>26</v>
      </c>
    </row>
    <row r="552" spans="1:7">
      <c r="A552" s="2">
        <v>551</v>
      </c>
      <c r="B552" s="2" t="s">
        <v>88</v>
      </c>
      <c r="C552" s="2" t="s">
        <v>12</v>
      </c>
      <c r="D552" s="2">
        <v>36</v>
      </c>
      <c r="E552" s="3">
        <v>36497</v>
      </c>
      <c r="F552" s="2" t="s">
        <v>20</v>
      </c>
      <c r="G552" s="2" t="s">
        <v>29</v>
      </c>
    </row>
    <row r="553" spans="1:7">
      <c r="A553" s="2">
        <v>552</v>
      </c>
      <c r="B553" s="2" t="s">
        <v>50</v>
      </c>
      <c r="C553" s="2" t="s">
        <v>22</v>
      </c>
      <c r="D553" s="2">
        <v>46</v>
      </c>
      <c r="E553" s="3">
        <v>91104</v>
      </c>
      <c r="F553" s="2" t="s">
        <v>28</v>
      </c>
      <c r="G553" s="2" t="s">
        <v>29</v>
      </c>
    </row>
    <row r="554" spans="1:7">
      <c r="A554" s="2">
        <v>553</v>
      </c>
      <c r="B554" s="2" t="s">
        <v>94</v>
      </c>
      <c r="C554" s="2" t="s">
        <v>12</v>
      </c>
      <c r="D554" s="2">
        <v>48</v>
      </c>
      <c r="E554" s="3">
        <v>43921</v>
      </c>
      <c r="F554" s="2" t="s">
        <v>20</v>
      </c>
      <c r="G554" s="2" t="s">
        <v>23</v>
      </c>
    </row>
    <row r="555" spans="1:7">
      <c r="A555" s="2">
        <v>554</v>
      </c>
      <c r="B555" s="2" t="s">
        <v>73</v>
      </c>
      <c r="C555" s="2" t="s">
        <v>16</v>
      </c>
      <c r="D555" s="2">
        <v>42</v>
      </c>
      <c r="E555" s="3">
        <v>93215</v>
      </c>
      <c r="F555" s="2" t="s">
        <v>32</v>
      </c>
      <c r="G555" s="2" t="s">
        <v>26</v>
      </c>
    </row>
    <row r="556" spans="1:7">
      <c r="A556" s="2">
        <v>555</v>
      </c>
      <c r="B556" s="2" t="s">
        <v>15</v>
      </c>
      <c r="C556" s="2" t="s">
        <v>12</v>
      </c>
      <c r="D556" s="2">
        <v>27</v>
      </c>
      <c r="E556" s="3">
        <v>72467</v>
      </c>
      <c r="F556" s="2" t="s">
        <v>20</v>
      </c>
      <c r="G556" s="2" t="s">
        <v>18</v>
      </c>
    </row>
    <row r="557" spans="1:7">
      <c r="A557" s="2">
        <v>556</v>
      </c>
      <c r="B557" s="2" t="s">
        <v>21</v>
      </c>
      <c r="C557" s="2" t="s">
        <v>12</v>
      </c>
      <c r="D557" s="2">
        <v>15</v>
      </c>
      <c r="E557" s="3">
        <v>73063</v>
      </c>
      <c r="F557" s="2" t="s">
        <v>20</v>
      </c>
      <c r="G557" s="2" t="s">
        <v>14</v>
      </c>
    </row>
    <row r="558" spans="1:7">
      <c r="A558" s="2">
        <v>557</v>
      </c>
      <c r="B558" s="2" t="s">
        <v>86</v>
      </c>
      <c r="C558" s="2" t="s">
        <v>22</v>
      </c>
      <c r="D558" s="2">
        <v>21</v>
      </c>
      <c r="E558" s="3">
        <v>66942</v>
      </c>
      <c r="F558" s="2" t="s">
        <v>32</v>
      </c>
      <c r="G558" s="2" t="s">
        <v>26</v>
      </c>
    </row>
    <row r="559" spans="1:7">
      <c r="A559" s="2">
        <v>558</v>
      </c>
      <c r="B559" s="2" t="s">
        <v>39</v>
      </c>
      <c r="C559" s="2" t="s">
        <v>12</v>
      </c>
      <c r="D559" s="2">
        <v>16</v>
      </c>
      <c r="E559" s="3">
        <v>35441</v>
      </c>
      <c r="F559" s="2" t="s">
        <v>13</v>
      </c>
      <c r="G559" s="2" t="s">
        <v>18</v>
      </c>
    </row>
    <row r="560" spans="1:7">
      <c r="A560" s="2">
        <v>559</v>
      </c>
      <c r="B560" s="2" t="s">
        <v>56</v>
      </c>
      <c r="C560" s="2" t="s">
        <v>8</v>
      </c>
      <c r="D560" s="2">
        <v>27</v>
      </c>
      <c r="E560" s="3">
        <v>74626</v>
      </c>
      <c r="F560" s="2" t="s">
        <v>32</v>
      </c>
      <c r="G560" s="2" t="s">
        <v>14</v>
      </c>
    </row>
    <row r="561" spans="1:7">
      <c r="A561" s="2">
        <v>560</v>
      </c>
      <c r="B561" s="2" t="s">
        <v>19</v>
      </c>
      <c r="C561" s="2" t="s">
        <v>22</v>
      </c>
      <c r="D561" s="2">
        <v>47</v>
      </c>
      <c r="E561" s="3">
        <v>28491</v>
      </c>
      <c r="F561" s="2" t="s">
        <v>32</v>
      </c>
      <c r="G561" s="2" t="s">
        <v>14</v>
      </c>
    </row>
    <row r="562" spans="1:7">
      <c r="A562" s="2">
        <v>561</v>
      </c>
      <c r="B562" s="2" t="s">
        <v>70</v>
      </c>
      <c r="C562" s="2" t="s">
        <v>12</v>
      </c>
      <c r="D562" s="2">
        <v>21</v>
      </c>
      <c r="E562" s="3">
        <v>33673</v>
      </c>
      <c r="F562" s="2" t="s">
        <v>32</v>
      </c>
      <c r="G562" s="2" t="s">
        <v>29</v>
      </c>
    </row>
    <row r="563" spans="1:7">
      <c r="A563" s="2">
        <v>562</v>
      </c>
      <c r="B563" s="2" t="s">
        <v>73</v>
      </c>
      <c r="C563" s="2" t="s">
        <v>8</v>
      </c>
      <c r="D563" s="2">
        <v>18</v>
      </c>
      <c r="E563" s="3">
        <v>48239</v>
      </c>
      <c r="F563" s="2" t="s">
        <v>25</v>
      </c>
      <c r="G563" s="2" t="s">
        <v>10</v>
      </c>
    </row>
    <row r="564" spans="1:7">
      <c r="A564" s="2">
        <v>563</v>
      </c>
      <c r="B564" s="2" t="s">
        <v>31</v>
      </c>
      <c r="C564" s="2" t="s">
        <v>22</v>
      </c>
      <c r="D564" s="2">
        <v>5</v>
      </c>
      <c r="E564" s="3">
        <v>34831</v>
      </c>
      <c r="F564" s="2" t="s">
        <v>13</v>
      </c>
      <c r="G564" s="2" t="s">
        <v>10</v>
      </c>
    </row>
    <row r="565" spans="1:7">
      <c r="A565" s="2">
        <v>564</v>
      </c>
      <c r="B565" s="2" t="s">
        <v>70</v>
      </c>
      <c r="C565" s="2" t="s">
        <v>16</v>
      </c>
      <c r="D565" s="2">
        <v>37</v>
      </c>
      <c r="E565" s="3">
        <v>57389</v>
      </c>
      <c r="F565" s="2" t="s">
        <v>20</v>
      </c>
      <c r="G565" s="2" t="s">
        <v>10</v>
      </c>
    </row>
    <row r="566" spans="1:7">
      <c r="A566" s="2">
        <v>565</v>
      </c>
      <c r="B566" s="2" t="s">
        <v>21</v>
      </c>
      <c r="C566" s="2" t="s">
        <v>22</v>
      </c>
      <c r="D566" s="2">
        <v>24</v>
      </c>
      <c r="E566" s="3">
        <v>71636</v>
      </c>
      <c r="F566" s="2" t="s">
        <v>17</v>
      </c>
      <c r="G566" s="2" t="s">
        <v>18</v>
      </c>
    </row>
    <row r="567" spans="1:7">
      <c r="A567" s="2">
        <v>566</v>
      </c>
      <c r="B567" s="2" t="s">
        <v>55</v>
      </c>
      <c r="C567" s="2" t="s">
        <v>22</v>
      </c>
      <c r="D567" s="2">
        <v>8</v>
      </c>
      <c r="E567" s="3">
        <v>81508</v>
      </c>
      <c r="F567" s="2" t="s">
        <v>9</v>
      </c>
      <c r="G567" s="2" t="s">
        <v>10</v>
      </c>
    </row>
    <row r="568" spans="1:7">
      <c r="A568" s="2">
        <v>567</v>
      </c>
      <c r="B568" s="2" t="s">
        <v>52</v>
      </c>
      <c r="C568" s="2" t="s">
        <v>12</v>
      </c>
      <c r="D568" s="2">
        <v>33</v>
      </c>
      <c r="E568" s="3">
        <v>42911</v>
      </c>
      <c r="F568" s="2" t="s">
        <v>13</v>
      </c>
      <c r="G568" s="2" t="s">
        <v>26</v>
      </c>
    </row>
    <row r="569" spans="1:7">
      <c r="A569" s="2">
        <v>568</v>
      </c>
      <c r="B569" s="2" t="s">
        <v>92</v>
      </c>
      <c r="C569" s="2" t="s">
        <v>8</v>
      </c>
      <c r="D569" s="2">
        <v>44</v>
      </c>
      <c r="E569" s="3">
        <v>37120</v>
      </c>
      <c r="F569" s="2" t="s">
        <v>20</v>
      </c>
      <c r="G569" s="2" t="s">
        <v>23</v>
      </c>
    </row>
    <row r="570" spans="1:7">
      <c r="A570" s="2">
        <v>569</v>
      </c>
      <c r="B570" s="2" t="s">
        <v>57</v>
      </c>
      <c r="C570" s="2" t="s">
        <v>22</v>
      </c>
      <c r="D570" s="2">
        <v>4</v>
      </c>
      <c r="E570" s="3">
        <v>60164</v>
      </c>
      <c r="F570" s="2" t="s">
        <v>25</v>
      </c>
      <c r="G570" s="2" t="s">
        <v>29</v>
      </c>
    </row>
    <row r="571" spans="1:7">
      <c r="A571" s="2">
        <v>570</v>
      </c>
      <c r="B571" s="2" t="s">
        <v>60</v>
      </c>
      <c r="C571" s="2" t="s">
        <v>22</v>
      </c>
      <c r="D571" s="2">
        <v>12</v>
      </c>
      <c r="E571" s="3">
        <v>43911</v>
      </c>
      <c r="F571" s="2" t="s">
        <v>25</v>
      </c>
      <c r="G571" s="2" t="s">
        <v>10</v>
      </c>
    </row>
    <row r="572" spans="1:7">
      <c r="A572" s="2">
        <v>571</v>
      </c>
      <c r="B572" s="2" t="s">
        <v>72</v>
      </c>
      <c r="C572" s="2" t="s">
        <v>22</v>
      </c>
      <c r="D572" s="2">
        <v>15</v>
      </c>
      <c r="E572" s="3">
        <v>25829</v>
      </c>
      <c r="F572" s="2" t="s">
        <v>13</v>
      </c>
      <c r="G572" s="2" t="s">
        <v>26</v>
      </c>
    </row>
    <row r="573" spans="1:7">
      <c r="A573" s="2">
        <v>572</v>
      </c>
      <c r="B573" s="2" t="s">
        <v>46</v>
      </c>
      <c r="C573" s="2" t="s">
        <v>12</v>
      </c>
      <c r="D573" s="2">
        <v>34</v>
      </c>
      <c r="E573" s="3">
        <v>60216</v>
      </c>
      <c r="F573" s="2" t="s">
        <v>17</v>
      </c>
      <c r="G573" s="2" t="s">
        <v>26</v>
      </c>
    </row>
    <row r="574" spans="1:7">
      <c r="A574" s="2">
        <v>573</v>
      </c>
      <c r="B574" s="2" t="s">
        <v>42</v>
      </c>
      <c r="C574" s="2" t="s">
        <v>22</v>
      </c>
      <c r="D574" s="2">
        <v>3</v>
      </c>
      <c r="E574" s="3">
        <v>82999</v>
      </c>
      <c r="F574" s="2" t="s">
        <v>25</v>
      </c>
      <c r="G574" s="2" t="s">
        <v>10</v>
      </c>
    </row>
    <row r="575" spans="1:7">
      <c r="A575" s="2">
        <v>574</v>
      </c>
      <c r="B575" s="2" t="s">
        <v>79</v>
      </c>
      <c r="C575" s="2" t="s">
        <v>8</v>
      </c>
      <c r="D575" s="2">
        <v>26</v>
      </c>
      <c r="E575" s="3">
        <v>99562</v>
      </c>
      <c r="F575" s="2" t="s">
        <v>9</v>
      </c>
      <c r="G575" s="2" t="s">
        <v>10</v>
      </c>
    </row>
    <row r="576" spans="1:7">
      <c r="A576" s="2">
        <v>575</v>
      </c>
      <c r="B576" s="2" t="s">
        <v>83</v>
      </c>
      <c r="C576" s="2" t="s">
        <v>12</v>
      </c>
      <c r="D576" s="2">
        <v>5</v>
      </c>
      <c r="E576" s="3">
        <v>81867</v>
      </c>
      <c r="F576" s="2" t="s">
        <v>17</v>
      </c>
      <c r="G576" s="2" t="s">
        <v>18</v>
      </c>
    </row>
    <row r="577" spans="1:7">
      <c r="A577" s="2">
        <v>576</v>
      </c>
      <c r="B577" s="2" t="s">
        <v>66</v>
      </c>
      <c r="C577" s="2" t="s">
        <v>16</v>
      </c>
      <c r="D577" s="2">
        <v>30</v>
      </c>
      <c r="E577" s="3">
        <v>50802</v>
      </c>
      <c r="F577" s="2" t="s">
        <v>17</v>
      </c>
      <c r="G577" s="2" t="s">
        <v>29</v>
      </c>
    </row>
    <row r="578" spans="1:7">
      <c r="A578" s="2">
        <v>577</v>
      </c>
      <c r="B578" s="2" t="s">
        <v>7</v>
      </c>
      <c r="C578" s="2" t="s">
        <v>16</v>
      </c>
      <c r="D578" s="2">
        <v>19</v>
      </c>
      <c r="E578" s="3">
        <v>70947</v>
      </c>
      <c r="F578" s="2" t="s">
        <v>17</v>
      </c>
      <c r="G578" s="2" t="s">
        <v>23</v>
      </c>
    </row>
    <row r="579" spans="1:7">
      <c r="A579" s="2">
        <v>578</v>
      </c>
      <c r="B579" s="2" t="s">
        <v>74</v>
      </c>
      <c r="C579" s="2" t="s">
        <v>12</v>
      </c>
      <c r="D579" s="2">
        <v>50</v>
      </c>
      <c r="E579" s="3">
        <v>46825</v>
      </c>
      <c r="F579" s="2" t="s">
        <v>17</v>
      </c>
      <c r="G579" s="2" t="s">
        <v>10</v>
      </c>
    </row>
    <row r="580" spans="1:7">
      <c r="A580" s="2">
        <v>579</v>
      </c>
      <c r="B580" s="2" t="s">
        <v>47</v>
      </c>
      <c r="C580" s="2" t="s">
        <v>8</v>
      </c>
      <c r="D580" s="2">
        <v>20</v>
      </c>
      <c r="E580" s="3">
        <v>95044</v>
      </c>
      <c r="F580" s="2" t="s">
        <v>13</v>
      </c>
      <c r="G580" s="2" t="s">
        <v>14</v>
      </c>
    </row>
    <row r="581" spans="1:7">
      <c r="A581" s="2">
        <v>580</v>
      </c>
      <c r="B581" s="2" t="s">
        <v>69</v>
      </c>
      <c r="C581" s="2" t="s">
        <v>12</v>
      </c>
      <c r="D581" s="2">
        <v>21</v>
      </c>
      <c r="E581" s="3">
        <v>91142</v>
      </c>
      <c r="F581" s="2" t="s">
        <v>13</v>
      </c>
      <c r="G581" s="2" t="s">
        <v>18</v>
      </c>
    </row>
    <row r="582" spans="1:7">
      <c r="A582" s="2">
        <v>581</v>
      </c>
      <c r="B582" s="2" t="s">
        <v>61</v>
      </c>
      <c r="C582" s="2" t="s">
        <v>12</v>
      </c>
      <c r="D582" s="2">
        <v>6</v>
      </c>
      <c r="E582" s="3">
        <v>64988</v>
      </c>
      <c r="F582" s="2" t="s">
        <v>17</v>
      </c>
      <c r="G582" s="2" t="s">
        <v>10</v>
      </c>
    </row>
    <row r="583" spans="1:7">
      <c r="A583" s="2">
        <v>582</v>
      </c>
      <c r="B583" s="2" t="s">
        <v>84</v>
      </c>
      <c r="C583" s="2" t="s">
        <v>12</v>
      </c>
      <c r="D583" s="2">
        <v>36</v>
      </c>
      <c r="E583" s="3">
        <v>71250</v>
      </c>
      <c r="F583" s="2" t="s">
        <v>32</v>
      </c>
      <c r="G583" s="2" t="s">
        <v>10</v>
      </c>
    </row>
    <row r="584" spans="1:7">
      <c r="A584" s="2">
        <v>583</v>
      </c>
      <c r="B584" s="2" t="s">
        <v>82</v>
      </c>
      <c r="C584" s="2" t="s">
        <v>12</v>
      </c>
      <c r="D584" s="2">
        <v>30</v>
      </c>
      <c r="E584" s="3">
        <v>36853</v>
      </c>
      <c r="F584" s="2" t="s">
        <v>32</v>
      </c>
      <c r="G584" s="2" t="s">
        <v>26</v>
      </c>
    </row>
    <row r="585" spans="1:7">
      <c r="A585" s="2">
        <v>584</v>
      </c>
      <c r="B585" s="2" t="s">
        <v>45</v>
      </c>
      <c r="C585" s="2" t="s">
        <v>22</v>
      </c>
      <c r="D585" s="2">
        <v>1</v>
      </c>
      <c r="E585" s="3">
        <v>95347</v>
      </c>
      <c r="F585" s="2" t="s">
        <v>13</v>
      </c>
      <c r="G585" s="2" t="s">
        <v>18</v>
      </c>
    </row>
    <row r="586" spans="1:7">
      <c r="A586" s="2">
        <v>585</v>
      </c>
      <c r="B586" s="2" t="s">
        <v>19</v>
      </c>
      <c r="C586" s="2" t="s">
        <v>16</v>
      </c>
      <c r="D586" s="2">
        <v>24</v>
      </c>
      <c r="E586" s="3">
        <v>83598</v>
      </c>
      <c r="F586" s="2" t="s">
        <v>28</v>
      </c>
      <c r="G586" s="2" t="s">
        <v>23</v>
      </c>
    </row>
    <row r="587" spans="1:7">
      <c r="A587" s="2">
        <v>586</v>
      </c>
      <c r="B587" s="2" t="s">
        <v>41</v>
      </c>
      <c r="C587" s="2" t="s">
        <v>8</v>
      </c>
      <c r="D587" s="2">
        <v>13</v>
      </c>
      <c r="E587" s="3">
        <v>91231</v>
      </c>
      <c r="F587" s="2" t="s">
        <v>17</v>
      </c>
      <c r="G587" s="2" t="s">
        <v>26</v>
      </c>
    </row>
    <row r="588" spans="1:7">
      <c r="A588" s="2">
        <v>587</v>
      </c>
      <c r="B588" s="2" t="s">
        <v>59</v>
      </c>
      <c r="C588" s="2" t="s">
        <v>22</v>
      </c>
      <c r="D588" s="2">
        <v>19</v>
      </c>
      <c r="E588" s="3">
        <v>62001</v>
      </c>
      <c r="F588" s="2" t="s">
        <v>9</v>
      </c>
      <c r="G588" s="2" t="s">
        <v>14</v>
      </c>
    </row>
    <row r="589" spans="1:7">
      <c r="A589" s="2">
        <v>588</v>
      </c>
      <c r="B589" s="2" t="s">
        <v>93</v>
      </c>
      <c r="C589" s="2" t="s">
        <v>16</v>
      </c>
      <c r="D589" s="2">
        <v>37</v>
      </c>
      <c r="E589" s="3">
        <v>84428</v>
      </c>
      <c r="F589" s="2" t="s">
        <v>9</v>
      </c>
      <c r="G589" s="2" t="s">
        <v>14</v>
      </c>
    </row>
    <row r="590" spans="1:7">
      <c r="A590" s="2">
        <v>589</v>
      </c>
      <c r="B590" s="2" t="s">
        <v>36</v>
      </c>
      <c r="C590" s="2" t="s">
        <v>12</v>
      </c>
      <c r="D590" s="2">
        <v>20</v>
      </c>
      <c r="E590" s="3">
        <v>42380</v>
      </c>
      <c r="F590" s="2" t="s">
        <v>13</v>
      </c>
      <c r="G590" s="2" t="s">
        <v>23</v>
      </c>
    </row>
    <row r="591" spans="1:7">
      <c r="A591" s="2">
        <v>590</v>
      </c>
      <c r="B591" s="2" t="s">
        <v>63</v>
      </c>
      <c r="C591" s="2" t="s">
        <v>16</v>
      </c>
      <c r="D591" s="2">
        <v>48</v>
      </c>
      <c r="E591" s="3">
        <v>98201</v>
      </c>
      <c r="F591" s="2" t="s">
        <v>38</v>
      </c>
      <c r="G591" s="2" t="s">
        <v>26</v>
      </c>
    </row>
    <row r="592" spans="1:7">
      <c r="A592" s="2">
        <v>591</v>
      </c>
      <c r="B592" s="2" t="s">
        <v>41</v>
      </c>
      <c r="C592" s="2" t="s">
        <v>16</v>
      </c>
      <c r="D592" s="2">
        <v>40</v>
      </c>
      <c r="E592" s="3">
        <v>67108</v>
      </c>
      <c r="F592" s="2" t="s">
        <v>38</v>
      </c>
      <c r="G592" s="2" t="s">
        <v>18</v>
      </c>
    </row>
    <row r="593" spans="1:7">
      <c r="A593" s="2">
        <v>592</v>
      </c>
      <c r="B593" s="2" t="s">
        <v>78</v>
      </c>
      <c r="C593" s="2" t="s">
        <v>22</v>
      </c>
      <c r="D593" s="2">
        <v>16</v>
      </c>
      <c r="E593" s="3">
        <v>45986</v>
      </c>
      <c r="F593" s="2" t="s">
        <v>28</v>
      </c>
      <c r="G593" s="2" t="s">
        <v>10</v>
      </c>
    </row>
    <row r="594" spans="1:7">
      <c r="A594" s="2">
        <v>593</v>
      </c>
      <c r="B594" s="2" t="s">
        <v>11</v>
      </c>
      <c r="C594" s="2" t="s">
        <v>22</v>
      </c>
      <c r="D594" s="2">
        <v>30</v>
      </c>
      <c r="E594" s="3">
        <v>80023</v>
      </c>
      <c r="F594" s="2" t="s">
        <v>38</v>
      </c>
      <c r="G594" s="2" t="s">
        <v>23</v>
      </c>
    </row>
    <row r="595" spans="1:7">
      <c r="A595" s="2">
        <v>594</v>
      </c>
      <c r="B595" s="2" t="s">
        <v>67</v>
      </c>
      <c r="C595" s="2" t="s">
        <v>8</v>
      </c>
      <c r="D595" s="2">
        <v>24</v>
      </c>
      <c r="E595" s="3">
        <v>76205</v>
      </c>
      <c r="F595" s="2" t="s">
        <v>25</v>
      </c>
      <c r="G595" s="2" t="s">
        <v>26</v>
      </c>
    </row>
    <row r="596" spans="1:7">
      <c r="A596" s="2">
        <v>595</v>
      </c>
      <c r="B596" s="2" t="s">
        <v>49</v>
      </c>
      <c r="C596" s="2" t="s">
        <v>12</v>
      </c>
      <c r="D596" s="2">
        <v>38</v>
      </c>
      <c r="E596" s="3">
        <v>79130</v>
      </c>
      <c r="F596" s="2" t="s">
        <v>28</v>
      </c>
      <c r="G596" s="2" t="s">
        <v>18</v>
      </c>
    </row>
    <row r="597" spans="1:7">
      <c r="A597" s="2">
        <v>596</v>
      </c>
      <c r="B597" s="2" t="s">
        <v>74</v>
      </c>
      <c r="C597" s="2" t="s">
        <v>12</v>
      </c>
      <c r="D597" s="2">
        <v>32</v>
      </c>
      <c r="E597" s="3">
        <v>58279</v>
      </c>
      <c r="F597" s="2" t="s">
        <v>38</v>
      </c>
      <c r="G597" s="2" t="s">
        <v>18</v>
      </c>
    </row>
    <row r="598" spans="1:7">
      <c r="A598" s="2">
        <v>597</v>
      </c>
      <c r="B598" s="2" t="s">
        <v>59</v>
      </c>
      <c r="C598" s="2" t="s">
        <v>12</v>
      </c>
      <c r="D598" s="2">
        <v>50</v>
      </c>
      <c r="E598" s="3">
        <v>76277</v>
      </c>
      <c r="F598" s="2" t="s">
        <v>28</v>
      </c>
      <c r="G598" s="2" t="s">
        <v>18</v>
      </c>
    </row>
    <row r="599" spans="1:7">
      <c r="A599" s="2">
        <v>598</v>
      </c>
      <c r="B599" s="2" t="s">
        <v>87</v>
      </c>
      <c r="C599" s="2" t="s">
        <v>16</v>
      </c>
      <c r="D599" s="2">
        <v>50</v>
      </c>
      <c r="E599" s="3">
        <v>67774</v>
      </c>
      <c r="F599" s="2" t="s">
        <v>32</v>
      </c>
      <c r="G599" s="2" t="s">
        <v>18</v>
      </c>
    </row>
    <row r="600" spans="1:7">
      <c r="A600" s="2">
        <v>599</v>
      </c>
      <c r="B600" s="2" t="s">
        <v>30</v>
      </c>
      <c r="C600" s="2" t="s">
        <v>16</v>
      </c>
      <c r="D600" s="2">
        <v>13</v>
      </c>
      <c r="E600" s="3">
        <v>87684</v>
      </c>
      <c r="F600" s="2" t="s">
        <v>32</v>
      </c>
      <c r="G600" s="2" t="s">
        <v>14</v>
      </c>
    </row>
    <row r="601" spans="1:7">
      <c r="A601" s="2">
        <v>600</v>
      </c>
      <c r="B601" s="2" t="s">
        <v>71</v>
      </c>
      <c r="C601" s="2" t="s">
        <v>12</v>
      </c>
      <c r="D601" s="2">
        <v>47</v>
      </c>
      <c r="E601" s="3">
        <v>91588</v>
      </c>
      <c r="F601" s="2" t="s">
        <v>17</v>
      </c>
      <c r="G601" s="2" t="s">
        <v>18</v>
      </c>
    </row>
    <row r="602" spans="1:7">
      <c r="A602" s="2">
        <v>601</v>
      </c>
      <c r="B602" s="2" t="s">
        <v>64</v>
      </c>
      <c r="C602" s="2" t="s">
        <v>8</v>
      </c>
      <c r="D602" s="2">
        <v>35</v>
      </c>
      <c r="E602" s="3">
        <v>92000</v>
      </c>
      <c r="F602" s="2" t="s">
        <v>38</v>
      </c>
      <c r="G602" s="2" t="s">
        <v>26</v>
      </c>
    </row>
    <row r="603" spans="1:7">
      <c r="A603" s="2">
        <v>602</v>
      </c>
      <c r="B603" s="2" t="s">
        <v>84</v>
      </c>
      <c r="C603" s="2" t="s">
        <v>16</v>
      </c>
      <c r="D603" s="2">
        <v>49</v>
      </c>
      <c r="E603" s="3">
        <v>65108</v>
      </c>
      <c r="F603" s="2" t="s">
        <v>28</v>
      </c>
      <c r="G603" s="2" t="s">
        <v>23</v>
      </c>
    </row>
    <row r="604" spans="1:7">
      <c r="A604" s="2">
        <v>603</v>
      </c>
      <c r="B604" s="2" t="s">
        <v>66</v>
      </c>
      <c r="C604" s="2" t="s">
        <v>8</v>
      </c>
      <c r="D604" s="2">
        <v>16</v>
      </c>
      <c r="E604" s="3">
        <v>46916</v>
      </c>
      <c r="F604" s="2" t="s">
        <v>25</v>
      </c>
      <c r="G604" s="2" t="s">
        <v>10</v>
      </c>
    </row>
    <row r="605" spans="1:7">
      <c r="A605" s="2">
        <v>604</v>
      </c>
      <c r="B605" s="2" t="s">
        <v>15</v>
      </c>
      <c r="C605" s="2" t="s">
        <v>16</v>
      </c>
      <c r="D605" s="2">
        <v>10</v>
      </c>
      <c r="E605" s="3">
        <v>80206</v>
      </c>
      <c r="F605" s="2" t="s">
        <v>20</v>
      </c>
      <c r="G605" s="2" t="s">
        <v>10</v>
      </c>
    </row>
    <row r="606" spans="1:7">
      <c r="A606" s="2">
        <v>605</v>
      </c>
      <c r="B606" s="2" t="s">
        <v>79</v>
      </c>
      <c r="C606" s="2" t="s">
        <v>22</v>
      </c>
      <c r="D606" s="2">
        <v>1</v>
      </c>
      <c r="E606" s="3">
        <v>82751</v>
      </c>
      <c r="F606" s="2" t="s">
        <v>38</v>
      </c>
      <c r="G606" s="2" t="s">
        <v>26</v>
      </c>
    </row>
    <row r="607" spans="1:7">
      <c r="A607" s="2">
        <v>606</v>
      </c>
      <c r="B607" s="2" t="s">
        <v>78</v>
      </c>
      <c r="C607" s="2" t="s">
        <v>22</v>
      </c>
      <c r="D607" s="2">
        <v>27</v>
      </c>
      <c r="E607" s="3">
        <v>26835</v>
      </c>
      <c r="F607" s="2" t="s">
        <v>9</v>
      </c>
      <c r="G607" s="2" t="s">
        <v>26</v>
      </c>
    </row>
    <row r="608" spans="1:7">
      <c r="A608" s="2">
        <v>607</v>
      </c>
      <c r="B608" s="2" t="s">
        <v>89</v>
      </c>
      <c r="C608" s="2" t="s">
        <v>12</v>
      </c>
      <c r="D608" s="2">
        <v>2</v>
      </c>
      <c r="E608" s="3">
        <v>72724</v>
      </c>
      <c r="F608" s="2" t="s">
        <v>17</v>
      </c>
      <c r="G608" s="2" t="s">
        <v>29</v>
      </c>
    </row>
    <row r="609" spans="1:7">
      <c r="A609" s="2">
        <v>608</v>
      </c>
      <c r="B609" s="2" t="s">
        <v>47</v>
      </c>
      <c r="C609" s="2" t="s">
        <v>22</v>
      </c>
      <c r="D609" s="2">
        <v>15</v>
      </c>
      <c r="E609" s="3">
        <v>61554</v>
      </c>
      <c r="F609" s="2" t="s">
        <v>25</v>
      </c>
      <c r="G609" s="2" t="s">
        <v>26</v>
      </c>
    </row>
    <row r="610" spans="1:7">
      <c r="A610" s="2">
        <v>609</v>
      </c>
      <c r="B610" s="2" t="s">
        <v>92</v>
      </c>
      <c r="C610" s="2" t="s">
        <v>16</v>
      </c>
      <c r="D610" s="2">
        <v>35</v>
      </c>
      <c r="E610" s="3">
        <v>45733</v>
      </c>
      <c r="F610" s="2" t="s">
        <v>25</v>
      </c>
      <c r="G610" s="2" t="s">
        <v>26</v>
      </c>
    </row>
    <row r="611" spans="1:7">
      <c r="A611" s="2">
        <v>610</v>
      </c>
      <c r="B611" s="2" t="s">
        <v>59</v>
      </c>
      <c r="C611" s="2" t="s">
        <v>16</v>
      </c>
      <c r="D611" s="2">
        <v>23</v>
      </c>
      <c r="E611" s="3">
        <v>43442</v>
      </c>
      <c r="F611" s="2" t="s">
        <v>28</v>
      </c>
      <c r="G611" s="2" t="s">
        <v>23</v>
      </c>
    </row>
    <row r="612" spans="1:7">
      <c r="A612" s="2">
        <v>611</v>
      </c>
      <c r="B612" s="2" t="s">
        <v>83</v>
      </c>
      <c r="C612" s="2" t="s">
        <v>22</v>
      </c>
      <c r="D612" s="2">
        <v>41</v>
      </c>
      <c r="E612" s="3">
        <v>73196</v>
      </c>
      <c r="F612" s="2" t="s">
        <v>17</v>
      </c>
      <c r="G612" s="2" t="s">
        <v>29</v>
      </c>
    </row>
    <row r="613" spans="1:7">
      <c r="A613" s="2">
        <v>612</v>
      </c>
      <c r="B613" s="2" t="s">
        <v>94</v>
      </c>
      <c r="C613" s="2" t="s">
        <v>22</v>
      </c>
      <c r="D613" s="2">
        <v>45</v>
      </c>
      <c r="E613" s="3">
        <v>65906</v>
      </c>
      <c r="F613" s="2" t="s">
        <v>32</v>
      </c>
      <c r="G613" s="2" t="s">
        <v>23</v>
      </c>
    </row>
    <row r="614" spans="1:7">
      <c r="A614" s="2">
        <v>613</v>
      </c>
      <c r="B614" s="2" t="s">
        <v>91</v>
      </c>
      <c r="C614" s="2" t="s">
        <v>22</v>
      </c>
      <c r="D614" s="2">
        <v>1</v>
      </c>
      <c r="E614" s="3">
        <v>35450</v>
      </c>
      <c r="F614" s="2" t="s">
        <v>32</v>
      </c>
      <c r="G614" s="2" t="s">
        <v>18</v>
      </c>
    </row>
    <row r="615" spans="1:7">
      <c r="A615" s="2">
        <v>614</v>
      </c>
      <c r="B615" s="2" t="s">
        <v>33</v>
      </c>
      <c r="C615" s="2" t="s">
        <v>12</v>
      </c>
      <c r="D615" s="2">
        <v>22</v>
      </c>
      <c r="E615" s="3">
        <v>50789</v>
      </c>
      <c r="F615" s="2" t="s">
        <v>28</v>
      </c>
      <c r="G615" s="2" t="s">
        <v>26</v>
      </c>
    </row>
    <row r="616" spans="1:7">
      <c r="A616" s="2">
        <v>615</v>
      </c>
      <c r="B616" s="2" t="s">
        <v>39</v>
      </c>
      <c r="C616" s="2" t="s">
        <v>22</v>
      </c>
      <c r="D616" s="2">
        <v>1</v>
      </c>
      <c r="E616" s="3">
        <v>85804</v>
      </c>
      <c r="F616" s="2" t="s">
        <v>28</v>
      </c>
      <c r="G616" s="2" t="s">
        <v>26</v>
      </c>
    </row>
    <row r="617" spans="1:7">
      <c r="A617" s="2">
        <v>616</v>
      </c>
      <c r="B617" s="2" t="s">
        <v>35</v>
      </c>
      <c r="C617" s="2" t="s">
        <v>16</v>
      </c>
      <c r="D617" s="2">
        <v>49</v>
      </c>
      <c r="E617" s="3">
        <v>49006</v>
      </c>
      <c r="F617" s="2" t="s">
        <v>20</v>
      </c>
      <c r="G617" s="2" t="s">
        <v>29</v>
      </c>
    </row>
    <row r="618" spans="1:7">
      <c r="A618" s="2">
        <v>617</v>
      </c>
      <c r="B618" s="2" t="s">
        <v>82</v>
      </c>
      <c r="C618" s="2" t="s">
        <v>22</v>
      </c>
      <c r="D618" s="2">
        <v>43</v>
      </c>
      <c r="E618" s="3">
        <v>93489</v>
      </c>
      <c r="F618" s="2" t="s">
        <v>13</v>
      </c>
      <c r="G618" s="2" t="s">
        <v>18</v>
      </c>
    </row>
    <row r="619" spans="1:7">
      <c r="A619" s="2">
        <v>618</v>
      </c>
      <c r="B619" s="2" t="s">
        <v>93</v>
      </c>
      <c r="C619" s="2" t="s">
        <v>12</v>
      </c>
      <c r="D619" s="2">
        <v>25</v>
      </c>
      <c r="E619" s="3">
        <v>98934</v>
      </c>
      <c r="F619" s="2" t="s">
        <v>32</v>
      </c>
      <c r="G619" s="2" t="s">
        <v>23</v>
      </c>
    </row>
    <row r="620" spans="1:7">
      <c r="A620" s="2">
        <v>619</v>
      </c>
      <c r="B620" s="2" t="s">
        <v>63</v>
      </c>
      <c r="C620" s="2" t="s">
        <v>12</v>
      </c>
      <c r="D620" s="2">
        <v>48</v>
      </c>
      <c r="E620" s="3">
        <v>62581</v>
      </c>
      <c r="F620" s="2" t="s">
        <v>20</v>
      </c>
      <c r="G620" s="2" t="s">
        <v>14</v>
      </c>
    </row>
    <row r="621" spans="1:7">
      <c r="A621" s="2">
        <v>620</v>
      </c>
      <c r="B621" s="2" t="s">
        <v>89</v>
      </c>
      <c r="C621" s="2" t="s">
        <v>16</v>
      </c>
      <c r="D621" s="2">
        <v>47</v>
      </c>
      <c r="E621" s="3">
        <v>27103</v>
      </c>
      <c r="F621" s="2" t="s">
        <v>17</v>
      </c>
      <c r="G621" s="2" t="s">
        <v>26</v>
      </c>
    </row>
    <row r="622" spans="1:7">
      <c r="A622" s="2">
        <v>621</v>
      </c>
      <c r="B622" s="2" t="s">
        <v>51</v>
      </c>
      <c r="C622" s="2" t="s">
        <v>16</v>
      </c>
      <c r="D622" s="2">
        <v>20</v>
      </c>
      <c r="E622" s="3">
        <v>40433</v>
      </c>
      <c r="F622" s="2" t="s">
        <v>9</v>
      </c>
      <c r="G622" s="2" t="s">
        <v>14</v>
      </c>
    </row>
    <row r="623" spans="1:7">
      <c r="A623" s="2">
        <v>622</v>
      </c>
      <c r="B623" s="2" t="s">
        <v>74</v>
      </c>
      <c r="C623" s="2" t="s">
        <v>22</v>
      </c>
      <c r="D623" s="2">
        <v>7</v>
      </c>
      <c r="E623" s="3">
        <v>48810</v>
      </c>
      <c r="F623" s="2" t="s">
        <v>25</v>
      </c>
      <c r="G623" s="2" t="s">
        <v>14</v>
      </c>
    </row>
    <row r="624" spans="1:7">
      <c r="A624" s="2">
        <v>623</v>
      </c>
      <c r="B624" s="2" t="s">
        <v>68</v>
      </c>
      <c r="C624" s="2" t="s">
        <v>16</v>
      </c>
      <c r="D624" s="2">
        <v>14</v>
      </c>
      <c r="E624" s="3">
        <v>28815</v>
      </c>
      <c r="F624" s="2" t="s">
        <v>9</v>
      </c>
      <c r="G624" s="2" t="s">
        <v>14</v>
      </c>
    </row>
    <row r="625" spans="1:7">
      <c r="A625" s="2">
        <v>624</v>
      </c>
      <c r="B625" s="2" t="s">
        <v>56</v>
      </c>
      <c r="C625" s="2" t="s">
        <v>8</v>
      </c>
      <c r="D625" s="2">
        <v>34</v>
      </c>
      <c r="E625" s="3">
        <v>28127</v>
      </c>
      <c r="F625" s="2" t="s">
        <v>20</v>
      </c>
      <c r="G625" s="2" t="s">
        <v>10</v>
      </c>
    </row>
    <row r="626" spans="1:7">
      <c r="A626" s="2">
        <v>625</v>
      </c>
      <c r="B626" s="2" t="s">
        <v>24</v>
      </c>
      <c r="C626" s="2" t="s">
        <v>16</v>
      </c>
      <c r="D626" s="2">
        <v>16</v>
      </c>
      <c r="E626" s="3">
        <v>34188</v>
      </c>
      <c r="F626" s="2" t="s">
        <v>28</v>
      </c>
      <c r="G626" s="2" t="s">
        <v>14</v>
      </c>
    </row>
    <row r="627" spans="1:7">
      <c r="A627" s="2">
        <v>626</v>
      </c>
      <c r="B627" s="2" t="s">
        <v>36</v>
      </c>
      <c r="C627" s="2" t="s">
        <v>8</v>
      </c>
      <c r="D627" s="2">
        <v>27</v>
      </c>
      <c r="E627" s="3">
        <v>66580</v>
      </c>
      <c r="F627" s="2" t="s">
        <v>38</v>
      </c>
      <c r="G627" s="2" t="s">
        <v>23</v>
      </c>
    </row>
    <row r="628" spans="1:7">
      <c r="A628" s="2">
        <v>627</v>
      </c>
      <c r="B628" s="2" t="s">
        <v>44</v>
      </c>
      <c r="C628" s="2" t="s">
        <v>8</v>
      </c>
      <c r="D628" s="2">
        <v>32</v>
      </c>
      <c r="E628" s="3">
        <v>89391</v>
      </c>
      <c r="F628" s="2" t="s">
        <v>13</v>
      </c>
      <c r="G628" s="2" t="s">
        <v>14</v>
      </c>
    </row>
    <row r="629" spans="1:7">
      <c r="A629" s="2">
        <v>628</v>
      </c>
      <c r="B629" s="2" t="s">
        <v>79</v>
      </c>
      <c r="C629" s="2" t="s">
        <v>16</v>
      </c>
      <c r="D629" s="2">
        <v>4</v>
      </c>
      <c r="E629" s="3">
        <v>75598</v>
      </c>
      <c r="F629" s="2" t="s">
        <v>20</v>
      </c>
      <c r="G629" s="2" t="s">
        <v>26</v>
      </c>
    </row>
    <row r="630" spans="1:7">
      <c r="A630" s="2">
        <v>629</v>
      </c>
      <c r="B630" s="2" t="s">
        <v>77</v>
      </c>
      <c r="C630" s="2" t="s">
        <v>8</v>
      </c>
      <c r="D630" s="2">
        <v>10</v>
      </c>
      <c r="E630" s="3">
        <v>39512</v>
      </c>
      <c r="F630" s="2" t="s">
        <v>38</v>
      </c>
      <c r="G630" s="2" t="s">
        <v>10</v>
      </c>
    </row>
    <row r="631" spans="1:7">
      <c r="A631" s="2">
        <v>630</v>
      </c>
      <c r="B631" s="2" t="s">
        <v>19</v>
      </c>
      <c r="C631" s="2" t="s">
        <v>16</v>
      </c>
      <c r="D631" s="2">
        <v>46</v>
      </c>
      <c r="E631" s="3">
        <v>67858</v>
      </c>
      <c r="F631" s="2" t="s">
        <v>17</v>
      </c>
      <c r="G631" s="2" t="s">
        <v>18</v>
      </c>
    </row>
    <row r="632" spans="1:7">
      <c r="A632" s="2">
        <v>631</v>
      </c>
      <c r="B632" s="2" t="s">
        <v>88</v>
      </c>
      <c r="C632" s="2" t="s">
        <v>16</v>
      </c>
      <c r="D632" s="2">
        <v>18</v>
      </c>
      <c r="E632" s="3">
        <v>78673</v>
      </c>
      <c r="F632" s="2" t="s">
        <v>17</v>
      </c>
      <c r="G632" s="2" t="s">
        <v>29</v>
      </c>
    </row>
    <row r="633" spans="1:7">
      <c r="A633" s="2">
        <v>632</v>
      </c>
      <c r="B633" s="2" t="s">
        <v>67</v>
      </c>
      <c r="C633" s="2" t="s">
        <v>12</v>
      </c>
      <c r="D633" s="2">
        <v>6</v>
      </c>
      <c r="E633" s="3">
        <v>48734</v>
      </c>
      <c r="F633" s="2" t="s">
        <v>13</v>
      </c>
      <c r="G633" s="2" t="s">
        <v>26</v>
      </c>
    </row>
    <row r="634" spans="1:7">
      <c r="A634" s="2">
        <v>633</v>
      </c>
      <c r="B634" s="2" t="s">
        <v>69</v>
      </c>
      <c r="C634" s="2" t="s">
        <v>8</v>
      </c>
      <c r="D634" s="2">
        <v>3</v>
      </c>
      <c r="E634" s="3">
        <v>66197</v>
      </c>
      <c r="F634" s="2" t="s">
        <v>13</v>
      </c>
      <c r="G634" s="2" t="s">
        <v>18</v>
      </c>
    </row>
    <row r="635" spans="1:7">
      <c r="A635" s="2">
        <v>634</v>
      </c>
      <c r="B635" s="2" t="s">
        <v>34</v>
      </c>
      <c r="C635" s="2" t="s">
        <v>8</v>
      </c>
      <c r="D635" s="2">
        <v>15</v>
      </c>
      <c r="E635" s="3">
        <v>67244</v>
      </c>
      <c r="F635" s="2" t="s">
        <v>20</v>
      </c>
      <c r="G635" s="2" t="s">
        <v>18</v>
      </c>
    </row>
    <row r="636" spans="1:7">
      <c r="A636" s="2">
        <v>635</v>
      </c>
      <c r="B636" s="2" t="s">
        <v>49</v>
      </c>
      <c r="C636" s="2" t="s">
        <v>22</v>
      </c>
      <c r="D636" s="2">
        <v>34</v>
      </c>
      <c r="E636" s="3">
        <v>63720</v>
      </c>
      <c r="F636" s="2" t="s">
        <v>32</v>
      </c>
      <c r="G636" s="2" t="s">
        <v>29</v>
      </c>
    </row>
    <row r="637" spans="1:7">
      <c r="A637" s="2">
        <v>636</v>
      </c>
      <c r="B637" s="2" t="s">
        <v>79</v>
      </c>
      <c r="C637" s="2" t="s">
        <v>16</v>
      </c>
      <c r="D637" s="2">
        <v>27</v>
      </c>
      <c r="E637" s="3">
        <v>87623</v>
      </c>
      <c r="F637" s="2" t="s">
        <v>38</v>
      </c>
      <c r="G637" s="2" t="s">
        <v>14</v>
      </c>
    </row>
    <row r="638" spans="1:7">
      <c r="A638" s="2">
        <v>637</v>
      </c>
      <c r="B638" s="2" t="s">
        <v>55</v>
      </c>
      <c r="C638" s="2" t="s">
        <v>12</v>
      </c>
      <c r="D638" s="2">
        <v>45</v>
      </c>
      <c r="E638" s="3">
        <v>55787</v>
      </c>
      <c r="F638" s="2" t="s">
        <v>13</v>
      </c>
      <c r="G638" s="2" t="s">
        <v>14</v>
      </c>
    </row>
    <row r="639" spans="1:7">
      <c r="A639" s="2">
        <v>638</v>
      </c>
      <c r="B639" s="2" t="s">
        <v>27</v>
      </c>
      <c r="C639" s="2" t="s">
        <v>12</v>
      </c>
      <c r="D639" s="2">
        <v>24</v>
      </c>
      <c r="E639" s="3">
        <v>28290</v>
      </c>
      <c r="F639" s="2" t="s">
        <v>38</v>
      </c>
      <c r="G639" s="2" t="s">
        <v>23</v>
      </c>
    </row>
    <row r="640" spans="1:7">
      <c r="A640" s="2">
        <v>639</v>
      </c>
      <c r="B640" s="2" t="s">
        <v>88</v>
      </c>
      <c r="C640" s="2" t="s">
        <v>22</v>
      </c>
      <c r="D640" s="2">
        <v>30</v>
      </c>
      <c r="E640" s="3">
        <v>30532</v>
      </c>
      <c r="F640" s="2" t="s">
        <v>28</v>
      </c>
      <c r="G640" s="2" t="s">
        <v>14</v>
      </c>
    </row>
    <row r="641" spans="1:7">
      <c r="A641" s="2">
        <v>640</v>
      </c>
      <c r="B641" s="2" t="s">
        <v>36</v>
      </c>
      <c r="C641" s="2" t="s">
        <v>8</v>
      </c>
      <c r="D641" s="2">
        <v>48</v>
      </c>
      <c r="E641" s="3">
        <v>89417</v>
      </c>
      <c r="F641" s="2" t="s">
        <v>38</v>
      </c>
      <c r="G641" s="2" t="s">
        <v>14</v>
      </c>
    </row>
    <row r="642" spans="1:7">
      <c r="A642" s="2">
        <v>641</v>
      </c>
      <c r="B642" s="2" t="s">
        <v>75</v>
      </c>
      <c r="C642" s="2" t="s">
        <v>12</v>
      </c>
      <c r="D642" s="2">
        <v>6</v>
      </c>
      <c r="E642" s="3">
        <v>57366</v>
      </c>
      <c r="F642" s="2" t="s">
        <v>17</v>
      </c>
      <c r="G642" s="2" t="s">
        <v>23</v>
      </c>
    </row>
    <row r="643" spans="1:7">
      <c r="A643" s="2">
        <v>642</v>
      </c>
      <c r="B643" s="2" t="s">
        <v>11</v>
      </c>
      <c r="C643" s="2" t="s">
        <v>8</v>
      </c>
      <c r="D643" s="2">
        <v>38</v>
      </c>
      <c r="E643" s="3">
        <v>36870</v>
      </c>
      <c r="F643" s="2" t="s">
        <v>25</v>
      </c>
      <c r="G643" s="2" t="s">
        <v>26</v>
      </c>
    </row>
    <row r="644" spans="1:7">
      <c r="A644" s="2">
        <v>643</v>
      </c>
      <c r="B644" s="2" t="s">
        <v>69</v>
      </c>
      <c r="C644" s="2" t="s">
        <v>12</v>
      </c>
      <c r="D644" s="2">
        <v>7</v>
      </c>
      <c r="E644" s="3">
        <v>28210</v>
      </c>
      <c r="F644" s="2" t="s">
        <v>17</v>
      </c>
      <c r="G644" s="2" t="s">
        <v>29</v>
      </c>
    </row>
    <row r="645" spans="1:7">
      <c r="A645" s="2">
        <v>644</v>
      </c>
      <c r="B645" s="2" t="s">
        <v>80</v>
      </c>
      <c r="C645" s="2" t="s">
        <v>12</v>
      </c>
      <c r="D645" s="2">
        <v>33</v>
      </c>
      <c r="E645" s="3">
        <v>44620</v>
      </c>
      <c r="F645" s="2" t="s">
        <v>32</v>
      </c>
      <c r="G645" s="2" t="s">
        <v>23</v>
      </c>
    </row>
    <row r="646" spans="1:7">
      <c r="A646" s="2">
        <v>645</v>
      </c>
      <c r="B646" s="2" t="s">
        <v>58</v>
      </c>
      <c r="C646" s="2" t="s">
        <v>16</v>
      </c>
      <c r="D646" s="2">
        <v>9</v>
      </c>
      <c r="E646" s="3">
        <v>71210</v>
      </c>
      <c r="F646" s="2" t="s">
        <v>25</v>
      </c>
      <c r="G646" s="2" t="s">
        <v>26</v>
      </c>
    </row>
    <row r="647" spans="1:7">
      <c r="A647" s="2">
        <v>646</v>
      </c>
      <c r="B647" s="2" t="s">
        <v>36</v>
      </c>
      <c r="C647" s="2" t="s">
        <v>8</v>
      </c>
      <c r="D647" s="2">
        <v>41</v>
      </c>
      <c r="E647" s="3">
        <v>70822</v>
      </c>
      <c r="F647" s="2" t="s">
        <v>38</v>
      </c>
      <c r="G647" s="2" t="s">
        <v>14</v>
      </c>
    </row>
    <row r="648" spans="1:7">
      <c r="A648" s="2">
        <v>647</v>
      </c>
      <c r="B648" s="2" t="s">
        <v>35</v>
      </c>
      <c r="C648" s="2" t="s">
        <v>12</v>
      </c>
      <c r="D648" s="2">
        <v>26</v>
      </c>
      <c r="E648" s="3">
        <v>81009</v>
      </c>
      <c r="F648" s="2" t="s">
        <v>13</v>
      </c>
      <c r="G648" s="2" t="s">
        <v>26</v>
      </c>
    </row>
    <row r="649" spans="1:7">
      <c r="A649" s="2">
        <v>648</v>
      </c>
      <c r="B649" s="2" t="s">
        <v>80</v>
      </c>
      <c r="C649" s="2" t="s">
        <v>16</v>
      </c>
      <c r="D649" s="2">
        <v>5</v>
      </c>
      <c r="E649" s="3">
        <v>55078</v>
      </c>
      <c r="F649" s="2" t="s">
        <v>9</v>
      </c>
      <c r="G649" s="2" t="s">
        <v>14</v>
      </c>
    </row>
    <row r="650" spans="1:7">
      <c r="A650" s="2">
        <v>649</v>
      </c>
      <c r="B650" s="2" t="s">
        <v>80</v>
      </c>
      <c r="C650" s="2" t="s">
        <v>12</v>
      </c>
      <c r="D650" s="2">
        <v>38</v>
      </c>
      <c r="E650" s="3">
        <v>96112</v>
      </c>
      <c r="F650" s="2" t="s">
        <v>20</v>
      </c>
      <c r="G650" s="2" t="s">
        <v>14</v>
      </c>
    </row>
    <row r="651" spans="1:7">
      <c r="A651" s="2">
        <v>650</v>
      </c>
      <c r="B651" s="2" t="s">
        <v>45</v>
      </c>
      <c r="C651" s="2" t="s">
        <v>16</v>
      </c>
      <c r="D651" s="2">
        <v>37</v>
      </c>
      <c r="E651" s="3">
        <v>29584</v>
      </c>
      <c r="F651" s="2" t="s">
        <v>32</v>
      </c>
      <c r="G651" s="2" t="s">
        <v>23</v>
      </c>
    </row>
    <row r="652" spans="1:7">
      <c r="A652" s="2">
        <v>651</v>
      </c>
      <c r="B652" s="2" t="s">
        <v>90</v>
      </c>
      <c r="C652" s="2" t="s">
        <v>16</v>
      </c>
      <c r="D652" s="2">
        <v>4</v>
      </c>
      <c r="E652" s="3">
        <v>91573</v>
      </c>
      <c r="F652" s="2" t="s">
        <v>13</v>
      </c>
      <c r="G652" s="2" t="s">
        <v>29</v>
      </c>
    </row>
    <row r="653" spans="1:7">
      <c r="A653" s="2">
        <v>652</v>
      </c>
      <c r="B653" s="2" t="s">
        <v>91</v>
      </c>
      <c r="C653" s="2" t="s">
        <v>8</v>
      </c>
      <c r="D653" s="2">
        <v>28</v>
      </c>
      <c r="E653" s="3">
        <v>82713</v>
      </c>
      <c r="F653" s="2" t="s">
        <v>28</v>
      </c>
      <c r="G653" s="2" t="s">
        <v>10</v>
      </c>
    </row>
    <row r="654" spans="1:7">
      <c r="A654" s="2">
        <v>653</v>
      </c>
      <c r="B654" s="2" t="s">
        <v>19</v>
      </c>
      <c r="C654" s="2" t="s">
        <v>16</v>
      </c>
      <c r="D654" s="2">
        <v>43</v>
      </c>
      <c r="E654" s="3">
        <v>81762</v>
      </c>
      <c r="F654" s="2" t="s">
        <v>13</v>
      </c>
      <c r="G654" s="2" t="s">
        <v>26</v>
      </c>
    </row>
    <row r="655" spans="1:7">
      <c r="A655" s="2">
        <v>654</v>
      </c>
      <c r="B655" s="2" t="s">
        <v>91</v>
      </c>
      <c r="C655" s="2" t="s">
        <v>12</v>
      </c>
      <c r="D655" s="2">
        <v>9</v>
      </c>
      <c r="E655" s="3">
        <v>74063</v>
      </c>
      <c r="F655" s="2" t="s">
        <v>25</v>
      </c>
      <c r="G655" s="2" t="s">
        <v>26</v>
      </c>
    </row>
    <row r="656" spans="1:7">
      <c r="A656" s="2">
        <v>655</v>
      </c>
      <c r="B656" s="2" t="s">
        <v>73</v>
      </c>
      <c r="C656" s="2" t="s">
        <v>22</v>
      </c>
      <c r="D656" s="2">
        <v>16</v>
      </c>
      <c r="E656" s="3">
        <v>74589</v>
      </c>
      <c r="F656" s="2" t="s">
        <v>25</v>
      </c>
      <c r="G656" s="2" t="s">
        <v>23</v>
      </c>
    </row>
    <row r="657" spans="1:7">
      <c r="A657" s="2">
        <v>656</v>
      </c>
      <c r="B657" s="2" t="s">
        <v>7</v>
      </c>
      <c r="C657" s="2" t="s">
        <v>12</v>
      </c>
      <c r="D657" s="2">
        <v>19</v>
      </c>
      <c r="E657" s="3">
        <v>55769</v>
      </c>
      <c r="F657" s="2" t="s">
        <v>17</v>
      </c>
      <c r="G657" s="2" t="s">
        <v>29</v>
      </c>
    </row>
    <row r="658" spans="1:7">
      <c r="A658" s="2">
        <v>657</v>
      </c>
      <c r="B658" s="2" t="s">
        <v>90</v>
      </c>
      <c r="C658" s="2" t="s">
        <v>12</v>
      </c>
      <c r="D658" s="2">
        <v>17</v>
      </c>
      <c r="E658" s="3">
        <v>69770</v>
      </c>
      <c r="F658" s="2" t="s">
        <v>20</v>
      </c>
      <c r="G658" s="2" t="s">
        <v>14</v>
      </c>
    </row>
    <row r="659" spans="1:7">
      <c r="A659" s="2">
        <v>658</v>
      </c>
      <c r="B659" s="2" t="s">
        <v>37</v>
      </c>
      <c r="C659" s="2" t="s">
        <v>16</v>
      </c>
      <c r="D659" s="2">
        <v>21</v>
      </c>
      <c r="E659" s="3">
        <v>91477</v>
      </c>
      <c r="F659" s="2" t="s">
        <v>9</v>
      </c>
      <c r="G659" s="2" t="s">
        <v>26</v>
      </c>
    </row>
    <row r="660" spans="1:7">
      <c r="A660" s="2">
        <v>659</v>
      </c>
      <c r="B660" s="2" t="s">
        <v>94</v>
      </c>
      <c r="C660" s="2" t="s">
        <v>12</v>
      </c>
      <c r="D660" s="2">
        <v>26</v>
      </c>
      <c r="E660" s="3">
        <v>27338</v>
      </c>
      <c r="F660" s="2" t="s">
        <v>38</v>
      </c>
      <c r="G660" s="2" t="s">
        <v>29</v>
      </c>
    </row>
    <row r="661" spans="1:7">
      <c r="A661" s="2">
        <v>660</v>
      </c>
      <c r="B661" s="2" t="s">
        <v>49</v>
      </c>
      <c r="C661" s="2" t="s">
        <v>16</v>
      </c>
      <c r="D661" s="2">
        <v>45</v>
      </c>
      <c r="E661" s="3">
        <v>42992</v>
      </c>
      <c r="F661" s="2" t="s">
        <v>13</v>
      </c>
      <c r="G661" s="2" t="s">
        <v>18</v>
      </c>
    </row>
    <row r="662" spans="1:7">
      <c r="A662" s="2">
        <v>661</v>
      </c>
      <c r="B662" s="2" t="s">
        <v>48</v>
      </c>
      <c r="C662" s="2" t="s">
        <v>8</v>
      </c>
      <c r="D662" s="2">
        <v>48</v>
      </c>
      <c r="E662" s="3">
        <v>33633</v>
      </c>
      <c r="F662" s="2" t="s">
        <v>28</v>
      </c>
      <c r="G662" s="2" t="s">
        <v>18</v>
      </c>
    </row>
    <row r="663" spans="1:7">
      <c r="A663" s="2">
        <v>662</v>
      </c>
      <c r="B663" s="2" t="s">
        <v>72</v>
      </c>
      <c r="C663" s="2" t="s">
        <v>16</v>
      </c>
      <c r="D663" s="2">
        <v>21</v>
      </c>
      <c r="E663" s="3">
        <v>68092</v>
      </c>
      <c r="F663" s="2" t="s">
        <v>20</v>
      </c>
      <c r="G663" s="2" t="s">
        <v>10</v>
      </c>
    </row>
    <row r="664" spans="1:7">
      <c r="A664" s="2">
        <v>663</v>
      </c>
      <c r="B664" s="2" t="s">
        <v>71</v>
      </c>
      <c r="C664" s="2" t="s">
        <v>8</v>
      </c>
      <c r="D664" s="2">
        <v>21</v>
      </c>
      <c r="E664" s="3">
        <v>82789</v>
      </c>
      <c r="F664" s="2" t="s">
        <v>13</v>
      </c>
      <c r="G664" s="2" t="s">
        <v>26</v>
      </c>
    </row>
    <row r="665" spans="1:7">
      <c r="A665" s="2">
        <v>664</v>
      </c>
      <c r="B665" s="2" t="s">
        <v>33</v>
      </c>
      <c r="C665" s="2" t="s">
        <v>22</v>
      </c>
      <c r="D665" s="2">
        <v>29</v>
      </c>
      <c r="E665" s="3">
        <v>85688</v>
      </c>
      <c r="F665" s="2" t="s">
        <v>13</v>
      </c>
      <c r="G665" s="2" t="s">
        <v>14</v>
      </c>
    </row>
    <row r="666" spans="1:7">
      <c r="A666" s="2">
        <v>665</v>
      </c>
      <c r="B666" s="2" t="s">
        <v>58</v>
      </c>
      <c r="C666" s="2" t="s">
        <v>12</v>
      </c>
      <c r="D666" s="2">
        <v>18</v>
      </c>
      <c r="E666" s="3">
        <v>32943</v>
      </c>
      <c r="F666" s="2" t="s">
        <v>25</v>
      </c>
      <c r="G666" s="2" t="s">
        <v>26</v>
      </c>
    </row>
    <row r="667" spans="1:7">
      <c r="A667" s="2">
        <v>666</v>
      </c>
      <c r="B667" s="2" t="s">
        <v>68</v>
      </c>
      <c r="C667" s="2" t="s">
        <v>8</v>
      </c>
      <c r="D667" s="2">
        <v>15</v>
      </c>
      <c r="E667" s="3">
        <v>49207</v>
      </c>
      <c r="F667" s="2" t="s">
        <v>25</v>
      </c>
      <c r="G667" s="2" t="s">
        <v>10</v>
      </c>
    </row>
    <row r="668" spans="1:7">
      <c r="A668" s="2">
        <v>667</v>
      </c>
      <c r="B668" s="2" t="s">
        <v>70</v>
      </c>
      <c r="C668" s="2" t="s">
        <v>22</v>
      </c>
      <c r="D668" s="2">
        <v>5</v>
      </c>
      <c r="E668" s="3">
        <v>99210</v>
      </c>
      <c r="F668" s="2" t="s">
        <v>9</v>
      </c>
      <c r="G668" s="2" t="s">
        <v>18</v>
      </c>
    </row>
    <row r="669" spans="1:7">
      <c r="A669" s="2">
        <v>668</v>
      </c>
      <c r="B669" s="2" t="s">
        <v>27</v>
      </c>
      <c r="C669" s="2" t="s">
        <v>16</v>
      </c>
      <c r="D669" s="2">
        <v>13</v>
      </c>
      <c r="E669" s="3">
        <v>72120</v>
      </c>
      <c r="F669" s="2" t="s">
        <v>32</v>
      </c>
      <c r="G669" s="2" t="s">
        <v>10</v>
      </c>
    </row>
    <row r="670" spans="1:7">
      <c r="A670" s="2">
        <v>669</v>
      </c>
      <c r="B670" s="2" t="s">
        <v>33</v>
      </c>
      <c r="C670" s="2" t="s">
        <v>22</v>
      </c>
      <c r="D670" s="2">
        <v>9</v>
      </c>
      <c r="E670" s="3">
        <v>93989</v>
      </c>
      <c r="F670" s="2" t="s">
        <v>9</v>
      </c>
      <c r="G670" s="2" t="s">
        <v>26</v>
      </c>
    </row>
    <row r="671" spans="1:7">
      <c r="A671" s="2">
        <v>670</v>
      </c>
      <c r="B671" s="2" t="s">
        <v>35</v>
      </c>
      <c r="C671" s="2" t="s">
        <v>8</v>
      </c>
      <c r="D671" s="2">
        <v>50</v>
      </c>
      <c r="E671" s="3">
        <v>54864</v>
      </c>
      <c r="F671" s="2" t="s">
        <v>13</v>
      </c>
      <c r="G671" s="2" t="s">
        <v>26</v>
      </c>
    </row>
    <row r="672" spans="1:7">
      <c r="A672" s="2">
        <v>671</v>
      </c>
      <c r="B672" s="2" t="s">
        <v>70</v>
      </c>
      <c r="C672" s="2" t="s">
        <v>12</v>
      </c>
      <c r="D672" s="2">
        <v>50</v>
      </c>
      <c r="E672" s="3">
        <v>76992</v>
      </c>
      <c r="F672" s="2" t="s">
        <v>32</v>
      </c>
      <c r="G672" s="2" t="s">
        <v>18</v>
      </c>
    </row>
    <row r="673" spans="1:7">
      <c r="A673" s="2">
        <v>672</v>
      </c>
      <c r="B673" s="2" t="s">
        <v>54</v>
      </c>
      <c r="C673" s="2" t="s">
        <v>22</v>
      </c>
      <c r="D673" s="2">
        <v>38</v>
      </c>
      <c r="E673" s="3">
        <v>39073</v>
      </c>
      <c r="F673" s="2" t="s">
        <v>32</v>
      </c>
      <c r="G673" s="2" t="s">
        <v>18</v>
      </c>
    </row>
    <row r="674" spans="1:7">
      <c r="A674" s="2">
        <v>673</v>
      </c>
      <c r="B674" s="2" t="s">
        <v>74</v>
      </c>
      <c r="C674" s="2" t="s">
        <v>22</v>
      </c>
      <c r="D674" s="2">
        <v>7</v>
      </c>
      <c r="E674" s="3">
        <v>41348</v>
      </c>
      <c r="F674" s="2" t="s">
        <v>32</v>
      </c>
      <c r="G674" s="2" t="s">
        <v>29</v>
      </c>
    </row>
    <row r="675" spans="1:7">
      <c r="A675" s="2">
        <v>674</v>
      </c>
      <c r="B675" s="2" t="s">
        <v>47</v>
      </c>
      <c r="C675" s="2" t="s">
        <v>16</v>
      </c>
      <c r="D675" s="2">
        <v>10</v>
      </c>
      <c r="E675" s="3">
        <v>51867</v>
      </c>
      <c r="F675" s="2" t="s">
        <v>20</v>
      </c>
      <c r="G675" s="2" t="s">
        <v>14</v>
      </c>
    </row>
    <row r="676" spans="1:7">
      <c r="A676" s="2">
        <v>675</v>
      </c>
      <c r="B676" s="2" t="s">
        <v>37</v>
      </c>
      <c r="C676" s="2" t="s">
        <v>16</v>
      </c>
      <c r="D676" s="2">
        <v>7</v>
      </c>
      <c r="E676" s="3">
        <v>43988</v>
      </c>
      <c r="F676" s="2" t="s">
        <v>28</v>
      </c>
      <c r="G676" s="2" t="s">
        <v>18</v>
      </c>
    </row>
    <row r="677" spans="1:7">
      <c r="A677" s="2">
        <v>676</v>
      </c>
      <c r="B677" s="2" t="s">
        <v>65</v>
      </c>
      <c r="C677" s="2" t="s">
        <v>12</v>
      </c>
      <c r="D677" s="2">
        <v>11</v>
      </c>
      <c r="E677" s="3">
        <v>57380</v>
      </c>
      <c r="F677" s="2" t="s">
        <v>13</v>
      </c>
      <c r="G677" s="2" t="s">
        <v>14</v>
      </c>
    </row>
    <row r="678" spans="1:7">
      <c r="A678" s="2">
        <v>677</v>
      </c>
      <c r="B678" s="2" t="s">
        <v>71</v>
      </c>
      <c r="C678" s="2" t="s">
        <v>16</v>
      </c>
      <c r="D678" s="2">
        <v>29</v>
      </c>
      <c r="E678" s="3">
        <v>57829</v>
      </c>
      <c r="F678" s="2" t="s">
        <v>17</v>
      </c>
      <c r="G678" s="2" t="s">
        <v>10</v>
      </c>
    </row>
    <row r="679" spans="1:7">
      <c r="A679" s="2">
        <v>678</v>
      </c>
      <c r="B679" s="2" t="s">
        <v>19</v>
      </c>
      <c r="C679" s="2" t="s">
        <v>8</v>
      </c>
      <c r="D679" s="2">
        <v>30</v>
      </c>
      <c r="E679" s="3">
        <v>43265</v>
      </c>
      <c r="F679" s="2" t="s">
        <v>20</v>
      </c>
      <c r="G679" s="2" t="s">
        <v>10</v>
      </c>
    </row>
    <row r="680" spans="1:7">
      <c r="A680" s="2">
        <v>679</v>
      </c>
      <c r="B680" s="2" t="s">
        <v>27</v>
      </c>
      <c r="C680" s="2" t="s">
        <v>8</v>
      </c>
      <c r="D680" s="2">
        <v>21</v>
      </c>
      <c r="E680" s="3">
        <v>29018</v>
      </c>
      <c r="F680" s="2" t="s">
        <v>20</v>
      </c>
      <c r="G680" s="2" t="s">
        <v>18</v>
      </c>
    </row>
    <row r="681" spans="1:7">
      <c r="A681" s="2">
        <v>680</v>
      </c>
      <c r="B681" s="2" t="s">
        <v>49</v>
      </c>
      <c r="C681" s="2" t="s">
        <v>22</v>
      </c>
      <c r="D681" s="2">
        <v>27</v>
      </c>
      <c r="E681" s="3">
        <v>98816</v>
      </c>
      <c r="F681" s="2" t="s">
        <v>13</v>
      </c>
      <c r="G681" s="2" t="s">
        <v>14</v>
      </c>
    </row>
    <row r="682" spans="1:7">
      <c r="A682" s="2">
        <v>681</v>
      </c>
      <c r="B682" s="2" t="s">
        <v>71</v>
      </c>
      <c r="C682" s="2" t="s">
        <v>16</v>
      </c>
      <c r="D682" s="2">
        <v>8</v>
      </c>
      <c r="E682" s="3">
        <v>80290</v>
      </c>
      <c r="F682" s="2" t="s">
        <v>13</v>
      </c>
      <c r="G682" s="2" t="s">
        <v>18</v>
      </c>
    </row>
    <row r="683" spans="1:7">
      <c r="A683" s="2">
        <v>682</v>
      </c>
      <c r="B683" s="2" t="s">
        <v>65</v>
      </c>
      <c r="C683" s="2" t="s">
        <v>16</v>
      </c>
      <c r="D683" s="2">
        <v>35</v>
      </c>
      <c r="E683" s="3">
        <v>58306</v>
      </c>
      <c r="F683" s="2" t="s">
        <v>17</v>
      </c>
      <c r="G683" s="2" t="s">
        <v>18</v>
      </c>
    </row>
    <row r="684" spans="1:7">
      <c r="A684" s="2">
        <v>683</v>
      </c>
      <c r="B684" s="2" t="s">
        <v>71</v>
      </c>
      <c r="C684" s="2" t="s">
        <v>22</v>
      </c>
      <c r="D684" s="2">
        <v>23</v>
      </c>
      <c r="E684" s="3">
        <v>55615</v>
      </c>
      <c r="F684" s="2" t="s">
        <v>17</v>
      </c>
      <c r="G684" s="2" t="s">
        <v>29</v>
      </c>
    </row>
    <row r="685" spans="1:7">
      <c r="A685" s="2">
        <v>684</v>
      </c>
      <c r="B685" s="2" t="s">
        <v>85</v>
      </c>
      <c r="C685" s="2" t="s">
        <v>12</v>
      </c>
      <c r="D685" s="2">
        <v>50</v>
      </c>
      <c r="E685" s="3">
        <v>62013</v>
      </c>
      <c r="F685" s="2" t="s">
        <v>32</v>
      </c>
      <c r="G685" s="2" t="s">
        <v>10</v>
      </c>
    </row>
    <row r="686" spans="1:7">
      <c r="A686" s="2">
        <v>685</v>
      </c>
      <c r="B686" s="2" t="s">
        <v>53</v>
      </c>
      <c r="C686" s="2" t="s">
        <v>16</v>
      </c>
      <c r="D686" s="2">
        <v>14</v>
      </c>
      <c r="E686" s="3">
        <v>67872</v>
      </c>
      <c r="F686" s="2" t="s">
        <v>17</v>
      </c>
      <c r="G686" s="2" t="s">
        <v>14</v>
      </c>
    </row>
    <row r="687" spans="1:7">
      <c r="A687" s="2">
        <v>686</v>
      </c>
      <c r="B687" s="2" t="s">
        <v>61</v>
      </c>
      <c r="C687" s="2" t="s">
        <v>16</v>
      </c>
      <c r="D687" s="2">
        <v>29</v>
      </c>
      <c r="E687" s="3">
        <v>40096</v>
      </c>
      <c r="F687" s="2" t="s">
        <v>17</v>
      </c>
      <c r="G687" s="2" t="s">
        <v>10</v>
      </c>
    </row>
    <row r="688" spans="1:7">
      <c r="A688" s="2">
        <v>687</v>
      </c>
      <c r="B688" s="2" t="s">
        <v>59</v>
      </c>
      <c r="C688" s="2" t="s">
        <v>12</v>
      </c>
      <c r="D688" s="2">
        <v>20</v>
      </c>
      <c r="E688" s="3">
        <v>27708</v>
      </c>
      <c r="F688" s="2" t="s">
        <v>38</v>
      </c>
      <c r="G688" s="2" t="s">
        <v>29</v>
      </c>
    </row>
    <row r="689" spans="1:7">
      <c r="A689" s="2">
        <v>688</v>
      </c>
      <c r="B689" s="2" t="s">
        <v>48</v>
      </c>
      <c r="C689" s="2" t="s">
        <v>16</v>
      </c>
      <c r="D689" s="2">
        <v>30</v>
      </c>
      <c r="E689" s="3">
        <v>87283</v>
      </c>
      <c r="F689" s="2" t="s">
        <v>28</v>
      </c>
      <c r="G689" s="2" t="s">
        <v>23</v>
      </c>
    </row>
    <row r="690" spans="1:7">
      <c r="A690" s="2">
        <v>689</v>
      </c>
      <c r="B690" s="2" t="s">
        <v>60</v>
      </c>
      <c r="C690" s="2" t="s">
        <v>8</v>
      </c>
      <c r="D690" s="2">
        <v>17</v>
      </c>
      <c r="E690" s="3">
        <v>54764</v>
      </c>
      <c r="F690" s="2" t="s">
        <v>25</v>
      </c>
      <c r="G690" s="2" t="s">
        <v>10</v>
      </c>
    </row>
    <row r="691" spans="1:7">
      <c r="A691" s="2">
        <v>690</v>
      </c>
      <c r="B691" s="2" t="s">
        <v>30</v>
      </c>
      <c r="C691" s="2" t="s">
        <v>8</v>
      </c>
      <c r="D691" s="2">
        <v>8</v>
      </c>
      <c r="E691" s="3">
        <v>26048</v>
      </c>
      <c r="F691" s="2" t="s">
        <v>17</v>
      </c>
      <c r="G691" s="2" t="s">
        <v>29</v>
      </c>
    </row>
    <row r="692" spans="1:7">
      <c r="A692" s="2">
        <v>691</v>
      </c>
      <c r="B692" s="2" t="s">
        <v>52</v>
      </c>
      <c r="C692" s="2" t="s">
        <v>12</v>
      </c>
      <c r="D692" s="2">
        <v>6</v>
      </c>
      <c r="E692" s="3">
        <v>61933</v>
      </c>
      <c r="F692" s="2" t="s">
        <v>9</v>
      </c>
      <c r="G692" s="2" t="s">
        <v>26</v>
      </c>
    </row>
    <row r="693" spans="1:7">
      <c r="A693" s="2">
        <v>692</v>
      </c>
      <c r="B693" s="2" t="s">
        <v>11</v>
      </c>
      <c r="C693" s="2" t="s">
        <v>12</v>
      </c>
      <c r="D693" s="2">
        <v>11</v>
      </c>
      <c r="E693" s="3">
        <v>94774</v>
      </c>
      <c r="F693" s="2" t="s">
        <v>25</v>
      </c>
      <c r="G693" s="2" t="s">
        <v>10</v>
      </c>
    </row>
    <row r="694" spans="1:7">
      <c r="A694" s="2">
        <v>693</v>
      </c>
      <c r="B694" s="2" t="s">
        <v>34</v>
      </c>
      <c r="C694" s="2" t="s">
        <v>8</v>
      </c>
      <c r="D694" s="2">
        <v>44</v>
      </c>
      <c r="E694" s="3">
        <v>68674</v>
      </c>
      <c r="F694" s="2" t="s">
        <v>9</v>
      </c>
      <c r="G694" s="2" t="s">
        <v>14</v>
      </c>
    </row>
    <row r="695" spans="1:7">
      <c r="A695" s="2">
        <v>694</v>
      </c>
      <c r="B695" s="2" t="s">
        <v>84</v>
      </c>
      <c r="C695" s="2" t="s">
        <v>8</v>
      </c>
      <c r="D695" s="2">
        <v>20</v>
      </c>
      <c r="E695" s="3">
        <v>67227</v>
      </c>
      <c r="F695" s="2" t="s">
        <v>38</v>
      </c>
      <c r="G695" s="2" t="s">
        <v>29</v>
      </c>
    </row>
    <row r="696" spans="1:7">
      <c r="A696" s="2">
        <v>695</v>
      </c>
      <c r="B696" s="2" t="s">
        <v>65</v>
      </c>
      <c r="C696" s="2" t="s">
        <v>8</v>
      </c>
      <c r="D696" s="2">
        <v>46</v>
      </c>
      <c r="E696" s="3">
        <v>68037</v>
      </c>
      <c r="F696" s="2" t="s">
        <v>32</v>
      </c>
      <c r="G696" s="2" t="s">
        <v>23</v>
      </c>
    </row>
    <row r="697" spans="1:7">
      <c r="A697" s="2">
        <v>696</v>
      </c>
      <c r="B697" s="2" t="s">
        <v>34</v>
      </c>
      <c r="C697" s="2" t="s">
        <v>8</v>
      </c>
      <c r="D697" s="2">
        <v>45</v>
      </c>
      <c r="E697" s="3">
        <v>58113</v>
      </c>
      <c r="F697" s="2" t="s">
        <v>32</v>
      </c>
      <c r="G697" s="2" t="s">
        <v>10</v>
      </c>
    </row>
    <row r="698" spans="1:7">
      <c r="A698" s="2">
        <v>697</v>
      </c>
      <c r="B698" s="2" t="s">
        <v>67</v>
      </c>
      <c r="C698" s="2" t="s">
        <v>12</v>
      </c>
      <c r="D698" s="2">
        <v>39</v>
      </c>
      <c r="E698" s="3">
        <v>40966</v>
      </c>
      <c r="F698" s="2" t="s">
        <v>17</v>
      </c>
      <c r="G698" s="2" t="s">
        <v>29</v>
      </c>
    </row>
    <row r="699" spans="1:7">
      <c r="A699" s="2">
        <v>698</v>
      </c>
      <c r="B699" s="2" t="s">
        <v>84</v>
      </c>
      <c r="C699" s="2" t="s">
        <v>12</v>
      </c>
      <c r="D699" s="2">
        <v>3</v>
      </c>
      <c r="E699" s="3">
        <v>36899</v>
      </c>
      <c r="F699" s="2" t="s">
        <v>25</v>
      </c>
      <c r="G699" s="2" t="s">
        <v>23</v>
      </c>
    </row>
    <row r="700" spans="1:7">
      <c r="A700" s="2">
        <v>699</v>
      </c>
      <c r="B700" s="2" t="s">
        <v>91</v>
      </c>
      <c r="C700" s="2" t="s">
        <v>22</v>
      </c>
      <c r="D700" s="2">
        <v>14</v>
      </c>
      <c r="E700" s="3">
        <v>71117</v>
      </c>
      <c r="F700" s="2" t="s">
        <v>20</v>
      </c>
      <c r="G700" s="2" t="s">
        <v>26</v>
      </c>
    </row>
    <row r="701" spans="1:7">
      <c r="A701" s="2">
        <v>700</v>
      </c>
      <c r="B701" s="2" t="s">
        <v>47</v>
      </c>
      <c r="C701" s="2" t="s">
        <v>12</v>
      </c>
      <c r="D701" s="2">
        <v>21</v>
      </c>
      <c r="E701" s="3">
        <v>46269</v>
      </c>
      <c r="F701" s="2" t="s">
        <v>20</v>
      </c>
      <c r="G701" s="2" t="s">
        <v>14</v>
      </c>
    </row>
    <row r="702" spans="1:7">
      <c r="A702" s="2">
        <v>701</v>
      </c>
      <c r="B702" s="2" t="s">
        <v>24</v>
      </c>
      <c r="C702" s="2" t="s">
        <v>8</v>
      </c>
      <c r="D702" s="2">
        <v>10</v>
      </c>
      <c r="E702" s="3">
        <v>33320</v>
      </c>
      <c r="F702" s="2" t="s">
        <v>38</v>
      </c>
      <c r="G702" s="2" t="s">
        <v>10</v>
      </c>
    </row>
    <row r="703" spans="1:7">
      <c r="A703" s="2">
        <v>702</v>
      </c>
      <c r="B703" s="2" t="s">
        <v>30</v>
      </c>
      <c r="C703" s="2" t="s">
        <v>16</v>
      </c>
      <c r="D703" s="2">
        <v>6</v>
      </c>
      <c r="E703" s="3">
        <v>64977</v>
      </c>
      <c r="F703" s="2" t="s">
        <v>32</v>
      </c>
      <c r="G703" s="2" t="s">
        <v>26</v>
      </c>
    </row>
    <row r="704" spans="1:7">
      <c r="A704" s="2">
        <v>703</v>
      </c>
      <c r="B704" s="2" t="s">
        <v>62</v>
      </c>
      <c r="C704" s="2" t="s">
        <v>8</v>
      </c>
      <c r="D704" s="2">
        <v>46</v>
      </c>
      <c r="E704" s="3">
        <v>33685</v>
      </c>
      <c r="F704" s="2" t="s">
        <v>25</v>
      </c>
      <c r="G704" s="2" t="s">
        <v>18</v>
      </c>
    </row>
    <row r="705" spans="1:7">
      <c r="A705" s="2">
        <v>704</v>
      </c>
      <c r="B705" s="2" t="s">
        <v>93</v>
      </c>
      <c r="C705" s="2" t="s">
        <v>8</v>
      </c>
      <c r="D705" s="2">
        <v>16</v>
      </c>
      <c r="E705" s="3">
        <v>47510</v>
      </c>
      <c r="F705" s="2" t="s">
        <v>28</v>
      </c>
      <c r="G705" s="2" t="s">
        <v>14</v>
      </c>
    </row>
    <row r="706" spans="1:7">
      <c r="A706" s="2">
        <v>705</v>
      </c>
      <c r="B706" s="2" t="s">
        <v>61</v>
      </c>
      <c r="C706" s="2" t="s">
        <v>12</v>
      </c>
      <c r="D706" s="2">
        <v>23</v>
      </c>
      <c r="E706" s="3">
        <v>60667</v>
      </c>
      <c r="F706" s="2" t="s">
        <v>38</v>
      </c>
      <c r="G706" s="2" t="s">
        <v>14</v>
      </c>
    </row>
    <row r="707" spans="1:7">
      <c r="A707" s="2">
        <v>706</v>
      </c>
      <c r="B707" s="2" t="s">
        <v>94</v>
      </c>
      <c r="C707" s="2" t="s">
        <v>22</v>
      </c>
      <c r="D707" s="2">
        <v>26</v>
      </c>
      <c r="E707" s="3">
        <v>25142</v>
      </c>
      <c r="F707" s="2" t="s">
        <v>17</v>
      </c>
      <c r="G707" s="2" t="s">
        <v>14</v>
      </c>
    </row>
    <row r="708" spans="1:7">
      <c r="A708" s="2">
        <v>707</v>
      </c>
      <c r="B708" s="2" t="s">
        <v>56</v>
      </c>
      <c r="C708" s="2" t="s">
        <v>16</v>
      </c>
      <c r="D708" s="2">
        <v>33</v>
      </c>
      <c r="E708" s="3">
        <v>86382</v>
      </c>
      <c r="F708" s="2" t="s">
        <v>20</v>
      </c>
      <c r="G708" s="2" t="s">
        <v>14</v>
      </c>
    </row>
    <row r="709" spans="1:7">
      <c r="A709" s="2">
        <v>708</v>
      </c>
      <c r="B709" s="2" t="s">
        <v>47</v>
      </c>
      <c r="C709" s="2" t="s">
        <v>16</v>
      </c>
      <c r="D709" s="2">
        <v>4</v>
      </c>
      <c r="E709" s="3">
        <v>39574</v>
      </c>
      <c r="F709" s="2" t="s">
        <v>28</v>
      </c>
      <c r="G709" s="2" t="s">
        <v>23</v>
      </c>
    </row>
    <row r="710" spans="1:7">
      <c r="A710" s="2">
        <v>709</v>
      </c>
      <c r="B710" s="2" t="s">
        <v>63</v>
      </c>
      <c r="C710" s="2" t="s">
        <v>22</v>
      </c>
      <c r="D710" s="2">
        <v>44</v>
      </c>
      <c r="E710" s="3">
        <v>35981</v>
      </c>
      <c r="F710" s="2" t="s">
        <v>9</v>
      </c>
      <c r="G710" s="2" t="s">
        <v>26</v>
      </c>
    </row>
    <row r="711" spans="1:7">
      <c r="A711" s="2">
        <v>710</v>
      </c>
      <c r="B711" s="2" t="s">
        <v>86</v>
      </c>
      <c r="C711" s="2" t="s">
        <v>8</v>
      </c>
      <c r="D711" s="2">
        <v>20</v>
      </c>
      <c r="E711" s="3">
        <v>60846</v>
      </c>
      <c r="F711" s="2" t="s">
        <v>9</v>
      </c>
      <c r="G711" s="2" t="s">
        <v>18</v>
      </c>
    </row>
    <row r="712" spans="1:7">
      <c r="A712" s="2">
        <v>711</v>
      </c>
      <c r="B712" s="2" t="s">
        <v>48</v>
      </c>
      <c r="C712" s="2" t="s">
        <v>12</v>
      </c>
      <c r="D712" s="2">
        <v>17</v>
      </c>
      <c r="E712" s="3">
        <v>97067</v>
      </c>
      <c r="F712" s="2" t="s">
        <v>38</v>
      </c>
      <c r="G712" s="2" t="s">
        <v>10</v>
      </c>
    </row>
    <row r="713" spans="1:7">
      <c r="A713" s="2">
        <v>712</v>
      </c>
      <c r="B713" s="2" t="s">
        <v>21</v>
      </c>
      <c r="C713" s="2" t="s">
        <v>8</v>
      </c>
      <c r="D713" s="2">
        <v>12</v>
      </c>
      <c r="E713" s="3">
        <v>72575</v>
      </c>
      <c r="F713" s="2" t="s">
        <v>17</v>
      </c>
      <c r="G713" s="2" t="s">
        <v>14</v>
      </c>
    </row>
    <row r="714" spans="1:7">
      <c r="A714" s="2">
        <v>713</v>
      </c>
      <c r="B714" s="2" t="s">
        <v>51</v>
      </c>
      <c r="C714" s="2" t="s">
        <v>16</v>
      </c>
      <c r="D714" s="2">
        <v>2</v>
      </c>
      <c r="E714" s="3">
        <v>53446</v>
      </c>
      <c r="F714" s="2" t="s">
        <v>32</v>
      </c>
      <c r="G714" s="2" t="s">
        <v>10</v>
      </c>
    </row>
    <row r="715" spans="1:7">
      <c r="A715" s="2">
        <v>714</v>
      </c>
      <c r="B715" s="2" t="s">
        <v>70</v>
      </c>
      <c r="C715" s="2" t="s">
        <v>16</v>
      </c>
      <c r="D715" s="2">
        <v>26</v>
      </c>
      <c r="E715" s="3">
        <v>73658</v>
      </c>
      <c r="F715" s="2" t="s">
        <v>32</v>
      </c>
      <c r="G715" s="2" t="s">
        <v>29</v>
      </c>
    </row>
    <row r="716" spans="1:7">
      <c r="A716" s="2">
        <v>715</v>
      </c>
      <c r="B716" s="2" t="s">
        <v>94</v>
      </c>
      <c r="C716" s="2" t="s">
        <v>8</v>
      </c>
      <c r="D716" s="2">
        <v>29</v>
      </c>
      <c r="E716" s="3">
        <v>67188</v>
      </c>
      <c r="F716" s="2" t="s">
        <v>32</v>
      </c>
      <c r="G716" s="2" t="s">
        <v>26</v>
      </c>
    </row>
    <row r="717" spans="1:7">
      <c r="A717" s="2">
        <v>716</v>
      </c>
      <c r="B717" s="2" t="s">
        <v>64</v>
      </c>
      <c r="C717" s="2" t="s">
        <v>16</v>
      </c>
      <c r="D717" s="2">
        <v>36</v>
      </c>
      <c r="E717" s="3">
        <v>52939</v>
      </c>
      <c r="F717" s="2" t="s">
        <v>28</v>
      </c>
      <c r="G717" s="2" t="s">
        <v>26</v>
      </c>
    </row>
    <row r="718" spans="1:7">
      <c r="A718" s="2">
        <v>717</v>
      </c>
      <c r="B718" s="2" t="s">
        <v>73</v>
      </c>
      <c r="C718" s="2" t="s">
        <v>12</v>
      </c>
      <c r="D718" s="2">
        <v>48</v>
      </c>
      <c r="E718" s="3">
        <v>45150</v>
      </c>
      <c r="F718" s="2" t="s">
        <v>9</v>
      </c>
      <c r="G718" s="2" t="s">
        <v>14</v>
      </c>
    </row>
    <row r="719" spans="1:7">
      <c r="A719" s="2">
        <v>718</v>
      </c>
      <c r="B719" s="2" t="s">
        <v>90</v>
      </c>
      <c r="C719" s="2" t="s">
        <v>16</v>
      </c>
      <c r="D719" s="2">
        <v>36</v>
      </c>
      <c r="E719" s="3">
        <v>99948</v>
      </c>
      <c r="F719" s="2" t="s">
        <v>25</v>
      </c>
      <c r="G719" s="2" t="s">
        <v>14</v>
      </c>
    </row>
    <row r="720" spans="1:7">
      <c r="A720" s="2">
        <v>719</v>
      </c>
      <c r="B720" s="2" t="s">
        <v>93</v>
      </c>
      <c r="C720" s="2" t="s">
        <v>12</v>
      </c>
      <c r="D720" s="2">
        <v>16</v>
      </c>
      <c r="E720" s="3">
        <v>29467</v>
      </c>
      <c r="F720" s="2" t="s">
        <v>38</v>
      </c>
      <c r="G720" s="2" t="s">
        <v>26</v>
      </c>
    </row>
    <row r="721" spans="1:7">
      <c r="A721" s="2">
        <v>720</v>
      </c>
      <c r="B721" s="2" t="s">
        <v>79</v>
      </c>
      <c r="C721" s="2" t="s">
        <v>8</v>
      </c>
      <c r="D721" s="2">
        <v>7</v>
      </c>
      <c r="E721" s="3">
        <v>45959</v>
      </c>
      <c r="F721" s="2" t="s">
        <v>13</v>
      </c>
      <c r="G721" s="2" t="s">
        <v>10</v>
      </c>
    </row>
    <row r="722" spans="1:7">
      <c r="A722" s="2">
        <v>721</v>
      </c>
      <c r="B722" s="2" t="s">
        <v>77</v>
      </c>
      <c r="C722" s="2" t="s">
        <v>8</v>
      </c>
      <c r="D722" s="2">
        <v>30</v>
      </c>
      <c r="E722" s="3">
        <v>91618</v>
      </c>
      <c r="F722" s="2" t="s">
        <v>38</v>
      </c>
      <c r="G722" s="2" t="s">
        <v>18</v>
      </c>
    </row>
    <row r="723" spans="1:7">
      <c r="A723" s="2">
        <v>722</v>
      </c>
      <c r="B723" s="2" t="s">
        <v>89</v>
      </c>
      <c r="C723" s="2" t="s">
        <v>12</v>
      </c>
      <c r="D723" s="2">
        <v>7</v>
      </c>
      <c r="E723" s="3">
        <v>75196</v>
      </c>
      <c r="F723" s="2" t="s">
        <v>28</v>
      </c>
      <c r="G723" s="2" t="s">
        <v>29</v>
      </c>
    </row>
    <row r="724" spans="1:7">
      <c r="A724" s="2">
        <v>723</v>
      </c>
      <c r="B724" s="2" t="s">
        <v>73</v>
      </c>
      <c r="C724" s="2" t="s">
        <v>12</v>
      </c>
      <c r="D724" s="2">
        <v>9</v>
      </c>
      <c r="E724" s="3">
        <v>88321</v>
      </c>
      <c r="F724" s="2" t="s">
        <v>25</v>
      </c>
      <c r="G724" s="2" t="s">
        <v>26</v>
      </c>
    </row>
    <row r="725" spans="1:7">
      <c r="A725" s="2">
        <v>724</v>
      </c>
      <c r="B725" s="2" t="s">
        <v>77</v>
      </c>
      <c r="C725" s="2" t="s">
        <v>12</v>
      </c>
      <c r="D725" s="2">
        <v>8</v>
      </c>
      <c r="E725" s="3">
        <v>44166</v>
      </c>
      <c r="F725" s="2" t="s">
        <v>38</v>
      </c>
      <c r="G725" s="2" t="s">
        <v>18</v>
      </c>
    </row>
    <row r="726" spans="1:7">
      <c r="A726" s="2">
        <v>725</v>
      </c>
      <c r="B726" s="2" t="s">
        <v>83</v>
      </c>
      <c r="C726" s="2" t="s">
        <v>16</v>
      </c>
      <c r="D726" s="2">
        <v>1</v>
      </c>
      <c r="E726" s="3">
        <v>33462</v>
      </c>
      <c r="F726" s="2" t="s">
        <v>28</v>
      </c>
      <c r="G726" s="2" t="s">
        <v>10</v>
      </c>
    </row>
    <row r="727" spans="1:7">
      <c r="A727" s="2">
        <v>726</v>
      </c>
      <c r="B727" s="2" t="s">
        <v>88</v>
      </c>
      <c r="C727" s="2" t="s">
        <v>8</v>
      </c>
      <c r="D727" s="2">
        <v>4</v>
      </c>
      <c r="E727" s="3">
        <v>37436</v>
      </c>
      <c r="F727" s="2" t="s">
        <v>32</v>
      </c>
      <c r="G727" s="2" t="s">
        <v>23</v>
      </c>
    </row>
    <row r="728" spans="1:7">
      <c r="A728" s="2">
        <v>727</v>
      </c>
      <c r="B728" s="2" t="s">
        <v>42</v>
      </c>
      <c r="C728" s="2" t="s">
        <v>16</v>
      </c>
      <c r="D728" s="2">
        <v>50</v>
      </c>
      <c r="E728" s="3">
        <v>57618</v>
      </c>
      <c r="F728" s="2" t="s">
        <v>28</v>
      </c>
      <c r="G728" s="2" t="s">
        <v>14</v>
      </c>
    </row>
    <row r="729" spans="1:7">
      <c r="A729" s="2">
        <v>728</v>
      </c>
      <c r="B729" s="2" t="s">
        <v>67</v>
      </c>
      <c r="C729" s="2" t="s">
        <v>16</v>
      </c>
      <c r="D729" s="2">
        <v>15</v>
      </c>
      <c r="E729" s="3">
        <v>71659</v>
      </c>
      <c r="F729" s="2" t="s">
        <v>38</v>
      </c>
      <c r="G729" s="2" t="s">
        <v>23</v>
      </c>
    </row>
    <row r="730" spans="1:7">
      <c r="A730" s="2">
        <v>729</v>
      </c>
      <c r="B730" s="2" t="s">
        <v>70</v>
      </c>
      <c r="C730" s="2" t="s">
        <v>12</v>
      </c>
      <c r="D730" s="2">
        <v>9</v>
      </c>
      <c r="E730" s="3">
        <v>28355</v>
      </c>
      <c r="F730" s="2" t="s">
        <v>9</v>
      </c>
      <c r="G730" s="2" t="s">
        <v>26</v>
      </c>
    </row>
    <row r="731" spans="1:7">
      <c r="A731" s="2">
        <v>730</v>
      </c>
      <c r="B731" s="2" t="s">
        <v>92</v>
      </c>
      <c r="C731" s="2" t="s">
        <v>16</v>
      </c>
      <c r="D731" s="2">
        <v>13</v>
      </c>
      <c r="E731" s="3">
        <v>26655</v>
      </c>
      <c r="F731" s="2" t="s">
        <v>38</v>
      </c>
      <c r="G731" s="2" t="s">
        <v>10</v>
      </c>
    </row>
    <row r="732" spans="1:7">
      <c r="A732" s="2">
        <v>731</v>
      </c>
      <c r="B732" s="2" t="s">
        <v>86</v>
      </c>
      <c r="C732" s="2" t="s">
        <v>22</v>
      </c>
      <c r="D732" s="2">
        <v>26</v>
      </c>
      <c r="E732" s="3">
        <v>75072</v>
      </c>
      <c r="F732" s="2" t="s">
        <v>20</v>
      </c>
      <c r="G732" s="2" t="s">
        <v>10</v>
      </c>
    </row>
    <row r="733" spans="1:7">
      <c r="A733" s="2">
        <v>732</v>
      </c>
      <c r="B733" s="2" t="s">
        <v>54</v>
      </c>
      <c r="C733" s="2" t="s">
        <v>22</v>
      </c>
      <c r="D733" s="2">
        <v>24</v>
      </c>
      <c r="E733" s="3">
        <v>80603</v>
      </c>
      <c r="F733" s="2" t="s">
        <v>13</v>
      </c>
      <c r="G733" s="2" t="s">
        <v>10</v>
      </c>
    </row>
    <row r="734" spans="1:7">
      <c r="A734" s="2">
        <v>733</v>
      </c>
      <c r="B734" s="2" t="s">
        <v>15</v>
      </c>
      <c r="C734" s="2" t="s">
        <v>22</v>
      </c>
      <c r="D734" s="2">
        <v>44</v>
      </c>
      <c r="E734" s="3">
        <v>87206</v>
      </c>
      <c r="F734" s="2" t="s">
        <v>28</v>
      </c>
      <c r="G734" s="2" t="s">
        <v>10</v>
      </c>
    </row>
    <row r="735" spans="1:7">
      <c r="A735" s="2">
        <v>734</v>
      </c>
      <c r="B735" s="2" t="s">
        <v>61</v>
      </c>
      <c r="C735" s="2" t="s">
        <v>22</v>
      </c>
      <c r="D735" s="2">
        <v>41</v>
      </c>
      <c r="E735" s="3">
        <v>33067</v>
      </c>
      <c r="F735" s="2" t="s">
        <v>17</v>
      </c>
      <c r="G735" s="2" t="s">
        <v>26</v>
      </c>
    </row>
    <row r="736" spans="1:7">
      <c r="A736" s="2">
        <v>735</v>
      </c>
      <c r="B736" s="2" t="s">
        <v>11</v>
      </c>
      <c r="C736" s="2" t="s">
        <v>22</v>
      </c>
      <c r="D736" s="2">
        <v>42</v>
      </c>
      <c r="E736" s="3">
        <v>39973</v>
      </c>
      <c r="F736" s="2" t="s">
        <v>20</v>
      </c>
      <c r="G736" s="2" t="s">
        <v>14</v>
      </c>
    </row>
    <row r="737" spans="1:7">
      <c r="A737" s="2">
        <v>736</v>
      </c>
      <c r="B737" s="2" t="s">
        <v>39</v>
      </c>
      <c r="C737" s="2" t="s">
        <v>12</v>
      </c>
      <c r="D737" s="2">
        <v>6</v>
      </c>
      <c r="E737" s="3">
        <v>56984</v>
      </c>
      <c r="F737" s="2" t="s">
        <v>38</v>
      </c>
      <c r="G737" s="2" t="s">
        <v>23</v>
      </c>
    </row>
    <row r="738" spans="1:7">
      <c r="A738" s="2">
        <v>737</v>
      </c>
      <c r="B738" s="2" t="s">
        <v>42</v>
      </c>
      <c r="C738" s="2" t="s">
        <v>16</v>
      </c>
      <c r="D738" s="2">
        <v>38</v>
      </c>
      <c r="E738" s="3">
        <v>55043</v>
      </c>
      <c r="F738" s="2" t="s">
        <v>28</v>
      </c>
      <c r="G738" s="2" t="s">
        <v>29</v>
      </c>
    </row>
    <row r="739" spans="1:7">
      <c r="A739" s="2">
        <v>738</v>
      </c>
      <c r="B739" s="2" t="s">
        <v>31</v>
      </c>
      <c r="C739" s="2" t="s">
        <v>16</v>
      </c>
      <c r="D739" s="2">
        <v>38</v>
      </c>
      <c r="E739" s="3">
        <v>92323</v>
      </c>
      <c r="F739" s="2" t="s">
        <v>13</v>
      </c>
      <c r="G739" s="2" t="s">
        <v>14</v>
      </c>
    </row>
    <row r="740" spans="1:7">
      <c r="A740" s="2">
        <v>739</v>
      </c>
      <c r="B740" s="2" t="s">
        <v>66</v>
      </c>
      <c r="C740" s="2" t="s">
        <v>22</v>
      </c>
      <c r="D740" s="2">
        <v>17</v>
      </c>
      <c r="E740" s="3">
        <v>50443</v>
      </c>
      <c r="F740" s="2" t="s">
        <v>32</v>
      </c>
      <c r="G740" s="2" t="s">
        <v>10</v>
      </c>
    </row>
    <row r="741" spans="1:7">
      <c r="A741" s="2">
        <v>740</v>
      </c>
      <c r="B741" s="2" t="s">
        <v>41</v>
      </c>
      <c r="C741" s="2" t="s">
        <v>16</v>
      </c>
      <c r="D741" s="2">
        <v>5</v>
      </c>
      <c r="E741" s="3">
        <v>36790</v>
      </c>
      <c r="F741" s="2" t="s">
        <v>13</v>
      </c>
      <c r="G741" s="2" t="s">
        <v>26</v>
      </c>
    </row>
    <row r="742" spans="1:7">
      <c r="A742" s="2">
        <v>741</v>
      </c>
      <c r="B742" s="2" t="s">
        <v>94</v>
      </c>
      <c r="C742" s="2" t="s">
        <v>22</v>
      </c>
      <c r="D742" s="2">
        <v>2</v>
      </c>
      <c r="E742" s="3">
        <v>53377</v>
      </c>
      <c r="F742" s="2" t="s">
        <v>20</v>
      </c>
      <c r="G742" s="2" t="s">
        <v>10</v>
      </c>
    </row>
    <row r="743" spans="1:7">
      <c r="A743" s="2">
        <v>742</v>
      </c>
      <c r="B743" s="2" t="s">
        <v>87</v>
      </c>
      <c r="C743" s="2" t="s">
        <v>16</v>
      </c>
      <c r="D743" s="2">
        <v>5</v>
      </c>
      <c r="E743" s="3">
        <v>79403</v>
      </c>
      <c r="F743" s="2" t="s">
        <v>17</v>
      </c>
      <c r="G743" s="2" t="s">
        <v>14</v>
      </c>
    </row>
    <row r="744" spans="1:7">
      <c r="A744" s="2">
        <v>743</v>
      </c>
      <c r="B744" s="2" t="s">
        <v>37</v>
      </c>
      <c r="C744" s="2" t="s">
        <v>12</v>
      </c>
      <c r="D744" s="2">
        <v>13</v>
      </c>
      <c r="E744" s="3">
        <v>75684</v>
      </c>
      <c r="F744" s="2" t="s">
        <v>9</v>
      </c>
      <c r="G744" s="2" t="s">
        <v>23</v>
      </c>
    </row>
    <row r="745" spans="1:7">
      <c r="A745" s="2">
        <v>744</v>
      </c>
      <c r="B745" s="2" t="s">
        <v>43</v>
      </c>
      <c r="C745" s="2" t="s">
        <v>8</v>
      </c>
      <c r="D745" s="2">
        <v>42</v>
      </c>
      <c r="E745" s="3">
        <v>49608</v>
      </c>
      <c r="F745" s="2" t="s">
        <v>20</v>
      </c>
      <c r="G745" s="2" t="s">
        <v>23</v>
      </c>
    </row>
    <row r="746" spans="1:7">
      <c r="A746" s="2">
        <v>745</v>
      </c>
      <c r="B746" s="2" t="s">
        <v>43</v>
      </c>
      <c r="C746" s="2" t="s">
        <v>22</v>
      </c>
      <c r="D746" s="2">
        <v>29</v>
      </c>
      <c r="E746" s="3">
        <v>31609</v>
      </c>
      <c r="F746" s="2" t="s">
        <v>25</v>
      </c>
      <c r="G746" s="2" t="s">
        <v>18</v>
      </c>
    </row>
    <row r="747" spans="1:7">
      <c r="A747" s="2">
        <v>746</v>
      </c>
      <c r="B747" s="2" t="s">
        <v>88</v>
      </c>
      <c r="C747" s="2" t="s">
        <v>12</v>
      </c>
      <c r="D747" s="2">
        <v>9</v>
      </c>
      <c r="E747" s="3">
        <v>77229</v>
      </c>
      <c r="F747" s="2" t="s">
        <v>32</v>
      </c>
      <c r="G747" s="2" t="s">
        <v>18</v>
      </c>
    </row>
    <row r="748" spans="1:7">
      <c r="A748" s="2">
        <v>747</v>
      </c>
      <c r="B748" s="2" t="s">
        <v>45</v>
      </c>
      <c r="C748" s="2" t="s">
        <v>12</v>
      </c>
      <c r="D748" s="2">
        <v>6</v>
      </c>
      <c r="E748" s="3">
        <v>78859</v>
      </c>
      <c r="F748" s="2" t="s">
        <v>9</v>
      </c>
      <c r="G748" s="2" t="s">
        <v>26</v>
      </c>
    </row>
    <row r="749" spans="1:7">
      <c r="A749" s="2">
        <v>748</v>
      </c>
      <c r="B749" s="2" t="s">
        <v>31</v>
      </c>
      <c r="C749" s="2" t="s">
        <v>22</v>
      </c>
      <c r="D749" s="2">
        <v>22</v>
      </c>
      <c r="E749" s="3">
        <v>30846</v>
      </c>
      <c r="F749" s="2" t="s">
        <v>38</v>
      </c>
      <c r="G749" s="2" t="s">
        <v>18</v>
      </c>
    </row>
    <row r="750" spans="1:7">
      <c r="A750" s="2">
        <v>749</v>
      </c>
      <c r="B750" s="2" t="s">
        <v>62</v>
      </c>
      <c r="C750" s="2" t="s">
        <v>22</v>
      </c>
      <c r="D750" s="2">
        <v>8</v>
      </c>
      <c r="E750" s="3">
        <v>44187</v>
      </c>
      <c r="F750" s="2" t="s">
        <v>38</v>
      </c>
      <c r="G750" s="2" t="s">
        <v>10</v>
      </c>
    </row>
    <row r="751" spans="1:7">
      <c r="A751" s="2">
        <v>750</v>
      </c>
      <c r="B751" s="2" t="s">
        <v>42</v>
      </c>
      <c r="C751" s="2" t="s">
        <v>12</v>
      </c>
      <c r="D751" s="2">
        <v>3</v>
      </c>
      <c r="E751" s="3">
        <v>34896</v>
      </c>
      <c r="F751" s="2" t="s">
        <v>32</v>
      </c>
      <c r="G751" s="2" t="s">
        <v>14</v>
      </c>
    </row>
    <row r="752" spans="1:7">
      <c r="A752" s="2">
        <v>751</v>
      </c>
      <c r="B752" s="2" t="s">
        <v>82</v>
      </c>
      <c r="C752" s="2" t="s">
        <v>22</v>
      </c>
      <c r="D752" s="2">
        <v>30</v>
      </c>
      <c r="E752" s="3">
        <v>80209</v>
      </c>
      <c r="F752" s="2" t="s">
        <v>28</v>
      </c>
      <c r="G752" s="2" t="s">
        <v>26</v>
      </c>
    </row>
    <row r="753" spans="1:7">
      <c r="A753" s="2">
        <v>752</v>
      </c>
      <c r="B753" s="2" t="s">
        <v>66</v>
      </c>
      <c r="C753" s="2" t="s">
        <v>22</v>
      </c>
      <c r="D753" s="2">
        <v>4</v>
      </c>
      <c r="E753" s="3">
        <v>84582</v>
      </c>
      <c r="F753" s="2" t="s">
        <v>17</v>
      </c>
      <c r="G753" s="2" t="s">
        <v>26</v>
      </c>
    </row>
    <row r="754" spans="1:7">
      <c r="A754" s="2">
        <v>753</v>
      </c>
      <c r="B754" s="2" t="s">
        <v>62</v>
      </c>
      <c r="C754" s="2" t="s">
        <v>8</v>
      </c>
      <c r="D754" s="2">
        <v>11</v>
      </c>
      <c r="E754" s="3">
        <v>87310</v>
      </c>
      <c r="F754" s="2" t="s">
        <v>9</v>
      </c>
      <c r="G754" s="2" t="s">
        <v>14</v>
      </c>
    </row>
    <row r="755" spans="1:7">
      <c r="A755" s="2">
        <v>754</v>
      </c>
      <c r="B755" s="2" t="s">
        <v>93</v>
      </c>
      <c r="C755" s="2" t="s">
        <v>8</v>
      </c>
      <c r="D755" s="2">
        <v>37</v>
      </c>
      <c r="E755" s="3">
        <v>92277</v>
      </c>
      <c r="F755" s="2" t="s">
        <v>13</v>
      </c>
      <c r="G755" s="2" t="s">
        <v>18</v>
      </c>
    </row>
    <row r="756" spans="1:7">
      <c r="A756" s="2">
        <v>755</v>
      </c>
      <c r="B756" s="2" t="s">
        <v>48</v>
      </c>
      <c r="C756" s="2" t="s">
        <v>22</v>
      </c>
      <c r="D756" s="2">
        <v>28</v>
      </c>
      <c r="E756" s="3">
        <v>85145</v>
      </c>
      <c r="F756" s="2" t="s">
        <v>25</v>
      </c>
      <c r="G756" s="2" t="s">
        <v>23</v>
      </c>
    </row>
    <row r="757" spans="1:7">
      <c r="A757" s="2">
        <v>756</v>
      </c>
      <c r="B757" s="2" t="s">
        <v>56</v>
      </c>
      <c r="C757" s="2" t="s">
        <v>12</v>
      </c>
      <c r="D757" s="2">
        <v>47</v>
      </c>
      <c r="E757" s="3">
        <v>25410</v>
      </c>
      <c r="F757" s="2" t="s">
        <v>38</v>
      </c>
      <c r="G757" s="2" t="s">
        <v>18</v>
      </c>
    </row>
    <row r="758" spans="1:7">
      <c r="A758" s="2">
        <v>757</v>
      </c>
      <c r="B758" s="2" t="s">
        <v>39</v>
      </c>
      <c r="C758" s="2" t="s">
        <v>16</v>
      </c>
      <c r="D758" s="2">
        <v>26</v>
      </c>
      <c r="E758" s="3">
        <v>99518</v>
      </c>
      <c r="F758" s="2" t="s">
        <v>17</v>
      </c>
      <c r="G758" s="2" t="s">
        <v>14</v>
      </c>
    </row>
    <row r="759" spans="1:7">
      <c r="A759" s="2">
        <v>758</v>
      </c>
      <c r="B759" s="2" t="s">
        <v>75</v>
      </c>
      <c r="C759" s="2" t="s">
        <v>22</v>
      </c>
      <c r="D759" s="2">
        <v>32</v>
      </c>
      <c r="E759" s="3">
        <v>98532</v>
      </c>
      <c r="F759" s="2" t="s">
        <v>17</v>
      </c>
      <c r="G759" s="2" t="s">
        <v>10</v>
      </c>
    </row>
    <row r="760" spans="1:7">
      <c r="A760" s="2">
        <v>759</v>
      </c>
      <c r="B760" s="2" t="s">
        <v>53</v>
      </c>
      <c r="C760" s="2" t="s">
        <v>22</v>
      </c>
      <c r="D760" s="2">
        <v>2</v>
      </c>
      <c r="E760" s="3">
        <v>35731</v>
      </c>
      <c r="F760" s="2" t="s">
        <v>17</v>
      </c>
      <c r="G760" s="2" t="s">
        <v>18</v>
      </c>
    </row>
    <row r="761" spans="1:7">
      <c r="A761" s="2">
        <v>760</v>
      </c>
      <c r="B761" s="2" t="s">
        <v>59</v>
      </c>
      <c r="C761" s="2" t="s">
        <v>16</v>
      </c>
      <c r="D761" s="2">
        <v>25</v>
      </c>
      <c r="E761" s="3">
        <v>56729</v>
      </c>
      <c r="F761" s="2" t="s">
        <v>28</v>
      </c>
      <c r="G761" s="2" t="s">
        <v>26</v>
      </c>
    </row>
    <row r="762" spans="1:7">
      <c r="A762" s="2">
        <v>761</v>
      </c>
      <c r="B762" s="2" t="s">
        <v>30</v>
      </c>
      <c r="C762" s="2" t="s">
        <v>16</v>
      </c>
      <c r="D762" s="2">
        <v>44</v>
      </c>
      <c r="E762" s="3">
        <v>41642</v>
      </c>
      <c r="F762" s="2" t="s">
        <v>32</v>
      </c>
      <c r="G762" s="2" t="s">
        <v>29</v>
      </c>
    </row>
    <row r="763" spans="1:7">
      <c r="A763" s="2">
        <v>762</v>
      </c>
      <c r="B763" s="2" t="s">
        <v>52</v>
      </c>
      <c r="C763" s="2" t="s">
        <v>16</v>
      </c>
      <c r="D763" s="2">
        <v>28</v>
      </c>
      <c r="E763" s="3">
        <v>32277</v>
      </c>
      <c r="F763" s="2" t="s">
        <v>28</v>
      </c>
      <c r="G763" s="2" t="s">
        <v>29</v>
      </c>
    </row>
    <row r="764" spans="1:7">
      <c r="A764" s="2">
        <v>763</v>
      </c>
      <c r="B764" s="2" t="s">
        <v>92</v>
      </c>
      <c r="C764" s="2" t="s">
        <v>8</v>
      </c>
      <c r="D764" s="2">
        <v>12</v>
      </c>
      <c r="E764" s="3">
        <v>54389</v>
      </c>
      <c r="F764" s="2" t="s">
        <v>38</v>
      </c>
      <c r="G764" s="2" t="s">
        <v>23</v>
      </c>
    </row>
    <row r="765" spans="1:7">
      <c r="A765" s="2">
        <v>764</v>
      </c>
      <c r="B765" s="2" t="s">
        <v>78</v>
      </c>
      <c r="C765" s="2" t="s">
        <v>8</v>
      </c>
      <c r="D765" s="2">
        <v>23</v>
      </c>
      <c r="E765" s="3">
        <v>50704</v>
      </c>
      <c r="F765" s="2" t="s">
        <v>28</v>
      </c>
      <c r="G765" s="2" t="s">
        <v>14</v>
      </c>
    </row>
    <row r="766" spans="1:7">
      <c r="A766" s="2">
        <v>765</v>
      </c>
      <c r="B766" s="2" t="s">
        <v>55</v>
      </c>
      <c r="C766" s="2" t="s">
        <v>8</v>
      </c>
      <c r="D766" s="2">
        <v>14</v>
      </c>
      <c r="E766" s="3">
        <v>59903</v>
      </c>
      <c r="F766" s="2" t="s">
        <v>13</v>
      </c>
      <c r="G766" s="2" t="s">
        <v>10</v>
      </c>
    </row>
    <row r="767" spans="1:7">
      <c r="A767" s="2">
        <v>766</v>
      </c>
      <c r="B767" s="2" t="s">
        <v>70</v>
      </c>
      <c r="C767" s="2" t="s">
        <v>12</v>
      </c>
      <c r="D767" s="2">
        <v>12</v>
      </c>
      <c r="E767" s="3">
        <v>67192</v>
      </c>
      <c r="F767" s="2" t="s">
        <v>38</v>
      </c>
      <c r="G767" s="2" t="s">
        <v>26</v>
      </c>
    </row>
    <row r="768" spans="1:7">
      <c r="A768" s="2">
        <v>767</v>
      </c>
      <c r="B768" s="2" t="s">
        <v>15</v>
      </c>
      <c r="C768" s="2" t="s">
        <v>22</v>
      </c>
      <c r="D768" s="2">
        <v>18</v>
      </c>
      <c r="E768" s="3">
        <v>87999</v>
      </c>
      <c r="F768" s="2" t="s">
        <v>28</v>
      </c>
      <c r="G768" s="2" t="s">
        <v>29</v>
      </c>
    </row>
    <row r="769" spans="1:7">
      <c r="A769" s="2">
        <v>768</v>
      </c>
      <c r="B769" s="2" t="s">
        <v>19</v>
      </c>
      <c r="C769" s="2" t="s">
        <v>8</v>
      </c>
      <c r="D769" s="2">
        <v>18</v>
      </c>
      <c r="E769" s="3">
        <v>96123</v>
      </c>
      <c r="F769" s="2" t="s">
        <v>32</v>
      </c>
      <c r="G769" s="2" t="s">
        <v>18</v>
      </c>
    </row>
    <row r="770" spans="1:7">
      <c r="A770" s="2">
        <v>769</v>
      </c>
      <c r="B770" s="2" t="s">
        <v>27</v>
      </c>
      <c r="C770" s="2" t="s">
        <v>12</v>
      </c>
      <c r="D770" s="2">
        <v>29</v>
      </c>
      <c r="E770" s="3">
        <v>99164</v>
      </c>
      <c r="F770" s="2" t="s">
        <v>25</v>
      </c>
      <c r="G770" s="2" t="s">
        <v>26</v>
      </c>
    </row>
    <row r="771" spans="1:7">
      <c r="A771" s="2">
        <v>770</v>
      </c>
      <c r="B771" s="2" t="s">
        <v>37</v>
      </c>
      <c r="C771" s="2" t="s">
        <v>12</v>
      </c>
      <c r="D771" s="2">
        <v>10</v>
      </c>
      <c r="E771" s="3">
        <v>50200</v>
      </c>
      <c r="F771" s="2" t="s">
        <v>17</v>
      </c>
      <c r="G771" s="2" t="s">
        <v>10</v>
      </c>
    </row>
    <row r="772" spans="1:7">
      <c r="A772" s="2">
        <v>771</v>
      </c>
      <c r="B772" s="2" t="s">
        <v>77</v>
      </c>
      <c r="C772" s="2" t="s">
        <v>16</v>
      </c>
      <c r="D772" s="2">
        <v>3</v>
      </c>
      <c r="E772" s="3">
        <v>88511</v>
      </c>
      <c r="F772" s="2" t="s">
        <v>13</v>
      </c>
      <c r="G772" s="2" t="s">
        <v>14</v>
      </c>
    </row>
    <row r="773" spans="1:7">
      <c r="A773" s="2">
        <v>772</v>
      </c>
      <c r="B773" s="2" t="s">
        <v>51</v>
      </c>
      <c r="C773" s="2" t="s">
        <v>16</v>
      </c>
      <c r="D773" s="2">
        <v>40</v>
      </c>
      <c r="E773" s="3">
        <v>90910</v>
      </c>
      <c r="F773" s="2" t="s">
        <v>25</v>
      </c>
      <c r="G773" s="2" t="s">
        <v>26</v>
      </c>
    </row>
    <row r="774" spans="1:7">
      <c r="A774" s="2">
        <v>773</v>
      </c>
      <c r="B774" s="2" t="s">
        <v>57</v>
      </c>
      <c r="C774" s="2" t="s">
        <v>8</v>
      </c>
      <c r="D774" s="2">
        <v>40</v>
      </c>
      <c r="E774" s="3">
        <v>46021</v>
      </c>
      <c r="F774" s="2" t="s">
        <v>20</v>
      </c>
      <c r="G774" s="2" t="s">
        <v>26</v>
      </c>
    </row>
    <row r="775" spans="1:7">
      <c r="A775" s="2">
        <v>774</v>
      </c>
      <c r="B775" s="2" t="s">
        <v>68</v>
      </c>
      <c r="C775" s="2" t="s">
        <v>22</v>
      </c>
      <c r="D775" s="2">
        <v>40</v>
      </c>
      <c r="E775" s="3">
        <v>84997</v>
      </c>
      <c r="F775" s="2" t="s">
        <v>13</v>
      </c>
      <c r="G775" s="2" t="s">
        <v>18</v>
      </c>
    </row>
    <row r="776" spans="1:7">
      <c r="A776" s="2">
        <v>775</v>
      </c>
      <c r="B776" s="2" t="s">
        <v>64</v>
      </c>
      <c r="C776" s="2" t="s">
        <v>22</v>
      </c>
      <c r="D776" s="2">
        <v>16</v>
      </c>
      <c r="E776" s="3">
        <v>86754</v>
      </c>
      <c r="F776" s="2" t="s">
        <v>32</v>
      </c>
      <c r="G776" s="2" t="s">
        <v>10</v>
      </c>
    </row>
    <row r="777" spans="1:7">
      <c r="A777" s="2">
        <v>776</v>
      </c>
      <c r="B777" s="2" t="s">
        <v>42</v>
      </c>
      <c r="C777" s="2" t="s">
        <v>22</v>
      </c>
      <c r="D777" s="2">
        <v>42</v>
      </c>
      <c r="E777" s="3">
        <v>44478</v>
      </c>
      <c r="F777" s="2" t="s">
        <v>13</v>
      </c>
      <c r="G777" s="2" t="s">
        <v>14</v>
      </c>
    </row>
    <row r="778" spans="1:7">
      <c r="A778" s="2">
        <v>777</v>
      </c>
      <c r="B778" s="2" t="s">
        <v>84</v>
      </c>
      <c r="C778" s="2" t="s">
        <v>12</v>
      </c>
      <c r="D778" s="2">
        <v>19</v>
      </c>
      <c r="E778" s="3">
        <v>35609</v>
      </c>
      <c r="F778" s="2" t="s">
        <v>32</v>
      </c>
      <c r="G778" s="2" t="s">
        <v>26</v>
      </c>
    </row>
    <row r="779" spans="1:7">
      <c r="A779" s="2">
        <v>778</v>
      </c>
      <c r="B779" s="2" t="s">
        <v>62</v>
      </c>
      <c r="C779" s="2" t="s">
        <v>12</v>
      </c>
      <c r="D779" s="2">
        <v>32</v>
      </c>
      <c r="E779" s="3">
        <v>96930</v>
      </c>
      <c r="F779" s="2" t="s">
        <v>25</v>
      </c>
      <c r="G779" s="2" t="s">
        <v>10</v>
      </c>
    </row>
    <row r="780" spans="1:7">
      <c r="A780" s="2">
        <v>779</v>
      </c>
      <c r="B780" s="2" t="s">
        <v>90</v>
      </c>
      <c r="C780" s="2" t="s">
        <v>12</v>
      </c>
      <c r="D780" s="2">
        <v>27</v>
      </c>
      <c r="E780" s="3">
        <v>61213</v>
      </c>
      <c r="F780" s="2" t="s">
        <v>13</v>
      </c>
      <c r="G780" s="2" t="s">
        <v>26</v>
      </c>
    </row>
    <row r="781" spans="1:7">
      <c r="A781" s="2">
        <v>780</v>
      </c>
      <c r="B781" s="2" t="s">
        <v>75</v>
      </c>
      <c r="C781" s="2" t="s">
        <v>12</v>
      </c>
      <c r="D781" s="2">
        <v>36</v>
      </c>
      <c r="E781" s="3">
        <v>65961</v>
      </c>
      <c r="F781" s="2" t="s">
        <v>28</v>
      </c>
      <c r="G781" s="2" t="s">
        <v>29</v>
      </c>
    </row>
    <row r="782" spans="1:7">
      <c r="A782" s="2">
        <v>781</v>
      </c>
      <c r="B782" s="2" t="s">
        <v>63</v>
      </c>
      <c r="C782" s="2" t="s">
        <v>22</v>
      </c>
      <c r="D782" s="2">
        <v>31</v>
      </c>
      <c r="E782" s="3">
        <v>77289</v>
      </c>
      <c r="F782" s="2" t="s">
        <v>17</v>
      </c>
      <c r="G782" s="2" t="s">
        <v>29</v>
      </c>
    </row>
    <row r="783" spans="1:7">
      <c r="A783" s="2">
        <v>782</v>
      </c>
      <c r="B783" s="2" t="s">
        <v>15</v>
      </c>
      <c r="C783" s="2" t="s">
        <v>22</v>
      </c>
      <c r="D783" s="2">
        <v>4</v>
      </c>
      <c r="E783" s="3">
        <v>68813</v>
      </c>
      <c r="F783" s="2" t="s">
        <v>9</v>
      </c>
      <c r="G783" s="2" t="s">
        <v>14</v>
      </c>
    </row>
    <row r="784" spans="1:7">
      <c r="A784" s="2">
        <v>783</v>
      </c>
      <c r="B784" s="2" t="s">
        <v>60</v>
      </c>
      <c r="C784" s="2" t="s">
        <v>16</v>
      </c>
      <c r="D784" s="2">
        <v>6</v>
      </c>
      <c r="E784" s="3">
        <v>38907</v>
      </c>
      <c r="F784" s="2" t="s">
        <v>25</v>
      </c>
      <c r="G784" s="2" t="s">
        <v>29</v>
      </c>
    </row>
    <row r="785" spans="1:7">
      <c r="A785" s="2">
        <v>784</v>
      </c>
      <c r="B785" s="2" t="s">
        <v>80</v>
      </c>
      <c r="C785" s="2" t="s">
        <v>22</v>
      </c>
      <c r="D785" s="2">
        <v>18</v>
      </c>
      <c r="E785" s="3">
        <v>90778</v>
      </c>
      <c r="F785" s="2" t="s">
        <v>32</v>
      </c>
      <c r="G785" s="2" t="s">
        <v>14</v>
      </c>
    </row>
    <row r="786" spans="1:7">
      <c r="A786" s="2">
        <v>785</v>
      </c>
      <c r="B786" s="2" t="s">
        <v>15</v>
      </c>
      <c r="C786" s="2" t="s">
        <v>12</v>
      </c>
      <c r="D786" s="2">
        <v>25</v>
      </c>
      <c r="E786" s="3">
        <v>59575</v>
      </c>
      <c r="F786" s="2" t="s">
        <v>25</v>
      </c>
      <c r="G786" s="2" t="s">
        <v>26</v>
      </c>
    </row>
    <row r="787" spans="1:7">
      <c r="A787" s="2">
        <v>786</v>
      </c>
      <c r="B787" s="2" t="s">
        <v>64</v>
      </c>
      <c r="C787" s="2" t="s">
        <v>12</v>
      </c>
      <c r="D787" s="2">
        <v>9</v>
      </c>
      <c r="E787" s="3">
        <v>35052</v>
      </c>
      <c r="F787" s="2" t="s">
        <v>32</v>
      </c>
      <c r="G787" s="2" t="s">
        <v>23</v>
      </c>
    </row>
    <row r="788" spans="1:7">
      <c r="A788" s="2">
        <v>787</v>
      </c>
      <c r="B788" s="2" t="s">
        <v>48</v>
      </c>
      <c r="C788" s="2" t="s">
        <v>8</v>
      </c>
      <c r="D788" s="2">
        <v>27</v>
      </c>
      <c r="E788" s="3">
        <v>75899</v>
      </c>
      <c r="F788" s="2" t="s">
        <v>25</v>
      </c>
      <c r="G788" s="2" t="s">
        <v>29</v>
      </c>
    </row>
    <row r="789" spans="1:7">
      <c r="A789" s="2">
        <v>788</v>
      </c>
      <c r="B789" s="2" t="s">
        <v>83</v>
      </c>
      <c r="C789" s="2" t="s">
        <v>22</v>
      </c>
      <c r="D789" s="2">
        <v>13</v>
      </c>
      <c r="E789" s="3">
        <v>72061</v>
      </c>
      <c r="F789" s="2" t="s">
        <v>28</v>
      </c>
      <c r="G789" s="2" t="s">
        <v>10</v>
      </c>
    </row>
    <row r="790" spans="1:7">
      <c r="A790" s="2">
        <v>789</v>
      </c>
      <c r="B790" s="2" t="s">
        <v>49</v>
      </c>
      <c r="C790" s="2" t="s">
        <v>22</v>
      </c>
      <c r="D790" s="2">
        <v>42</v>
      </c>
      <c r="E790" s="3">
        <v>82701</v>
      </c>
      <c r="F790" s="2" t="s">
        <v>25</v>
      </c>
      <c r="G790" s="2" t="s">
        <v>10</v>
      </c>
    </row>
    <row r="791" spans="1:7">
      <c r="A791" s="2">
        <v>790</v>
      </c>
      <c r="B791" s="2" t="s">
        <v>89</v>
      </c>
      <c r="C791" s="2" t="s">
        <v>16</v>
      </c>
      <c r="D791" s="2">
        <v>34</v>
      </c>
      <c r="E791" s="3">
        <v>55374</v>
      </c>
      <c r="F791" s="2" t="s">
        <v>13</v>
      </c>
      <c r="G791" s="2" t="s">
        <v>14</v>
      </c>
    </row>
    <row r="792" spans="1:7">
      <c r="A792" s="2">
        <v>791</v>
      </c>
      <c r="B792" s="2" t="s">
        <v>39</v>
      </c>
      <c r="C792" s="2" t="s">
        <v>16</v>
      </c>
      <c r="D792" s="2">
        <v>16</v>
      </c>
      <c r="E792" s="3">
        <v>63101</v>
      </c>
      <c r="F792" s="2" t="s">
        <v>25</v>
      </c>
      <c r="G792" s="2" t="s">
        <v>23</v>
      </c>
    </row>
    <row r="793" spans="1:7">
      <c r="A793" s="2">
        <v>792</v>
      </c>
      <c r="B793" s="2" t="s">
        <v>50</v>
      </c>
      <c r="C793" s="2" t="s">
        <v>12</v>
      </c>
      <c r="D793" s="2">
        <v>41</v>
      </c>
      <c r="E793" s="3">
        <v>65929</v>
      </c>
      <c r="F793" s="2" t="s">
        <v>25</v>
      </c>
      <c r="G793" s="2" t="s">
        <v>26</v>
      </c>
    </row>
    <row r="794" spans="1:7">
      <c r="A794" s="2">
        <v>793</v>
      </c>
      <c r="B794" s="2" t="s">
        <v>49</v>
      </c>
      <c r="C794" s="2" t="s">
        <v>8</v>
      </c>
      <c r="D794" s="2">
        <v>35</v>
      </c>
      <c r="E794" s="3">
        <v>31619</v>
      </c>
      <c r="F794" s="2" t="s">
        <v>17</v>
      </c>
      <c r="G794" s="2" t="s">
        <v>18</v>
      </c>
    </row>
    <row r="795" spans="1:7">
      <c r="A795" s="2">
        <v>794</v>
      </c>
      <c r="B795" s="2" t="s">
        <v>11</v>
      </c>
      <c r="C795" s="2" t="s">
        <v>22</v>
      </c>
      <c r="D795" s="2">
        <v>2</v>
      </c>
      <c r="E795" s="3">
        <v>49425</v>
      </c>
      <c r="F795" s="2" t="s">
        <v>20</v>
      </c>
      <c r="G795" s="2" t="s">
        <v>10</v>
      </c>
    </row>
    <row r="796" spans="1:7">
      <c r="A796" s="2">
        <v>795</v>
      </c>
      <c r="B796" s="2" t="s">
        <v>76</v>
      </c>
      <c r="C796" s="2" t="s">
        <v>22</v>
      </c>
      <c r="D796" s="2">
        <v>25</v>
      </c>
      <c r="E796" s="3">
        <v>49290</v>
      </c>
      <c r="F796" s="2" t="s">
        <v>20</v>
      </c>
      <c r="G796" s="2" t="s">
        <v>23</v>
      </c>
    </row>
    <row r="797" spans="1:7">
      <c r="A797" s="2">
        <v>796</v>
      </c>
      <c r="B797" s="2" t="s">
        <v>39</v>
      </c>
      <c r="C797" s="2" t="s">
        <v>8</v>
      </c>
      <c r="D797" s="2">
        <v>46</v>
      </c>
      <c r="E797" s="3">
        <v>86096</v>
      </c>
      <c r="F797" s="2" t="s">
        <v>25</v>
      </c>
      <c r="G797" s="2" t="s">
        <v>10</v>
      </c>
    </row>
    <row r="798" spans="1:7">
      <c r="A798" s="2">
        <v>797</v>
      </c>
      <c r="B798" s="2" t="s">
        <v>49</v>
      </c>
      <c r="C798" s="2" t="s">
        <v>22</v>
      </c>
      <c r="D798" s="2">
        <v>23</v>
      </c>
      <c r="E798" s="3">
        <v>62268</v>
      </c>
      <c r="F798" s="2" t="s">
        <v>17</v>
      </c>
      <c r="G798" s="2" t="s">
        <v>14</v>
      </c>
    </row>
    <row r="799" spans="1:7">
      <c r="A799" s="2">
        <v>798</v>
      </c>
      <c r="B799" s="2" t="s">
        <v>24</v>
      </c>
      <c r="C799" s="2" t="s">
        <v>16</v>
      </c>
      <c r="D799" s="2">
        <v>31</v>
      </c>
      <c r="E799" s="3">
        <v>74197</v>
      </c>
      <c r="F799" s="2" t="s">
        <v>25</v>
      </c>
      <c r="G799" s="2" t="s">
        <v>14</v>
      </c>
    </row>
    <row r="800" spans="1:7">
      <c r="A800" s="2">
        <v>799</v>
      </c>
      <c r="B800" s="2" t="s">
        <v>88</v>
      </c>
      <c r="C800" s="2" t="s">
        <v>8</v>
      </c>
      <c r="D800" s="2">
        <v>35</v>
      </c>
      <c r="E800" s="3">
        <v>30403</v>
      </c>
      <c r="F800" s="2" t="s">
        <v>38</v>
      </c>
      <c r="G800" s="2" t="s">
        <v>18</v>
      </c>
    </row>
    <row r="801" spans="1:7">
      <c r="A801" s="2">
        <v>800</v>
      </c>
      <c r="B801" s="2" t="s">
        <v>60</v>
      </c>
      <c r="C801" s="2" t="s">
        <v>22</v>
      </c>
      <c r="D801" s="2">
        <v>32</v>
      </c>
      <c r="E801" s="3">
        <v>29073</v>
      </c>
      <c r="F801" s="2" t="s">
        <v>17</v>
      </c>
      <c r="G801" s="2" t="s">
        <v>14</v>
      </c>
    </row>
    <row r="802" spans="1:7">
      <c r="A802" s="2">
        <v>801</v>
      </c>
      <c r="B802" s="2" t="s">
        <v>36</v>
      </c>
      <c r="C802" s="2" t="s">
        <v>16</v>
      </c>
      <c r="D802" s="2">
        <v>23</v>
      </c>
      <c r="E802" s="3">
        <v>44905</v>
      </c>
      <c r="F802" s="2" t="s">
        <v>13</v>
      </c>
      <c r="G802" s="2" t="s">
        <v>18</v>
      </c>
    </row>
    <row r="803" spans="1:7">
      <c r="A803" s="2">
        <v>802</v>
      </c>
      <c r="B803" s="2" t="s">
        <v>71</v>
      </c>
      <c r="C803" s="2" t="s">
        <v>16</v>
      </c>
      <c r="D803" s="2">
        <v>37</v>
      </c>
      <c r="E803" s="3">
        <v>28832</v>
      </c>
      <c r="F803" s="2" t="s">
        <v>13</v>
      </c>
      <c r="G803" s="2" t="s">
        <v>26</v>
      </c>
    </row>
    <row r="804" spans="1:7">
      <c r="A804" s="2">
        <v>803</v>
      </c>
      <c r="B804" s="2" t="s">
        <v>70</v>
      </c>
      <c r="C804" s="2" t="s">
        <v>12</v>
      </c>
      <c r="D804" s="2">
        <v>33</v>
      </c>
      <c r="E804" s="3">
        <v>40615</v>
      </c>
      <c r="F804" s="2" t="s">
        <v>28</v>
      </c>
      <c r="G804" s="2" t="s">
        <v>14</v>
      </c>
    </row>
    <row r="805" spans="1:7">
      <c r="A805" s="2">
        <v>804</v>
      </c>
      <c r="B805" s="2" t="s">
        <v>88</v>
      </c>
      <c r="C805" s="2" t="s">
        <v>22</v>
      </c>
      <c r="D805" s="2">
        <v>21</v>
      </c>
      <c r="E805" s="3">
        <v>63664</v>
      </c>
      <c r="F805" s="2" t="s">
        <v>9</v>
      </c>
      <c r="G805" s="2" t="s">
        <v>10</v>
      </c>
    </row>
    <row r="806" spans="1:7">
      <c r="A806" s="2">
        <v>805</v>
      </c>
      <c r="B806" s="2" t="s">
        <v>73</v>
      </c>
      <c r="C806" s="2" t="s">
        <v>8</v>
      </c>
      <c r="D806" s="2">
        <v>25</v>
      </c>
      <c r="E806" s="3">
        <v>78287</v>
      </c>
      <c r="F806" s="2" t="s">
        <v>28</v>
      </c>
      <c r="G806" s="2" t="s">
        <v>14</v>
      </c>
    </row>
    <row r="807" spans="1:7">
      <c r="A807" s="2">
        <v>806</v>
      </c>
      <c r="B807" s="2" t="s">
        <v>78</v>
      </c>
      <c r="C807" s="2" t="s">
        <v>16</v>
      </c>
      <c r="D807" s="2">
        <v>18</v>
      </c>
      <c r="E807" s="3">
        <v>43613</v>
      </c>
      <c r="F807" s="2" t="s">
        <v>25</v>
      </c>
      <c r="G807" s="2" t="s">
        <v>29</v>
      </c>
    </row>
    <row r="808" spans="1:7">
      <c r="A808" s="2">
        <v>807</v>
      </c>
      <c r="B808" s="2" t="s">
        <v>67</v>
      </c>
      <c r="C808" s="2" t="s">
        <v>16</v>
      </c>
      <c r="D808" s="2">
        <v>12</v>
      </c>
      <c r="E808" s="3">
        <v>82035</v>
      </c>
      <c r="F808" s="2" t="s">
        <v>32</v>
      </c>
      <c r="G808" s="2" t="s">
        <v>26</v>
      </c>
    </row>
    <row r="809" spans="1:7">
      <c r="A809" s="2">
        <v>808</v>
      </c>
      <c r="B809" s="2" t="s">
        <v>68</v>
      </c>
      <c r="C809" s="2" t="s">
        <v>12</v>
      </c>
      <c r="D809" s="2">
        <v>2</v>
      </c>
      <c r="E809" s="3">
        <v>82337</v>
      </c>
      <c r="F809" s="2" t="s">
        <v>20</v>
      </c>
      <c r="G809" s="2" t="s">
        <v>26</v>
      </c>
    </row>
    <row r="810" spans="1:7">
      <c r="A810" s="2">
        <v>809</v>
      </c>
      <c r="B810" s="2" t="s">
        <v>76</v>
      </c>
      <c r="C810" s="2" t="s">
        <v>8</v>
      </c>
      <c r="D810" s="2">
        <v>21</v>
      </c>
      <c r="E810" s="3">
        <v>46921</v>
      </c>
      <c r="F810" s="2" t="s">
        <v>25</v>
      </c>
      <c r="G810" s="2" t="s">
        <v>23</v>
      </c>
    </row>
    <row r="811" spans="1:7">
      <c r="A811" s="2">
        <v>810</v>
      </c>
      <c r="B811" s="2" t="s">
        <v>70</v>
      </c>
      <c r="C811" s="2" t="s">
        <v>12</v>
      </c>
      <c r="D811" s="2">
        <v>39</v>
      </c>
      <c r="E811" s="3">
        <v>49551</v>
      </c>
      <c r="F811" s="2" t="s">
        <v>25</v>
      </c>
      <c r="G811" s="2" t="s">
        <v>10</v>
      </c>
    </row>
    <row r="812" spans="1:7">
      <c r="A812" s="2">
        <v>811</v>
      </c>
      <c r="B812" s="2" t="s">
        <v>78</v>
      </c>
      <c r="C812" s="2" t="s">
        <v>16</v>
      </c>
      <c r="D812" s="2">
        <v>15</v>
      </c>
      <c r="E812" s="3">
        <v>90782</v>
      </c>
      <c r="F812" s="2" t="s">
        <v>38</v>
      </c>
      <c r="G812" s="2" t="s">
        <v>26</v>
      </c>
    </row>
    <row r="813" spans="1:7">
      <c r="A813" s="2">
        <v>812</v>
      </c>
      <c r="B813" s="2" t="s">
        <v>58</v>
      </c>
      <c r="C813" s="2" t="s">
        <v>22</v>
      </c>
      <c r="D813" s="2">
        <v>2</v>
      </c>
      <c r="E813" s="3">
        <v>78256</v>
      </c>
      <c r="F813" s="2" t="s">
        <v>28</v>
      </c>
      <c r="G813" s="2" t="s">
        <v>23</v>
      </c>
    </row>
    <row r="814" spans="1:7">
      <c r="A814" s="2">
        <v>813</v>
      </c>
      <c r="B814" s="2" t="s">
        <v>7</v>
      </c>
      <c r="C814" s="2" t="s">
        <v>8</v>
      </c>
      <c r="D814" s="2">
        <v>50</v>
      </c>
      <c r="E814" s="3">
        <v>52545</v>
      </c>
      <c r="F814" s="2" t="s">
        <v>32</v>
      </c>
      <c r="G814" s="2" t="s">
        <v>29</v>
      </c>
    </row>
    <row r="815" spans="1:7">
      <c r="A815" s="2">
        <v>814</v>
      </c>
      <c r="B815" s="2" t="s">
        <v>59</v>
      </c>
      <c r="C815" s="2" t="s">
        <v>22</v>
      </c>
      <c r="D815" s="2">
        <v>18</v>
      </c>
      <c r="E815" s="3">
        <v>39124</v>
      </c>
      <c r="F815" s="2" t="s">
        <v>32</v>
      </c>
      <c r="G815" s="2" t="s">
        <v>26</v>
      </c>
    </row>
    <row r="816" spans="1:7">
      <c r="A816" s="2">
        <v>815</v>
      </c>
      <c r="B816" s="2" t="s">
        <v>56</v>
      </c>
      <c r="C816" s="2" t="s">
        <v>22</v>
      </c>
      <c r="D816" s="2">
        <v>4</v>
      </c>
      <c r="E816" s="3">
        <v>61756</v>
      </c>
      <c r="F816" s="2" t="s">
        <v>32</v>
      </c>
      <c r="G816" s="2" t="s">
        <v>23</v>
      </c>
    </row>
    <row r="817" spans="1:7">
      <c r="A817" s="2">
        <v>816</v>
      </c>
      <c r="B817" s="2" t="s">
        <v>60</v>
      </c>
      <c r="C817" s="2" t="s">
        <v>12</v>
      </c>
      <c r="D817" s="2">
        <v>31</v>
      </c>
      <c r="E817" s="3">
        <v>91466</v>
      </c>
      <c r="F817" s="2" t="s">
        <v>38</v>
      </c>
      <c r="G817" s="2" t="s">
        <v>29</v>
      </c>
    </row>
    <row r="818" spans="1:7">
      <c r="A818" s="2">
        <v>817</v>
      </c>
      <c r="B818" s="2" t="s">
        <v>33</v>
      </c>
      <c r="C818" s="2" t="s">
        <v>16</v>
      </c>
      <c r="D818" s="2">
        <v>34</v>
      </c>
      <c r="E818" s="3">
        <v>45030</v>
      </c>
      <c r="F818" s="2" t="s">
        <v>17</v>
      </c>
      <c r="G818" s="2" t="s">
        <v>14</v>
      </c>
    </row>
    <row r="819" spans="1:7">
      <c r="A819" s="2">
        <v>818</v>
      </c>
      <c r="B819" s="2" t="s">
        <v>85</v>
      </c>
      <c r="C819" s="2" t="s">
        <v>22</v>
      </c>
      <c r="D819" s="2">
        <v>23</v>
      </c>
      <c r="E819" s="3">
        <v>71010</v>
      </c>
      <c r="F819" s="2" t="s">
        <v>20</v>
      </c>
      <c r="G819" s="2" t="s">
        <v>14</v>
      </c>
    </row>
    <row r="820" spans="1:7">
      <c r="A820" s="2">
        <v>819</v>
      </c>
      <c r="B820" s="2" t="s">
        <v>68</v>
      </c>
      <c r="C820" s="2" t="s">
        <v>8</v>
      </c>
      <c r="D820" s="2">
        <v>50</v>
      </c>
      <c r="E820" s="3">
        <v>83941</v>
      </c>
      <c r="F820" s="2" t="s">
        <v>9</v>
      </c>
      <c r="G820" s="2" t="s">
        <v>26</v>
      </c>
    </row>
    <row r="821" spans="1:7">
      <c r="A821" s="2">
        <v>820</v>
      </c>
      <c r="B821" s="2" t="s">
        <v>83</v>
      </c>
      <c r="C821" s="2" t="s">
        <v>12</v>
      </c>
      <c r="D821" s="2">
        <v>38</v>
      </c>
      <c r="E821" s="3">
        <v>51857</v>
      </c>
      <c r="F821" s="2" t="s">
        <v>25</v>
      </c>
      <c r="G821" s="2" t="s">
        <v>29</v>
      </c>
    </row>
    <row r="822" spans="1:7">
      <c r="A822" s="2">
        <v>821</v>
      </c>
      <c r="B822" s="2" t="s">
        <v>54</v>
      </c>
      <c r="C822" s="2" t="s">
        <v>8</v>
      </c>
      <c r="D822" s="2">
        <v>15</v>
      </c>
      <c r="E822" s="3">
        <v>61464</v>
      </c>
      <c r="F822" s="2" t="s">
        <v>9</v>
      </c>
      <c r="G822" s="2" t="s">
        <v>10</v>
      </c>
    </row>
    <row r="823" spans="1:7">
      <c r="A823" s="2">
        <v>822</v>
      </c>
      <c r="B823" s="2" t="s">
        <v>62</v>
      </c>
      <c r="C823" s="2" t="s">
        <v>22</v>
      </c>
      <c r="D823" s="2">
        <v>11</v>
      </c>
      <c r="E823" s="3">
        <v>70215</v>
      </c>
      <c r="F823" s="2" t="s">
        <v>17</v>
      </c>
      <c r="G823" s="2" t="s">
        <v>26</v>
      </c>
    </row>
    <row r="824" spans="1:7">
      <c r="A824" s="2">
        <v>823</v>
      </c>
      <c r="B824" s="2" t="s">
        <v>7</v>
      </c>
      <c r="C824" s="2" t="s">
        <v>8</v>
      </c>
      <c r="D824" s="2">
        <v>7</v>
      </c>
      <c r="E824" s="3">
        <v>64931</v>
      </c>
      <c r="F824" s="2" t="s">
        <v>25</v>
      </c>
      <c r="G824" s="2" t="s">
        <v>14</v>
      </c>
    </row>
    <row r="825" spans="1:7">
      <c r="A825" s="2">
        <v>824</v>
      </c>
      <c r="B825" s="2" t="s">
        <v>42</v>
      </c>
      <c r="C825" s="2" t="s">
        <v>12</v>
      </c>
      <c r="D825" s="2">
        <v>16</v>
      </c>
      <c r="E825" s="3">
        <v>55840</v>
      </c>
      <c r="F825" s="2" t="s">
        <v>13</v>
      </c>
      <c r="G825" s="2" t="s">
        <v>10</v>
      </c>
    </row>
    <row r="826" spans="1:7">
      <c r="A826" s="2">
        <v>825</v>
      </c>
      <c r="B826" s="2" t="s">
        <v>65</v>
      </c>
      <c r="C826" s="2" t="s">
        <v>12</v>
      </c>
      <c r="D826" s="2">
        <v>43</v>
      </c>
      <c r="E826" s="3">
        <v>35956</v>
      </c>
      <c r="F826" s="2" t="s">
        <v>9</v>
      </c>
      <c r="G826" s="2" t="s">
        <v>23</v>
      </c>
    </row>
    <row r="827" spans="1:7">
      <c r="A827" s="2">
        <v>826</v>
      </c>
      <c r="B827" s="2" t="s">
        <v>75</v>
      </c>
      <c r="C827" s="2" t="s">
        <v>16</v>
      </c>
      <c r="D827" s="2">
        <v>16</v>
      </c>
      <c r="E827" s="3">
        <v>71884</v>
      </c>
      <c r="F827" s="2" t="s">
        <v>9</v>
      </c>
      <c r="G827" s="2" t="s">
        <v>14</v>
      </c>
    </row>
    <row r="828" spans="1:7">
      <c r="A828" s="2">
        <v>827</v>
      </c>
      <c r="B828" s="2" t="s">
        <v>74</v>
      </c>
      <c r="C828" s="2" t="s">
        <v>8</v>
      </c>
      <c r="D828" s="2">
        <v>18</v>
      </c>
      <c r="E828" s="3">
        <v>42087</v>
      </c>
      <c r="F828" s="2" t="s">
        <v>25</v>
      </c>
      <c r="G828" s="2" t="s">
        <v>29</v>
      </c>
    </row>
    <row r="829" spans="1:7">
      <c r="A829" s="2">
        <v>828</v>
      </c>
      <c r="B829" s="2" t="s">
        <v>33</v>
      </c>
      <c r="C829" s="2" t="s">
        <v>12</v>
      </c>
      <c r="D829" s="2">
        <v>35</v>
      </c>
      <c r="E829" s="3">
        <v>34601</v>
      </c>
      <c r="F829" s="2" t="s">
        <v>25</v>
      </c>
      <c r="G829" s="2" t="s">
        <v>26</v>
      </c>
    </row>
    <row r="830" spans="1:7">
      <c r="A830" s="2">
        <v>829</v>
      </c>
      <c r="B830" s="2" t="s">
        <v>63</v>
      </c>
      <c r="C830" s="2" t="s">
        <v>12</v>
      </c>
      <c r="D830" s="2">
        <v>48</v>
      </c>
      <c r="E830" s="3">
        <v>33400</v>
      </c>
      <c r="F830" s="2" t="s">
        <v>32</v>
      </c>
      <c r="G830" s="2" t="s">
        <v>26</v>
      </c>
    </row>
    <row r="831" spans="1:7">
      <c r="A831" s="2">
        <v>830</v>
      </c>
      <c r="B831" s="2" t="s">
        <v>33</v>
      </c>
      <c r="C831" s="2" t="s">
        <v>16</v>
      </c>
      <c r="D831" s="2">
        <v>4</v>
      </c>
      <c r="E831" s="3">
        <v>76499</v>
      </c>
      <c r="F831" s="2" t="s">
        <v>32</v>
      </c>
      <c r="G831" s="2" t="s">
        <v>29</v>
      </c>
    </row>
    <row r="832" spans="1:7">
      <c r="A832" s="2">
        <v>831</v>
      </c>
      <c r="B832" s="2" t="s">
        <v>42</v>
      </c>
      <c r="C832" s="2" t="s">
        <v>12</v>
      </c>
      <c r="D832" s="2">
        <v>49</v>
      </c>
      <c r="E832" s="3">
        <v>40602</v>
      </c>
      <c r="F832" s="2" t="s">
        <v>38</v>
      </c>
      <c r="G832" s="2" t="s">
        <v>14</v>
      </c>
    </row>
    <row r="833" spans="1:7">
      <c r="A833" s="2">
        <v>832</v>
      </c>
      <c r="B833" s="2" t="s">
        <v>30</v>
      </c>
      <c r="C833" s="2" t="s">
        <v>22</v>
      </c>
      <c r="D833" s="2">
        <v>15</v>
      </c>
      <c r="E833" s="3">
        <v>72557</v>
      </c>
      <c r="F833" s="2" t="s">
        <v>13</v>
      </c>
      <c r="G833" s="2" t="s">
        <v>29</v>
      </c>
    </row>
    <row r="834" spans="1:7">
      <c r="A834" s="2">
        <v>833</v>
      </c>
      <c r="B834" s="2" t="s">
        <v>34</v>
      </c>
      <c r="C834" s="2" t="s">
        <v>8</v>
      </c>
      <c r="D834" s="2">
        <v>37</v>
      </c>
      <c r="E834" s="3">
        <v>56658</v>
      </c>
      <c r="F834" s="2" t="s">
        <v>38</v>
      </c>
      <c r="G834" s="2" t="s">
        <v>26</v>
      </c>
    </row>
    <row r="835" spans="1:7">
      <c r="A835" s="2">
        <v>834</v>
      </c>
      <c r="B835" s="2" t="s">
        <v>88</v>
      </c>
      <c r="C835" s="2" t="s">
        <v>16</v>
      </c>
      <c r="D835" s="2">
        <v>25</v>
      </c>
      <c r="E835" s="3">
        <v>82009</v>
      </c>
      <c r="F835" s="2" t="s">
        <v>28</v>
      </c>
      <c r="G835" s="2" t="s">
        <v>14</v>
      </c>
    </row>
    <row r="836" spans="1:7">
      <c r="A836" s="2">
        <v>835</v>
      </c>
      <c r="B836" s="2" t="s">
        <v>88</v>
      </c>
      <c r="C836" s="2" t="s">
        <v>22</v>
      </c>
      <c r="D836" s="2">
        <v>23</v>
      </c>
      <c r="E836" s="3">
        <v>41515</v>
      </c>
      <c r="F836" s="2" t="s">
        <v>13</v>
      </c>
      <c r="G836" s="2" t="s">
        <v>18</v>
      </c>
    </row>
    <row r="837" spans="1:7">
      <c r="A837" s="2">
        <v>836</v>
      </c>
      <c r="B837" s="2" t="s">
        <v>70</v>
      </c>
      <c r="C837" s="2" t="s">
        <v>22</v>
      </c>
      <c r="D837" s="2">
        <v>12</v>
      </c>
      <c r="E837" s="3">
        <v>61309</v>
      </c>
      <c r="F837" s="2" t="s">
        <v>32</v>
      </c>
      <c r="G837" s="2" t="s">
        <v>14</v>
      </c>
    </row>
    <row r="838" spans="1:7">
      <c r="A838" s="2">
        <v>837</v>
      </c>
      <c r="B838" s="2" t="s">
        <v>33</v>
      </c>
      <c r="C838" s="2" t="s">
        <v>8</v>
      </c>
      <c r="D838" s="2">
        <v>12</v>
      </c>
      <c r="E838" s="3">
        <v>69282</v>
      </c>
      <c r="F838" s="2" t="s">
        <v>32</v>
      </c>
      <c r="G838" s="2" t="s">
        <v>10</v>
      </c>
    </row>
    <row r="839" spans="1:7">
      <c r="A839" s="2">
        <v>838</v>
      </c>
      <c r="B839" s="2" t="s">
        <v>79</v>
      </c>
      <c r="C839" s="2" t="s">
        <v>16</v>
      </c>
      <c r="D839" s="2">
        <v>16</v>
      </c>
      <c r="E839" s="3">
        <v>94534</v>
      </c>
      <c r="F839" s="2" t="s">
        <v>32</v>
      </c>
      <c r="G839" s="2" t="s">
        <v>23</v>
      </c>
    </row>
    <row r="840" spans="1:7">
      <c r="A840" s="2">
        <v>839</v>
      </c>
      <c r="B840" s="2" t="s">
        <v>15</v>
      </c>
      <c r="C840" s="2" t="s">
        <v>12</v>
      </c>
      <c r="D840" s="2">
        <v>38</v>
      </c>
      <c r="E840" s="3">
        <v>97526</v>
      </c>
      <c r="F840" s="2" t="s">
        <v>20</v>
      </c>
      <c r="G840" s="2" t="s">
        <v>29</v>
      </c>
    </row>
    <row r="841" spans="1:7">
      <c r="A841" s="2">
        <v>840</v>
      </c>
      <c r="B841" s="2" t="s">
        <v>90</v>
      </c>
      <c r="C841" s="2" t="s">
        <v>16</v>
      </c>
      <c r="D841" s="2">
        <v>21</v>
      </c>
      <c r="E841" s="3">
        <v>36028</v>
      </c>
      <c r="F841" s="2" t="s">
        <v>25</v>
      </c>
      <c r="G841" s="2" t="s">
        <v>23</v>
      </c>
    </row>
    <row r="842" spans="1:7">
      <c r="A842" s="2">
        <v>841</v>
      </c>
      <c r="B842" s="2" t="s">
        <v>71</v>
      </c>
      <c r="C842" s="2" t="s">
        <v>12</v>
      </c>
      <c r="D842" s="2">
        <v>48</v>
      </c>
      <c r="E842" s="3">
        <v>84645</v>
      </c>
      <c r="F842" s="2" t="s">
        <v>9</v>
      </c>
      <c r="G842" s="2" t="s">
        <v>14</v>
      </c>
    </row>
    <row r="843" spans="1:7">
      <c r="A843" s="2">
        <v>842</v>
      </c>
      <c r="B843" s="2" t="s">
        <v>36</v>
      </c>
      <c r="C843" s="2" t="s">
        <v>8</v>
      </c>
      <c r="D843" s="2">
        <v>45</v>
      </c>
      <c r="E843" s="3">
        <v>27846</v>
      </c>
      <c r="F843" s="2" t="s">
        <v>9</v>
      </c>
      <c r="G843" s="2" t="s">
        <v>14</v>
      </c>
    </row>
    <row r="844" spans="1:7">
      <c r="A844" s="2">
        <v>843</v>
      </c>
      <c r="B844" s="2" t="s">
        <v>54</v>
      </c>
      <c r="C844" s="2" t="s">
        <v>8</v>
      </c>
      <c r="D844" s="2">
        <v>23</v>
      </c>
      <c r="E844" s="3">
        <v>33076</v>
      </c>
      <c r="F844" s="2" t="s">
        <v>17</v>
      </c>
      <c r="G844" s="2" t="s">
        <v>14</v>
      </c>
    </row>
    <row r="845" spans="1:7">
      <c r="A845" s="2">
        <v>844</v>
      </c>
      <c r="B845" s="2" t="s">
        <v>7</v>
      </c>
      <c r="C845" s="2" t="s">
        <v>22</v>
      </c>
      <c r="D845" s="2">
        <v>38</v>
      </c>
      <c r="E845" s="3">
        <v>87993</v>
      </c>
      <c r="F845" s="2" t="s">
        <v>9</v>
      </c>
      <c r="G845" s="2" t="s">
        <v>10</v>
      </c>
    </row>
    <row r="846" spans="1:7">
      <c r="A846" s="2">
        <v>845</v>
      </c>
      <c r="B846" s="2" t="s">
        <v>42</v>
      </c>
      <c r="C846" s="2" t="s">
        <v>22</v>
      </c>
      <c r="D846" s="2">
        <v>2</v>
      </c>
      <c r="E846" s="3">
        <v>65998</v>
      </c>
      <c r="F846" s="2" t="s">
        <v>32</v>
      </c>
      <c r="G846" s="2" t="s">
        <v>23</v>
      </c>
    </row>
    <row r="847" spans="1:7">
      <c r="A847" s="2">
        <v>846</v>
      </c>
      <c r="B847" s="2" t="s">
        <v>21</v>
      </c>
      <c r="C847" s="2" t="s">
        <v>22</v>
      </c>
      <c r="D847" s="2">
        <v>46</v>
      </c>
      <c r="E847" s="3">
        <v>31641</v>
      </c>
      <c r="F847" s="2" t="s">
        <v>13</v>
      </c>
      <c r="G847" s="2" t="s">
        <v>23</v>
      </c>
    </row>
    <row r="848" spans="1:7">
      <c r="A848" s="2">
        <v>847</v>
      </c>
      <c r="B848" s="2" t="s">
        <v>49</v>
      </c>
      <c r="C848" s="2" t="s">
        <v>8</v>
      </c>
      <c r="D848" s="2">
        <v>45</v>
      </c>
      <c r="E848" s="3">
        <v>50629</v>
      </c>
      <c r="F848" s="2" t="s">
        <v>13</v>
      </c>
      <c r="G848" s="2" t="s">
        <v>29</v>
      </c>
    </row>
    <row r="849" spans="1:7">
      <c r="A849" s="2">
        <v>848</v>
      </c>
      <c r="B849" s="2" t="s">
        <v>31</v>
      </c>
      <c r="C849" s="2" t="s">
        <v>12</v>
      </c>
      <c r="D849" s="2">
        <v>23</v>
      </c>
      <c r="E849" s="3">
        <v>97702</v>
      </c>
      <c r="F849" s="2" t="s">
        <v>38</v>
      </c>
      <c r="G849" s="2" t="s">
        <v>14</v>
      </c>
    </row>
    <row r="850" spans="1:7">
      <c r="A850" s="2">
        <v>849</v>
      </c>
      <c r="B850" s="2" t="s">
        <v>72</v>
      </c>
      <c r="C850" s="2" t="s">
        <v>8</v>
      </c>
      <c r="D850" s="2">
        <v>37</v>
      </c>
      <c r="E850" s="3">
        <v>30605</v>
      </c>
      <c r="F850" s="2" t="s">
        <v>13</v>
      </c>
      <c r="G850" s="2" t="s">
        <v>29</v>
      </c>
    </row>
    <row r="851" spans="1:7">
      <c r="A851" s="2">
        <v>850</v>
      </c>
      <c r="B851" s="2" t="s">
        <v>42</v>
      </c>
      <c r="C851" s="2" t="s">
        <v>8</v>
      </c>
      <c r="D851" s="2">
        <v>37</v>
      </c>
      <c r="E851" s="3">
        <v>71706</v>
      </c>
      <c r="F851" s="2" t="s">
        <v>17</v>
      </c>
      <c r="G851" s="2" t="s">
        <v>10</v>
      </c>
    </row>
    <row r="852" spans="1:7">
      <c r="A852" s="2">
        <v>851</v>
      </c>
      <c r="B852" s="2" t="s">
        <v>50</v>
      </c>
      <c r="C852" s="2" t="s">
        <v>22</v>
      </c>
      <c r="D852" s="2">
        <v>10</v>
      </c>
      <c r="E852" s="3">
        <v>86134</v>
      </c>
      <c r="F852" s="2" t="s">
        <v>13</v>
      </c>
      <c r="G852" s="2" t="s">
        <v>18</v>
      </c>
    </row>
    <row r="853" spans="1:7">
      <c r="A853" s="2">
        <v>852</v>
      </c>
      <c r="B853" s="2" t="s">
        <v>57</v>
      </c>
      <c r="C853" s="2" t="s">
        <v>16</v>
      </c>
      <c r="D853" s="2">
        <v>37</v>
      </c>
      <c r="E853" s="3">
        <v>42692</v>
      </c>
      <c r="F853" s="2" t="s">
        <v>38</v>
      </c>
      <c r="G853" s="2" t="s">
        <v>26</v>
      </c>
    </row>
    <row r="854" spans="1:7">
      <c r="A854" s="2">
        <v>853</v>
      </c>
      <c r="B854" s="2" t="s">
        <v>7</v>
      </c>
      <c r="C854" s="2" t="s">
        <v>22</v>
      </c>
      <c r="D854" s="2">
        <v>13</v>
      </c>
      <c r="E854" s="3">
        <v>95613</v>
      </c>
      <c r="F854" s="2" t="s">
        <v>20</v>
      </c>
      <c r="G854" s="2" t="s">
        <v>26</v>
      </c>
    </row>
    <row r="855" spans="1:7">
      <c r="A855" s="2">
        <v>854</v>
      </c>
      <c r="B855" s="2" t="s">
        <v>83</v>
      </c>
      <c r="C855" s="2" t="s">
        <v>16</v>
      </c>
      <c r="D855" s="2">
        <v>32</v>
      </c>
      <c r="E855" s="3">
        <v>26167</v>
      </c>
      <c r="F855" s="2" t="s">
        <v>9</v>
      </c>
      <c r="G855" s="2" t="s">
        <v>10</v>
      </c>
    </row>
    <row r="856" spans="1:7">
      <c r="A856" s="2">
        <v>855</v>
      </c>
      <c r="B856" s="2" t="s">
        <v>35</v>
      </c>
      <c r="C856" s="2" t="s">
        <v>12</v>
      </c>
      <c r="D856" s="2">
        <v>35</v>
      </c>
      <c r="E856" s="3">
        <v>43670</v>
      </c>
      <c r="F856" s="2" t="s">
        <v>9</v>
      </c>
      <c r="G856" s="2" t="s">
        <v>18</v>
      </c>
    </row>
    <row r="857" spans="1:7">
      <c r="A857" s="2">
        <v>856</v>
      </c>
      <c r="B857" s="2" t="s">
        <v>74</v>
      </c>
      <c r="C857" s="2" t="s">
        <v>12</v>
      </c>
      <c r="D857" s="2">
        <v>20</v>
      </c>
      <c r="E857" s="3">
        <v>96717</v>
      </c>
      <c r="F857" s="2" t="s">
        <v>38</v>
      </c>
      <c r="G857" s="2" t="s">
        <v>14</v>
      </c>
    </row>
    <row r="858" spans="1:7">
      <c r="A858" s="2">
        <v>857</v>
      </c>
      <c r="B858" s="2" t="s">
        <v>56</v>
      </c>
      <c r="C858" s="2" t="s">
        <v>12</v>
      </c>
      <c r="D858" s="2">
        <v>12</v>
      </c>
      <c r="E858" s="3">
        <v>52258</v>
      </c>
      <c r="F858" s="2" t="s">
        <v>32</v>
      </c>
      <c r="G858" s="2" t="s">
        <v>26</v>
      </c>
    </row>
    <row r="859" spans="1:7">
      <c r="A859" s="2">
        <v>858</v>
      </c>
      <c r="B859" s="2" t="s">
        <v>90</v>
      </c>
      <c r="C859" s="2" t="s">
        <v>22</v>
      </c>
      <c r="D859" s="2">
        <v>32</v>
      </c>
      <c r="E859" s="3">
        <v>83772</v>
      </c>
      <c r="F859" s="2" t="s">
        <v>13</v>
      </c>
      <c r="G859" s="2" t="s">
        <v>23</v>
      </c>
    </row>
    <row r="860" spans="1:7">
      <c r="A860" s="2">
        <v>859</v>
      </c>
      <c r="B860" s="2" t="s">
        <v>84</v>
      </c>
      <c r="C860" s="2" t="s">
        <v>22</v>
      </c>
      <c r="D860" s="2">
        <v>3</v>
      </c>
      <c r="E860" s="3">
        <v>27710</v>
      </c>
      <c r="F860" s="2" t="s">
        <v>38</v>
      </c>
      <c r="G860" s="2" t="s">
        <v>23</v>
      </c>
    </row>
    <row r="861" spans="1:7">
      <c r="A861" s="2">
        <v>860</v>
      </c>
      <c r="B861" s="2" t="s">
        <v>55</v>
      </c>
      <c r="C861" s="2" t="s">
        <v>22</v>
      </c>
      <c r="D861" s="2">
        <v>6</v>
      </c>
      <c r="E861" s="3">
        <v>65375</v>
      </c>
      <c r="F861" s="2" t="s">
        <v>13</v>
      </c>
      <c r="G861" s="2" t="s">
        <v>29</v>
      </c>
    </row>
    <row r="862" spans="1:7">
      <c r="A862" s="2">
        <v>861</v>
      </c>
      <c r="B862" s="2" t="s">
        <v>76</v>
      </c>
      <c r="C862" s="2" t="s">
        <v>8</v>
      </c>
      <c r="D862" s="2">
        <v>4</v>
      </c>
      <c r="E862" s="3">
        <v>79634</v>
      </c>
      <c r="F862" s="2" t="s">
        <v>38</v>
      </c>
      <c r="G862" s="2" t="s">
        <v>18</v>
      </c>
    </row>
    <row r="863" spans="1:7">
      <c r="A863" s="2">
        <v>862</v>
      </c>
      <c r="B863" s="2" t="s">
        <v>42</v>
      </c>
      <c r="C863" s="2" t="s">
        <v>22</v>
      </c>
      <c r="D863" s="2">
        <v>15</v>
      </c>
      <c r="E863" s="3">
        <v>57786</v>
      </c>
      <c r="F863" s="2" t="s">
        <v>32</v>
      </c>
      <c r="G863" s="2" t="s">
        <v>29</v>
      </c>
    </row>
    <row r="864" spans="1:7">
      <c r="A864" s="2">
        <v>863</v>
      </c>
      <c r="B864" s="2" t="s">
        <v>70</v>
      </c>
      <c r="C864" s="2" t="s">
        <v>8</v>
      </c>
      <c r="D864" s="2">
        <v>39</v>
      </c>
      <c r="E864" s="3">
        <v>82534</v>
      </c>
      <c r="F864" s="2" t="s">
        <v>28</v>
      </c>
      <c r="G864" s="2" t="s">
        <v>14</v>
      </c>
    </row>
    <row r="865" spans="1:7">
      <c r="A865" s="2">
        <v>864</v>
      </c>
      <c r="B865" s="2" t="s">
        <v>62</v>
      </c>
      <c r="C865" s="2" t="s">
        <v>12</v>
      </c>
      <c r="D865" s="2">
        <v>15</v>
      </c>
      <c r="E865" s="3">
        <v>77575</v>
      </c>
      <c r="F865" s="2" t="s">
        <v>9</v>
      </c>
      <c r="G865" s="2" t="s">
        <v>23</v>
      </c>
    </row>
    <row r="866" spans="1:7">
      <c r="A866" s="2">
        <v>865</v>
      </c>
      <c r="B866" s="2" t="s">
        <v>43</v>
      </c>
      <c r="C866" s="2" t="s">
        <v>22</v>
      </c>
      <c r="D866" s="2">
        <v>2</v>
      </c>
      <c r="E866" s="3">
        <v>94671</v>
      </c>
      <c r="F866" s="2" t="s">
        <v>13</v>
      </c>
      <c r="G866" s="2" t="s">
        <v>29</v>
      </c>
    </row>
    <row r="867" spans="1:7">
      <c r="A867" s="2">
        <v>866</v>
      </c>
      <c r="B867" s="2" t="s">
        <v>7</v>
      </c>
      <c r="C867" s="2" t="s">
        <v>8</v>
      </c>
      <c r="D867" s="2">
        <v>34</v>
      </c>
      <c r="E867" s="3">
        <v>48137</v>
      </c>
      <c r="F867" s="2" t="s">
        <v>28</v>
      </c>
      <c r="G867" s="2" t="s">
        <v>18</v>
      </c>
    </row>
    <row r="868" spans="1:7">
      <c r="A868" s="2">
        <v>867</v>
      </c>
      <c r="B868" s="2" t="s">
        <v>80</v>
      </c>
      <c r="C868" s="2" t="s">
        <v>12</v>
      </c>
      <c r="D868" s="2">
        <v>31</v>
      </c>
      <c r="E868" s="3">
        <v>28199</v>
      </c>
      <c r="F868" s="2" t="s">
        <v>28</v>
      </c>
      <c r="G868" s="2" t="s">
        <v>14</v>
      </c>
    </row>
    <row r="869" spans="1:7">
      <c r="A869" s="2">
        <v>868</v>
      </c>
      <c r="B869" s="2" t="s">
        <v>70</v>
      </c>
      <c r="C869" s="2" t="s">
        <v>12</v>
      </c>
      <c r="D869" s="2">
        <v>1</v>
      </c>
      <c r="E869" s="3">
        <v>65557</v>
      </c>
      <c r="F869" s="2" t="s">
        <v>9</v>
      </c>
      <c r="G869" s="2" t="s">
        <v>14</v>
      </c>
    </row>
    <row r="870" spans="1:7">
      <c r="A870" s="2">
        <v>869</v>
      </c>
      <c r="B870" s="2" t="s">
        <v>93</v>
      </c>
      <c r="C870" s="2" t="s">
        <v>22</v>
      </c>
      <c r="D870" s="2">
        <v>22</v>
      </c>
      <c r="E870" s="3">
        <v>84528</v>
      </c>
      <c r="F870" s="2" t="s">
        <v>25</v>
      </c>
      <c r="G870" s="2" t="s">
        <v>18</v>
      </c>
    </row>
    <row r="871" spans="1:7">
      <c r="A871" s="2">
        <v>870</v>
      </c>
      <c r="B871" s="2" t="s">
        <v>66</v>
      </c>
      <c r="C871" s="2" t="s">
        <v>16</v>
      </c>
      <c r="D871" s="2">
        <v>40</v>
      </c>
      <c r="E871" s="3">
        <v>72159</v>
      </c>
      <c r="F871" s="2" t="s">
        <v>13</v>
      </c>
      <c r="G871" s="2" t="s">
        <v>29</v>
      </c>
    </row>
    <row r="872" spans="1:7">
      <c r="A872" s="2">
        <v>871</v>
      </c>
      <c r="B872" s="2" t="s">
        <v>79</v>
      </c>
      <c r="C872" s="2" t="s">
        <v>16</v>
      </c>
      <c r="D872" s="2">
        <v>13</v>
      </c>
      <c r="E872" s="3">
        <v>77908</v>
      </c>
      <c r="F872" s="2" t="s">
        <v>28</v>
      </c>
      <c r="G872" s="2" t="s">
        <v>10</v>
      </c>
    </row>
    <row r="873" spans="1:7">
      <c r="A873" s="2">
        <v>872</v>
      </c>
      <c r="B873" s="2" t="s">
        <v>7</v>
      </c>
      <c r="C873" s="2" t="s">
        <v>12</v>
      </c>
      <c r="D873" s="2">
        <v>9</v>
      </c>
      <c r="E873" s="3">
        <v>93756</v>
      </c>
      <c r="F873" s="2" t="s">
        <v>38</v>
      </c>
      <c r="G873" s="2" t="s">
        <v>29</v>
      </c>
    </row>
    <row r="874" spans="1:7">
      <c r="A874" s="2">
        <v>873</v>
      </c>
      <c r="B874" s="2" t="s">
        <v>81</v>
      </c>
      <c r="C874" s="2" t="s">
        <v>16</v>
      </c>
      <c r="D874" s="2">
        <v>22</v>
      </c>
      <c r="E874" s="3">
        <v>25260</v>
      </c>
      <c r="F874" s="2" t="s">
        <v>25</v>
      </c>
      <c r="G874" s="2" t="s">
        <v>26</v>
      </c>
    </row>
    <row r="875" spans="1:7">
      <c r="A875" s="2">
        <v>874</v>
      </c>
      <c r="B875" s="2" t="s">
        <v>42</v>
      </c>
      <c r="C875" s="2" t="s">
        <v>16</v>
      </c>
      <c r="D875" s="2">
        <v>46</v>
      </c>
      <c r="E875" s="3">
        <v>89726</v>
      </c>
      <c r="F875" s="2" t="s">
        <v>9</v>
      </c>
      <c r="G875" s="2" t="s">
        <v>18</v>
      </c>
    </row>
    <row r="876" spans="1:7">
      <c r="A876" s="2">
        <v>875</v>
      </c>
      <c r="B876" s="2" t="s">
        <v>72</v>
      </c>
      <c r="C876" s="2" t="s">
        <v>8</v>
      </c>
      <c r="D876" s="2">
        <v>12</v>
      </c>
      <c r="E876" s="3">
        <v>27062</v>
      </c>
      <c r="F876" s="2" t="s">
        <v>9</v>
      </c>
      <c r="G876" s="2" t="s">
        <v>23</v>
      </c>
    </row>
    <row r="877" spans="1:7">
      <c r="A877" s="2">
        <v>876</v>
      </c>
      <c r="B877" s="2" t="s">
        <v>44</v>
      </c>
      <c r="C877" s="2" t="s">
        <v>8</v>
      </c>
      <c r="D877" s="2">
        <v>21</v>
      </c>
      <c r="E877" s="3">
        <v>86202</v>
      </c>
      <c r="F877" s="2" t="s">
        <v>20</v>
      </c>
      <c r="G877" s="2" t="s">
        <v>29</v>
      </c>
    </row>
    <row r="878" spans="1:7">
      <c r="A878" s="2">
        <v>877</v>
      </c>
      <c r="B878" s="2" t="s">
        <v>91</v>
      </c>
      <c r="C878" s="2" t="s">
        <v>8</v>
      </c>
      <c r="D878" s="2">
        <v>4</v>
      </c>
      <c r="E878" s="3">
        <v>57244</v>
      </c>
      <c r="F878" s="2" t="s">
        <v>20</v>
      </c>
      <c r="G878" s="2" t="s">
        <v>10</v>
      </c>
    </row>
    <row r="879" spans="1:7">
      <c r="A879" s="2">
        <v>878</v>
      </c>
      <c r="B879" s="2" t="s">
        <v>60</v>
      </c>
      <c r="C879" s="2" t="s">
        <v>12</v>
      </c>
      <c r="D879" s="2">
        <v>2</v>
      </c>
      <c r="E879" s="3">
        <v>49256</v>
      </c>
      <c r="F879" s="2" t="s">
        <v>25</v>
      </c>
      <c r="G879" s="2" t="s">
        <v>29</v>
      </c>
    </row>
    <row r="880" spans="1:7">
      <c r="A880" s="2">
        <v>879</v>
      </c>
      <c r="B880" s="2" t="s">
        <v>11</v>
      </c>
      <c r="C880" s="2" t="s">
        <v>16</v>
      </c>
      <c r="D880" s="2">
        <v>10</v>
      </c>
      <c r="E880" s="3">
        <v>99465</v>
      </c>
      <c r="F880" s="2" t="s">
        <v>25</v>
      </c>
      <c r="G880" s="2" t="s">
        <v>23</v>
      </c>
    </row>
    <row r="881" spans="1:7">
      <c r="A881" s="2">
        <v>880</v>
      </c>
      <c r="B881" s="2" t="s">
        <v>83</v>
      </c>
      <c r="C881" s="2" t="s">
        <v>22</v>
      </c>
      <c r="D881" s="2">
        <v>38</v>
      </c>
      <c r="E881" s="3">
        <v>43756</v>
      </c>
      <c r="F881" s="2" t="s">
        <v>13</v>
      </c>
      <c r="G881" s="2" t="s">
        <v>14</v>
      </c>
    </row>
    <row r="882" spans="1:7">
      <c r="A882" s="2">
        <v>881</v>
      </c>
      <c r="B882" s="2" t="s">
        <v>15</v>
      </c>
      <c r="C882" s="2" t="s">
        <v>16</v>
      </c>
      <c r="D882" s="2">
        <v>46</v>
      </c>
      <c r="E882" s="3">
        <v>83517</v>
      </c>
      <c r="F882" s="2" t="s">
        <v>13</v>
      </c>
      <c r="G882" s="2" t="s">
        <v>29</v>
      </c>
    </row>
    <row r="883" spans="1:7">
      <c r="A883" s="2">
        <v>882</v>
      </c>
      <c r="B883" s="2" t="s">
        <v>40</v>
      </c>
      <c r="C883" s="2" t="s">
        <v>12</v>
      </c>
      <c r="D883" s="2">
        <v>10</v>
      </c>
      <c r="E883" s="3">
        <v>55851</v>
      </c>
      <c r="F883" s="2" t="s">
        <v>17</v>
      </c>
      <c r="G883" s="2" t="s">
        <v>14</v>
      </c>
    </row>
    <row r="884" spans="1:7">
      <c r="A884" s="2">
        <v>883</v>
      </c>
      <c r="B884" s="2" t="s">
        <v>71</v>
      </c>
      <c r="C884" s="2" t="s">
        <v>8</v>
      </c>
      <c r="D884" s="2">
        <v>50</v>
      </c>
      <c r="E884" s="3">
        <v>69731</v>
      </c>
      <c r="F884" s="2" t="s">
        <v>9</v>
      </c>
      <c r="G884" s="2" t="s">
        <v>26</v>
      </c>
    </row>
    <row r="885" spans="1:7">
      <c r="A885" s="2">
        <v>884</v>
      </c>
      <c r="B885" s="2" t="s">
        <v>55</v>
      </c>
      <c r="C885" s="2" t="s">
        <v>12</v>
      </c>
      <c r="D885" s="2">
        <v>8</v>
      </c>
      <c r="E885" s="3">
        <v>79867</v>
      </c>
      <c r="F885" s="2" t="s">
        <v>38</v>
      </c>
      <c r="G885" s="2" t="s">
        <v>23</v>
      </c>
    </row>
    <row r="886" spans="1:7">
      <c r="A886" s="2">
        <v>885</v>
      </c>
      <c r="B886" s="2" t="s">
        <v>73</v>
      </c>
      <c r="C886" s="2" t="s">
        <v>8</v>
      </c>
      <c r="D886" s="2">
        <v>34</v>
      </c>
      <c r="E886" s="3">
        <v>68995</v>
      </c>
      <c r="F886" s="2" t="s">
        <v>25</v>
      </c>
      <c r="G886" s="2" t="s">
        <v>10</v>
      </c>
    </row>
    <row r="887" spans="1:7">
      <c r="A887" s="2">
        <v>886</v>
      </c>
      <c r="B887" s="2" t="s">
        <v>7</v>
      </c>
      <c r="C887" s="2" t="s">
        <v>12</v>
      </c>
      <c r="D887" s="2">
        <v>24</v>
      </c>
      <c r="E887" s="3">
        <v>41060</v>
      </c>
      <c r="F887" s="2" t="s">
        <v>9</v>
      </c>
      <c r="G887" s="2" t="s">
        <v>29</v>
      </c>
    </row>
    <row r="888" spans="1:7">
      <c r="A888" s="2">
        <v>887</v>
      </c>
      <c r="B888" s="2" t="s">
        <v>73</v>
      </c>
      <c r="C888" s="2" t="s">
        <v>22</v>
      </c>
      <c r="D888" s="2">
        <v>5</v>
      </c>
      <c r="E888" s="3">
        <v>76300</v>
      </c>
      <c r="F888" s="2" t="s">
        <v>32</v>
      </c>
      <c r="G888" s="2" t="s">
        <v>14</v>
      </c>
    </row>
    <row r="889" spans="1:7">
      <c r="A889" s="2">
        <v>888</v>
      </c>
      <c r="B889" s="2" t="s">
        <v>86</v>
      </c>
      <c r="C889" s="2" t="s">
        <v>8</v>
      </c>
      <c r="D889" s="2">
        <v>24</v>
      </c>
      <c r="E889" s="3">
        <v>98219</v>
      </c>
      <c r="F889" s="2" t="s">
        <v>9</v>
      </c>
      <c r="G889" s="2" t="s">
        <v>10</v>
      </c>
    </row>
    <row r="890" spans="1:7">
      <c r="A890" s="2">
        <v>889</v>
      </c>
      <c r="B890" s="2" t="s">
        <v>74</v>
      </c>
      <c r="C890" s="2" t="s">
        <v>8</v>
      </c>
      <c r="D890" s="2">
        <v>46</v>
      </c>
      <c r="E890" s="3">
        <v>84765</v>
      </c>
      <c r="F890" s="2" t="s">
        <v>20</v>
      </c>
      <c r="G890" s="2" t="s">
        <v>14</v>
      </c>
    </row>
    <row r="891" spans="1:7">
      <c r="A891" s="2">
        <v>890</v>
      </c>
      <c r="B891" s="2" t="s">
        <v>55</v>
      </c>
      <c r="C891" s="2" t="s">
        <v>16</v>
      </c>
      <c r="D891" s="2">
        <v>43</v>
      </c>
      <c r="E891" s="3">
        <v>99143</v>
      </c>
      <c r="F891" s="2" t="s">
        <v>28</v>
      </c>
      <c r="G891" s="2" t="s">
        <v>14</v>
      </c>
    </row>
    <row r="892" spans="1:7">
      <c r="A892" s="2">
        <v>891</v>
      </c>
      <c r="B892" s="2" t="s">
        <v>39</v>
      </c>
      <c r="C892" s="2" t="s">
        <v>12</v>
      </c>
      <c r="D892" s="2">
        <v>26</v>
      </c>
      <c r="E892" s="3">
        <v>58342</v>
      </c>
      <c r="F892" s="2" t="s">
        <v>17</v>
      </c>
      <c r="G892" s="2" t="s">
        <v>14</v>
      </c>
    </row>
    <row r="893" spans="1:7">
      <c r="A893" s="2">
        <v>892</v>
      </c>
      <c r="B893" s="2" t="s">
        <v>81</v>
      </c>
      <c r="C893" s="2" t="s">
        <v>16</v>
      </c>
      <c r="D893" s="2">
        <v>38</v>
      </c>
      <c r="E893" s="3">
        <v>65634</v>
      </c>
      <c r="F893" s="2" t="s">
        <v>25</v>
      </c>
      <c r="G893" s="2" t="s">
        <v>29</v>
      </c>
    </row>
    <row r="894" spans="1:7">
      <c r="A894" s="2">
        <v>893</v>
      </c>
      <c r="B894" s="2" t="s">
        <v>78</v>
      </c>
      <c r="C894" s="2" t="s">
        <v>12</v>
      </c>
      <c r="D894" s="2">
        <v>7</v>
      </c>
      <c r="E894" s="3">
        <v>39724</v>
      </c>
      <c r="F894" s="2" t="s">
        <v>20</v>
      </c>
      <c r="G894" s="2" t="s">
        <v>14</v>
      </c>
    </row>
    <row r="895" spans="1:7">
      <c r="A895" s="2">
        <v>894</v>
      </c>
      <c r="B895" s="2" t="s">
        <v>88</v>
      </c>
      <c r="C895" s="2" t="s">
        <v>22</v>
      </c>
      <c r="D895" s="2">
        <v>22</v>
      </c>
      <c r="E895" s="3">
        <v>99854</v>
      </c>
      <c r="F895" s="2" t="s">
        <v>20</v>
      </c>
      <c r="G895" s="2" t="s">
        <v>26</v>
      </c>
    </row>
    <row r="896" spans="1:7">
      <c r="A896" s="2">
        <v>895</v>
      </c>
      <c r="B896" s="2" t="s">
        <v>65</v>
      </c>
      <c r="C896" s="2" t="s">
        <v>16</v>
      </c>
      <c r="D896" s="2">
        <v>20</v>
      </c>
      <c r="E896" s="3">
        <v>93328</v>
      </c>
      <c r="F896" s="2" t="s">
        <v>20</v>
      </c>
      <c r="G896" s="2" t="s">
        <v>26</v>
      </c>
    </row>
    <row r="897" spans="1:7">
      <c r="A897" s="2">
        <v>896</v>
      </c>
      <c r="B897" s="2" t="s">
        <v>93</v>
      </c>
      <c r="C897" s="2" t="s">
        <v>8</v>
      </c>
      <c r="D897" s="2">
        <v>21</v>
      </c>
      <c r="E897" s="3">
        <v>73221</v>
      </c>
      <c r="F897" s="2" t="s">
        <v>9</v>
      </c>
      <c r="G897" s="2" t="s">
        <v>23</v>
      </c>
    </row>
    <row r="898" spans="1:7">
      <c r="A898" s="2">
        <v>897</v>
      </c>
      <c r="B898" s="2" t="s">
        <v>11</v>
      </c>
      <c r="C898" s="2" t="s">
        <v>22</v>
      </c>
      <c r="D898" s="2">
        <v>9</v>
      </c>
      <c r="E898" s="3">
        <v>74692</v>
      </c>
      <c r="F898" s="2" t="s">
        <v>17</v>
      </c>
      <c r="G898" s="2" t="s">
        <v>18</v>
      </c>
    </row>
    <row r="899" spans="1:7">
      <c r="A899" s="2">
        <v>898</v>
      </c>
      <c r="B899" s="2" t="s">
        <v>34</v>
      </c>
      <c r="C899" s="2" t="s">
        <v>12</v>
      </c>
      <c r="D899" s="2">
        <v>11</v>
      </c>
      <c r="E899" s="3">
        <v>99155</v>
      </c>
      <c r="F899" s="2" t="s">
        <v>20</v>
      </c>
      <c r="G899" s="2" t="s">
        <v>10</v>
      </c>
    </row>
    <row r="900" spans="1:7">
      <c r="A900" s="2">
        <v>899</v>
      </c>
      <c r="B900" s="2" t="s">
        <v>92</v>
      </c>
      <c r="C900" s="2" t="s">
        <v>8</v>
      </c>
      <c r="D900" s="2">
        <v>47</v>
      </c>
      <c r="E900" s="3">
        <v>98613</v>
      </c>
      <c r="F900" s="2" t="s">
        <v>13</v>
      </c>
      <c r="G900" s="2" t="s">
        <v>26</v>
      </c>
    </row>
    <row r="901" spans="1:7">
      <c r="A901" s="2">
        <v>900</v>
      </c>
      <c r="B901" s="2" t="s">
        <v>90</v>
      </c>
      <c r="C901" s="2" t="s">
        <v>12</v>
      </c>
      <c r="D901" s="2">
        <v>28</v>
      </c>
      <c r="E901" s="3">
        <v>41737</v>
      </c>
      <c r="F901" s="2" t="s">
        <v>25</v>
      </c>
      <c r="G901" s="2" t="s">
        <v>10</v>
      </c>
    </row>
    <row r="902" spans="1:7">
      <c r="A902" s="2">
        <v>901</v>
      </c>
      <c r="B902" s="2" t="s">
        <v>49</v>
      </c>
      <c r="C902" s="2" t="s">
        <v>8</v>
      </c>
      <c r="D902" s="2">
        <v>41</v>
      </c>
      <c r="E902" s="3">
        <v>41456</v>
      </c>
      <c r="F902" s="2" t="s">
        <v>13</v>
      </c>
      <c r="G902" s="2" t="s">
        <v>26</v>
      </c>
    </row>
    <row r="903" spans="1:7">
      <c r="A903" s="2">
        <v>902</v>
      </c>
      <c r="B903" s="2" t="s">
        <v>89</v>
      </c>
      <c r="C903" s="2" t="s">
        <v>12</v>
      </c>
      <c r="D903" s="2">
        <v>32</v>
      </c>
      <c r="E903" s="3">
        <v>72003</v>
      </c>
      <c r="F903" s="2" t="s">
        <v>13</v>
      </c>
      <c r="G903" s="2" t="s">
        <v>29</v>
      </c>
    </row>
    <row r="904" spans="1:7">
      <c r="A904" s="2">
        <v>903</v>
      </c>
      <c r="B904" s="2" t="s">
        <v>7</v>
      </c>
      <c r="C904" s="2" t="s">
        <v>8</v>
      </c>
      <c r="D904" s="2">
        <v>42</v>
      </c>
      <c r="E904" s="3">
        <v>94587</v>
      </c>
      <c r="F904" s="2" t="s">
        <v>38</v>
      </c>
      <c r="G904" s="2" t="s">
        <v>29</v>
      </c>
    </row>
    <row r="905" spans="1:7">
      <c r="A905" s="2">
        <v>904</v>
      </c>
      <c r="B905" s="2" t="s">
        <v>66</v>
      </c>
      <c r="C905" s="2" t="s">
        <v>12</v>
      </c>
      <c r="D905" s="2">
        <v>21</v>
      </c>
      <c r="E905" s="3">
        <v>45541</v>
      </c>
      <c r="F905" s="2" t="s">
        <v>25</v>
      </c>
      <c r="G905" s="2" t="s">
        <v>29</v>
      </c>
    </row>
    <row r="906" spans="1:7">
      <c r="A906" s="2">
        <v>905</v>
      </c>
      <c r="B906" s="2" t="s">
        <v>33</v>
      </c>
      <c r="C906" s="2" t="s">
        <v>16</v>
      </c>
      <c r="D906" s="2">
        <v>12</v>
      </c>
      <c r="E906" s="3">
        <v>33279</v>
      </c>
      <c r="F906" s="2" t="s">
        <v>17</v>
      </c>
      <c r="G906" s="2" t="s">
        <v>26</v>
      </c>
    </row>
    <row r="907" spans="1:7">
      <c r="A907" s="2">
        <v>906</v>
      </c>
      <c r="B907" s="2" t="s">
        <v>90</v>
      </c>
      <c r="C907" s="2" t="s">
        <v>8</v>
      </c>
      <c r="D907" s="2">
        <v>46</v>
      </c>
      <c r="E907" s="3">
        <v>49975</v>
      </c>
      <c r="F907" s="2" t="s">
        <v>25</v>
      </c>
      <c r="G907" s="2" t="s">
        <v>18</v>
      </c>
    </row>
    <row r="908" spans="1:7">
      <c r="A908" s="2">
        <v>907</v>
      </c>
      <c r="B908" s="2" t="s">
        <v>76</v>
      </c>
      <c r="C908" s="2" t="s">
        <v>8</v>
      </c>
      <c r="D908" s="2">
        <v>36</v>
      </c>
      <c r="E908" s="3">
        <v>61254</v>
      </c>
      <c r="F908" s="2" t="s">
        <v>25</v>
      </c>
      <c r="G908" s="2" t="s">
        <v>23</v>
      </c>
    </row>
    <row r="909" spans="1:7">
      <c r="A909" s="2">
        <v>908</v>
      </c>
      <c r="B909" s="2" t="s">
        <v>44</v>
      </c>
      <c r="C909" s="2" t="s">
        <v>16</v>
      </c>
      <c r="D909" s="2">
        <v>45</v>
      </c>
      <c r="E909" s="3">
        <v>47286</v>
      </c>
      <c r="F909" s="2" t="s">
        <v>25</v>
      </c>
      <c r="G909" s="2" t="s">
        <v>10</v>
      </c>
    </row>
    <row r="910" spans="1:7">
      <c r="A910" s="2">
        <v>909</v>
      </c>
      <c r="B910" s="2" t="s">
        <v>33</v>
      </c>
      <c r="C910" s="2" t="s">
        <v>12</v>
      </c>
      <c r="D910" s="2">
        <v>40</v>
      </c>
      <c r="E910" s="3">
        <v>80513</v>
      </c>
      <c r="F910" s="2" t="s">
        <v>25</v>
      </c>
      <c r="G910" s="2" t="s">
        <v>10</v>
      </c>
    </row>
    <row r="911" spans="1:7">
      <c r="A911" s="2">
        <v>910</v>
      </c>
      <c r="B911" s="2" t="s">
        <v>45</v>
      </c>
      <c r="C911" s="2" t="s">
        <v>8</v>
      </c>
      <c r="D911" s="2">
        <v>23</v>
      </c>
      <c r="E911" s="3">
        <v>55350</v>
      </c>
      <c r="F911" s="2" t="s">
        <v>38</v>
      </c>
      <c r="G911" s="2" t="s">
        <v>29</v>
      </c>
    </row>
    <row r="912" spans="1:7">
      <c r="A912" s="2">
        <v>911</v>
      </c>
      <c r="B912" s="2" t="s">
        <v>91</v>
      </c>
      <c r="C912" s="2" t="s">
        <v>16</v>
      </c>
      <c r="D912" s="2">
        <v>15</v>
      </c>
      <c r="E912" s="3">
        <v>31143</v>
      </c>
      <c r="F912" s="2" t="s">
        <v>13</v>
      </c>
      <c r="G912" s="2" t="s">
        <v>29</v>
      </c>
    </row>
    <row r="913" spans="1:7">
      <c r="A913" s="2">
        <v>912</v>
      </c>
      <c r="B913" s="2" t="s">
        <v>43</v>
      </c>
      <c r="C913" s="2" t="s">
        <v>12</v>
      </c>
      <c r="D913" s="2">
        <v>43</v>
      </c>
      <c r="E913" s="3">
        <v>72631</v>
      </c>
      <c r="F913" s="2" t="s">
        <v>28</v>
      </c>
      <c r="G913" s="2" t="s">
        <v>23</v>
      </c>
    </row>
    <row r="914" spans="1:7">
      <c r="A914" s="2">
        <v>913</v>
      </c>
      <c r="B914" s="2" t="s">
        <v>57</v>
      </c>
      <c r="C914" s="2" t="s">
        <v>8</v>
      </c>
      <c r="D914" s="2">
        <v>38</v>
      </c>
      <c r="E914" s="3">
        <v>95527</v>
      </c>
      <c r="F914" s="2" t="s">
        <v>28</v>
      </c>
      <c r="G914" s="2" t="s">
        <v>26</v>
      </c>
    </row>
    <row r="915" spans="1:7">
      <c r="A915" s="2">
        <v>914</v>
      </c>
      <c r="B915" s="2" t="s">
        <v>84</v>
      </c>
      <c r="C915" s="2" t="s">
        <v>8</v>
      </c>
      <c r="D915" s="2">
        <v>12</v>
      </c>
      <c r="E915" s="3">
        <v>94429</v>
      </c>
      <c r="F915" s="2" t="s">
        <v>9</v>
      </c>
      <c r="G915" s="2" t="s">
        <v>14</v>
      </c>
    </row>
    <row r="916" spans="1:7">
      <c r="A916" s="2">
        <v>915</v>
      </c>
      <c r="B916" s="2" t="s">
        <v>62</v>
      </c>
      <c r="C916" s="2" t="s">
        <v>12</v>
      </c>
      <c r="D916" s="2">
        <v>25</v>
      </c>
      <c r="E916" s="3">
        <v>97929</v>
      </c>
      <c r="F916" s="2" t="s">
        <v>28</v>
      </c>
      <c r="G916" s="2" t="s">
        <v>23</v>
      </c>
    </row>
    <row r="917" spans="1:7">
      <c r="A917" s="2">
        <v>916</v>
      </c>
      <c r="B917" s="2" t="s">
        <v>46</v>
      </c>
      <c r="C917" s="2" t="s">
        <v>16</v>
      </c>
      <c r="D917" s="2">
        <v>20</v>
      </c>
      <c r="E917" s="3">
        <v>25603</v>
      </c>
      <c r="F917" s="2" t="s">
        <v>25</v>
      </c>
      <c r="G917" s="2" t="s">
        <v>29</v>
      </c>
    </row>
    <row r="918" spans="1:7">
      <c r="A918" s="2">
        <v>917</v>
      </c>
      <c r="B918" s="2" t="s">
        <v>63</v>
      </c>
      <c r="C918" s="2" t="s">
        <v>8</v>
      </c>
      <c r="D918" s="2">
        <v>47</v>
      </c>
      <c r="E918" s="3">
        <v>70467</v>
      </c>
      <c r="F918" s="2" t="s">
        <v>20</v>
      </c>
      <c r="G918" s="2" t="s">
        <v>26</v>
      </c>
    </row>
    <row r="919" spans="1:7">
      <c r="A919" s="2">
        <v>918</v>
      </c>
      <c r="B919" s="2" t="s">
        <v>59</v>
      </c>
      <c r="C919" s="2" t="s">
        <v>12</v>
      </c>
      <c r="D919" s="2">
        <v>45</v>
      </c>
      <c r="E919" s="3">
        <v>74838</v>
      </c>
      <c r="F919" s="2" t="s">
        <v>25</v>
      </c>
      <c r="G919" s="2" t="s">
        <v>10</v>
      </c>
    </row>
    <row r="920" spans="1:7">
      <c r="A920" s="2">
        <v>919</v>
      </c>
      <c r="B920" s="2" t="s">
        <v>73</v>
      </c>
      <c r="C920" s="2" t="s">
        <v>8</v>
      </c>
      <c r="D920" s="2">
        <v>19</v>
      </c>
      <c r="E920" s="3">
        <v>29134</v>
      </c>
      <c r="F920" s="2" t="s">
        <v>32</v>
      </c>
      <c r="G920" s="2" t="s">
        <v>23</v>
      </c>
    </row>
    <row r="921" spans="1:7">
      <c r="A921" s="2">
        <v>920</v>
      </c>
      <c r="B921" s="2" t="s">
        <v>60</v>
      </c>
      <c r="C921" s="2" t="s">
        <v>12</v>
      </c>
      <c r="D921" s="2">
        <v>9</v>
      </c>
      <c r="E921" s="3">
        <v>47299</v>
      </c>
      <c r="F921" s="2" t="s">
        <v>38</v>
      </c>
      <c r="G921" s="2" t="s">
        <v>14</v>
      </c>
    </row>
    <row r="922" spans="1:7">
      <c r="A922" s="2">
        <v>921</v>
      </c>
      <c r="B922" s="2" t="s">
        <v>73</v>
      </c>
      <c r="C922" s="2" t="s">
        <v>8</v>
      </c>
      <c r="D922" s="2">
        <v>12</v>
      </c>
      <c r="E922" s="3">
        <v>58215</v>
      </c>
      <c r="F922" s="2" t="s">
        <v>28</v>
      </c>
      <c r="G922" s="2" t="s">
        <v>26</v>
      </c>
    </row>
    <row r="923" spans="1:7">
      <c r="A923" s="2">
        <v>922</v>
      </c>
      <c r="B923" s="2" t="s">
        <v>52</v>
      </c>
      <c r="C923" s="2" t="s">
        <v>22</v>
      </c>
      <c r="D923" s="2">
        <v>47</v>
      </c>
      <c r="E923" s="3">
        <v>77730</v>
      </c>
      <c r="F923" s="2" t="s">
        <v>38</v>
      </c>
      <c r="G923" s="2" t="s">
        <v>18</v>
      </c>
    </row>
    <row r="924" spans="1:7">
      <c r="A924" s="2">
        <v>923</v>
      </c>
      <c r="B924" s="2" t="s">
        <v>59</v>
      </c>
      <c r="C924" s="2" t="s">
        <v>16</v>
      </c>
      <c r="D924" s="2">
        <v>1</v>
      </c>
      <c r="E924" s="3">
        <v>87445</v>
      </c>
      <c r="F924" s="2" t="s">
        <v>9</v>
      </c>
      <c r="G924" s="2" t="s">
        <v>18</v>
      </c>
    </row>
    <row r="925" spans="1:7">
      <c r="A925" s="2">
        <v>924</v>
      </c>
      <c r="B925" s="2" t="s">
        <v>67</v>
      </c>
      <c r="C925" s="2" t="s">
        <v>16</v>
      </c>
      <c r="D925" s="2">
        <v>45</v>
      </c>
      <c r="E925" s="3">
        <v>34514</v>
      </c>
      <c r="F925" s="2" t="s">
        <v>9</v>
      </c>
      <c r="G925" s="2" t="s">
        <v>10</v>
      </c>
    </row>
    <row r="926" spans="1:7">
      <c r="A926" s="2">
        <v>925</v>
      </c>
      <c r="B926" s="2" t="s">
        <v>52</v>
      </c>
      <c r="C926" s="2" t="s">
        <v>22</v>
      </c>
      <c r="D926" s="2">
        <v>37</v>
      </c>
      <c r="E926" s="3">
        <v>82148</v>
      </c>
      <c r="F926" s="2" t="s">
        <v>9</v>
      </c>
      <c r="G926" s="2" t="s">
        <v>14</v>
      </c>
    </row>
    <row r="927" spans="1:7">
      <c r="A927" s="2">
        <v>926</v>
      </c>
      <c r="B927" s="2" t="s">
        <v>7</v>
      </c>
      <c r="C927" s="2" t="s">
        <v>12</v>
      </c>
      <c r="D927" s="2">
        <v>26</v>
      </c>
      <c r="E927" s="3">
        <v>49495</v>
      </c>
      <c r="F927" s="2" t="s">
        <v>38</v>
      </c>
      <c r="G927" s="2" t="s">
        <v>23</v>
      </c>
    </row>
    <row r="928" spans="1:7">
      <c r="A928" s="2">
        <v>927</v>
      </c>
      <c r="B928" s="2" t="s">
        <v>46</v>
      </c>
      <c r="C928" s="2" t="s">
        <v>16</v>
      </c>
      <c r="D928" s="2">
        <v>50</v>
      </c>
      <c r="E928" s="3">
        <v>51093</v>
      </c>
      <c r="F928" s="2" t="s">
        <v>9</v>
      </c>
      <c r="G928" s="2" t="s">
        <v>29</v>
      </c>
    </row>
    <row r="929" spans="1:7">
      <c r="A929" s="2">
        <v>928</v>
      </c>
      <c r="B929" s="2" t="s">
        <v>92</v>
      </c>
      <c r="C929" s="2" t="s">
        <v>12</v>
      </c>
      <c r="D929" s="2">
        <v>37</v>
      </c>
      <c r="E929" s="3">
        <v>90151</v>
      </c>
      <c r="F929" s="2" t="s">
        <v>32</v>
      </c>
      <c r="G929" s="2" t="s">
        <v>29</v>
      </c>
    </row>
    <row r="930" spans="1:7">
      <c r="A930" s="2">
        <v>929</v>
      </c>
      <c r="B930" s="2" t="s">
        <v>41</v>
      </c>
      <c r="C930" s="2" t="s">
        <v>8</v>
      </c>
      <c r="D930" s="2">
        <v>3</v>
      </c>
      <c r="E930" s="3">
        <v>75511</v>
      </c>
      <c r="F930" s="2" t="s">
        <v>32</v>
      </c>
      <c r="G930" s="2" t="s">
        <v>14</v>
      </c>
    </row>
    <row r="931" spans="1:7">
      <c r="A931" s="2">
        <v>930</v>
      </c>
      <c r="B931" s="2" t="s">
        <v>88</v>
      </c>
      <c r="C931" s="2" t="s">
        <v>22</v>
      </c>
      <c r="D931" s="2">
        <v>12</v>
      </c>
      <c r="E931" s="3">
        <v>96933</v>
      </c>
      <c r="F931" s="2" t="s">
        <v>9</v>
      </c>
      <c r="G931" s="2" t="s">
        <v>23</v>
      </c>
    </row>
    <row r="932" spans="1:7">
      <c r="A932" s="2">
        <v>931</v>
      </c>
      <c r="B932" s="2" t="s">
        <v>44</v>
      </c>
      <c r="C932" s="2" t="s">
        <v>12</v>
      </c>
      <c r="D932" s="2">
        <v>39</v>
      </c>
      <c r="E932" s="3">
        <v>54028</v>
      </c>
      <c r="F932" s="2" t="s">
        <v>9</v>
      </c>
      <c r="G932" s="2" t="s">
        <v>14</v>
      </c>
    </row>
    <row r="933" spans="1:7">
      <c r="A933" s="2">
        <v>932</v>
      </c>
      <c r="B933" s="2" t="s">
        <v>41</v>
      </c>
      <c r="C933" s="2" t="s">
        <v>12</v>
      </c>
      <c r="D933" s="2">
        <v>21</v>
      </c>
      <c r="E933" s="3">
        <v>61694</v>
      </c>
      <c r="F933" s="2" t="s">
        <v>13</v>
      </c>
      <c r="G933" s="2" t="s">
        <v>23</v>
      </c>
    </row>
    <row r="934" spans="1:7">
      <c r="A934" s="2">
        <v>933</v>
      </c>
      <c r="B934" s="2" t="s">
        <v>87</v>
      </c>
      <c r="C934" s="2" t="s">
        <v>16</v>
      </c>
      <c r="D934" s="2">
        <v>40</v>
      </c>
      <c r="E934" s="3">
        <v>65016</v>
      </c>
      <c r="F934" s="2" t="s">
        <v>9</v>
      </c>
      <c r="G934" s="2" t="s">
        <v>18</v>
      </c>
    </row>
    <row r="935" spans="1:7">
      <c r="A935" s="2">
        <v>934</v>
      </c>
      <c r="B935" s="2" t="s">
        <v>45</v>
      </c>
      <c r="C935" s="2" t="s">
        <v>8</v>
      </c>
      <c r="D935" s="2">
        <v>15</v>
      </c>
      <c r="E935" s="3">
        <v>75927</v>
      </c>
      <c r="F935" s="2" t="s">
        <v>20</v>
      </c>
      <c r="G935" s="2" t="s">
        <v>23</v>
      </c>
    </row>
    <row r="936" spans="1:7">
      <c r="A936" s="2">
        <v>935</v>
      </c>
      <c r="B936" s="2" t="s">
        <v>73</v>
      </c>
      <c r="C936" s="2" t="s">
        <v>16</v>
      </c>
      <c r="D936" s="2">
        <v>41</v>
      </c>
      <c r="E936" s="3">
        <v>31787</v>
      </c>
      <c r="F936" s="2" t="s">
        <v>38</v>
      </c>
      <c r="G936" s="2" t="s">
        <v>23</v>
      </c>
    </row>
    <row r="937" spans="1:7">
      <c r="A937" s="2">
        <v>936</v>
      </c>
      <c r="B937" s="2" t="s">
        <v>27</v>
      </c>
      <c r="C937" s="2" t="s">
        <v>8</v>
      </c>
      <c r="D937" s="2">
        <v>37</v>
      </c>
      <c r="E937" s="3">
        <v>61127</v>
      </c>
      <c r="F937" s="2" t="s">
        <v>32</v>
      </c>
      <c r="G937" s="2" t="s">
        <v>29</v>
      </c>
    </row>
    <row r="938" spans="1:7">
      <c r="A938" s="2">
        <v>937</v>
      </c>
      <c r="B938" s="2" t="s">
        <v>53</v>
      </c>
      <c r="C938" s="2" t="s">
        <v>16</v>
      </c>
      <c r="D938" s="2">
        <v>7</v>
      </c>
      <c r="E938" s="3">
        <v>36331</v>
      </c>
      <c r="F938" s="2" t="s">
        <v>28</v>
      </c>
      <c r="G938" s="2" t="s">
        <v>10</v>
      </c>
    </row>
    <row r="939" spans="1:7">
      <c r="A939" s="2">
        <v>938</v>
      </c>
      <c r="B939" s="2" t="s">
        <v>70</v>
      </c>
      <c r="C939" s="2" t="s">
        <v>12</v>
      </c>
      <c r="D939" s="2">
        <v>32</v>
      </c>
      <c r="E939" s="3">
        <v>36693</v>
      </c>
      <c r="F939" s="2" t="s">
        <v>32</v>
      </c>
      <c r="G939" s="2" t="s">
        <v>26</v>
      </c>
    </row>
    <row r="940" spans="1:7">
      <c r="A940" s="2">
        <v>939</v>
      </c>
      <c r="B940" s="2" t="s">
        <v>53</v>
      </c>
      <c r="C940" s="2" t="s">
        <v>12</v>
      </c>
      <c r="D940" s="2">
        <v>10</v>
      </c>
      <c r="E940" s="3">
        <v>71062</v>
      </c>
      <c r="F940" s="2" t="s">
        <v>38</v>
      </c>
      <c r="G940" s="2" t="s">
        <v>26</v>
      </c>
    </row>
    <row r="941" spans="1:7">
      <c r="A941" s="2">
        <v>940</v>
      </c>
      <c r="B941" s="2" t="s">
        <v>58</v>
      </c>
      <c r="C941" s="2" t="s">
        <v>22</v>
      </c>
      <c r="D941" s="2">
        <v>22</v>
      </c>
      <c r="E941" s="3">
        <v>95867</v>
      </c>
      <c r="F941" s="2" t="s">
        <v>25</v>
      </c>
      <c r="G941" s="2" t="s">
        <v>29</v>
      </c>
    </row>
    <row r="942" spans="1:7">
      <c r="A942" s="2">
        <v>941</v>
      </c>
      <c r="B942" s="2" t="s">
        <v>74</v>
      </c>
      <c r="C942" s="2" t="s">
        <v>12</v>
      </c>
      <c r="D942" s="2">
        <v>48</v>
      </c>
      <c r="E942" s="3">
        <v>80425</v>
      </c>
      <c r="F942" s="2" t="s">
        <v>25</v>
      </c>
      <c r="G942" s="2" t="s">
        <v>18</v>
      </c>
    </row>
    <row r="943" spans="1:7">
      <c r="A943" s="2">
        <v>942</v>
      </c>
      <c r="B943" s="2" t="s">
        <v>30</v>
      </c>
      <c r="C943" s="2" t="s">
        <v>12</v>
      </c>
      <c r="D943" s="2">
        <v>5</v>
      </c>
      <c r="E943" s="3">
        <v>30573</v>
      </c>
      <c r="F943" s="2" t="s">
        <v>38</v>
      </c>
      <c r="G943" s="2" t="s">
        <v>14</v>
      </c>
    </row>
    <row r="944" spans="1:7">
      <c r="A944" s="2">
        <v>943</v>
      </c>
      <c r="B944" s="2" t="s">
        <v>85</v>
      </c>
      <c r="C944" s="2" t="s">
        <v>12</v>
      </c>
      <c r="D944" s="2">
        <v>16</v>
      </c>
      <c r="E944" s="3">
        <v>76158</v>
      </c>
      <c r="F944" s="2" t="s">
        <v>17</v>
      </c>
      <c r="G944" s="2" t="s">
        <v>29</v>
      </c>
    </row>
    <row r="945" spans="1:7">
      <c r="A945" s="2">
        <v>944</v>
      </c>
      <c r="B945" s="2" t="s">
        <v>30</v>
      </c>
      <c r="C945" s="2" t="s">
        <v>12</v>
      </c>
      <c r="D945" s="2">
        <v>23</v>
      </c>
      <c r="E945" s="3">
        <v>29322</v>
      </c>
      <c r="F945" s="2" t="s">
        <v>38</v>
      </c>
      <c r="G945" s="2" t="s">
        <v>14</v>
      </c>
    </row>
    <row r="946" spans="1:7">
      <c r="A946" s="2">
        <v>945</v>
      </c>
      <c r="B946" s="2" t="s">
        <v>84</v>
      </c>
      <c r="C946" s="2" t="s">
        <v>22</v>
      </c>
      <c r="D946" s="2">
        <v>21</v>
      </c>
      <c r="E946" s="3">
        <v>99228</v>
      </c>
      <c r="F946" s="2" t="s">
        <v>25</v>
      </c>
      <c r="G946" s="2" t="s">
        <v>29</v>
      </c>
    </row>
    <row r="947" spans="1:7">
      <c r="A947" s="2">
        <v>946</v>
      </c>
      <c r="B947" s="2" t="s">
        <v>74</v>
      </c>
      <c r="C947" s="2" t="s">
        <v>8</v>
      </c>
      <c r="D947" s="2">
        <v>11</v>
      </c>
      <c r="E947" s="3">
        <v>46835</v>
      </c>
      <c r="F947" s="2" t="s">
        <v>38</v>
      </c>
      <c r="G947" s="2" t="s">
        <v>26</v>
      </c>
    </row>
    <row r="948" spans="1:7">
      <c r="A948" s="2">
        <v>947</v>
      </c>
      <c r="B948" s="2" t="s">
        <v>11</v>
      </c>
      <c r="C948" s="2" t="s">
        <v>22</v>
      </c>
      <c r="D948" s="2">
        <v>41</v>
      </c>
      <c r="E948" s="3">
        <v>80653</v>
      </c>
      <c r="F948" s="2" t="s">
        <v>28</v>
      </c>
      <c r="G948" s="2" t="s">
        <v>10</v>
      </c>
    </row>
    <row r="949" spans="1:7">
      <c r="A949" s="2">
        <v>948</v>
      </c>
      <c r="B949" s="2" t="s">
        <v>66</v>
      </c>
      <c r="C949" s="2" t="s">
        <v>22</v>
      </c>
      <c r="D949" s="2">
        <v>6</v>
      </c>
      <c r="E949" s="3">
        <v>91380</v>
      </c>
      <c r="F949" s="2" t="s">
        <v>17</v>
      </c>
      <c r="G949" s="2" t="s">
        <v>10</v>
      </c>
    </row>
    <row r="950" spans="1:7">
      <c r="A950" s="2">
        <v>949</v>
      </c>
      <c r="B950" s="2" t="s">
        <v>30</v>
      </c>
      <c r="C950" s="2" t="s">
        <v>16</v>
      </c>
      <c r="D950" s="2">
        <v>46</v>
      </c>
      <c r="E950" s="3">
        <v>36673</v>
      </c>
      <c r="F950" s="2" t="s">
        <v>20</v>
      </c>
      <c r="G950" s="2" t="s">
        <v>29</v>
      </c>
    </row>
    <row r="951" spans="1:7">
      <c r="A951" s="2">
        <v>950</v>
      </c>
      <c r="B951" s="2" t="s">
        <v>92</v>
      </c>
      <c r="C951" s="2" t="s">
        <v>8</v>
      </c>
      <c r="D951" s="2">
        <v>43</v>
      </c>
      <c r="E951" s="3">
        <v>58485</v>
      </c>
      <c r="F951" s="2" t="s">
        <v>38</v>
      </c>
      <c r="G951" s="2" t="s">
        <v>29</v>
      </c>
    </row>
    <row r="952" spans="1:7">
      <c r="A952" s="2">
        <v>951</v>
      </c>
      <c r="B952" s="2" t="s">
        <v>90</v>
      </c>
      <c r="C952" s="2" t="s">
        <v>16</v>
      </c>
      <c r="D952" s="2">
        <v>41</v>
      </c>
      <c r="E952" s="3">
        <v>82720</v>
      </c>
      <c r="F952" s="2" t="s">
        <v>20</v>
      </c>
      <c r="G952" s="2" t="s">
        <v>26</v>
      </c>
    </row>
    <row r="953" spans="1:7">
      <c r="A953" s="2">
        <v>952</v>
      </c>
      <c r="B953" s="2" t="s">
        <v>73</v>
      </c>
      <c r="C953" s="2" t="s">
        <v>22</v>
      </c>
      <c r="D953" s="2">
        <v>47</v>
      </c>
      <c r="E953" s="3">
        <v>25616</v>
      </c>
      <c r="F953" s="2" t="s">
        <v>13</v>
      </c>
      <c r="G953" s="2" t="s">
        <v>14</v>
      </c>
    </row>
    <row r="954" spans="1:7">
      <c r="A954" s="2">
        <v>953</v>
      </c>
      <c r="B954" s="2" t="s">
        <v>78</v>
      </c>
      <c r="C954" s="2" t="s">
        <v>12</v>
      </c>
      <c r="D954" s="2">
        <v>22</v>
      </c>
      <c r="E954" s="3">
        <v>72803</v>
      </c>
      <c r="F954" s="2" t="s">
        <v>25</v>
      </c>
      <c r="G954" s="2" t="s">
        <v>14</v>
      </c>
    </row>
    <row r="955" spans="1:7">
      <c r="A955" s="2">
        <v>954</v>
      </c>
      <c r="B955" s="2" t="s">
        <v>76</v>
      </c>
      <c r="C955" s="2" t="s">
        <v>8</v>
      </c>
      <c r="D955" s="2">
        <v>29</v>
      </c>
      <c r="E955" s="3">
        <v>62878</v>
      </c>
      <c r="F955" s="2" t="s">
        <v>25</v>
      </c>
      <c r="G955" s="2" t="s">
        <v>26</v>
      </c>
    </row>
    <row r="956" spans="1:7">
      <c r="A956" s="2">
        <v>955</v>
      </c>
      <c r="B956" s="2" t="s">
        <v>64</v>
      </c>
      <c r="C956" s="2" t="s">
        <v>12</v>
      </c>
      <c r="D956" s="2">
        <v>1</v>
      </c>
      <c r="E956" s="3">
        <v>65450</v>
      </c>
      <c r="F956" s="2" t="s">
        <v>28</v>
      </c>
      <c r="G956" s="2" t="s">
        <v>18</v>
      </c>
    </row>
    <row r="957" spans="1:7">
      <c r="A957" s="2">
        <v>956</v>
      </c>
      <c r="B957" s="2" t="s">
        <v>86</v>
      </c>
      <c r="C957" s="2" t="s">
        <v>22</v>
      </c>
      <c r="D957" s="2">
        <v>17</v>
      </c>
      <c r="E957" s="3">
        <v>84205</v>
      </c>
      <c r="F957" s="2" t="s">
        <v>25</v>
      </c>
      <c r="G957" s="2" t="s">
        <v>18</v>
      </c>
    </row>
    <row r="958" spans="1:7">
      <c r="A958" s="2">
        <v>957</v>
      </c>
      <c r="B958" s="2" t="s">
        <v>75</v>
      </c>
      <c r="C958" s="2" t="s">
        <v>22</v>
      </c>
      <c r="D958" s="2">
        <v>14</v>
      </c>
      <c r="E958" s="3">
        <v>95995</v>
      </c>
      <c r="F958" s="2" t="s">
        <v>9</v>
      </c>
      <c r="G958" s="2" t="s">
        <v>29</v>
      </c>
    </row>
    <row r="959" spans="1:7">
      <c r="A959" s="2">
        <v>958</v>
      </c>
      <c r="B959" s="2" t="s">
        <v>91</v>
      </c>
      <c r="C959" s="2" t="s">
        <v>22</v>
      </c>
      <c r="D959" s="2">
        <v>16</v>
      </c>
      <c r="E959" s="3">
        <v>61841</v>
      </c>
      <c r="F959" s="2" t="s">
        <v>17</v>
      </c>
      <c r="G959" s="2" t="s">
        <v>10</v>
      </c>
    </row>
    <row r="960" spans="1:7">
      <c r="A960" s="2">
        <v>959</v>
      </c>
      <c r="B960" s="2" t="s">
        <v>15</v>
      </c>
      <c r="C960" s="2" t="s">
        <v>8</v>
      </c>
      <c r="D960" s="2">
        <v>45</v>
      </c>
      <c r="E960" s="3">
        <v>46920</v>
      </c>
      <c r="F960" s="2" t="s">
        <v>38</v>
      </c>
      <c r="G960" s="2" t="s">
        <v>18</v>
      </c>
    </row>
    <row r="961" spans="1:7">
      <c r="A961" s="2">
        <v>960</v>
      </c>
      <c r="B961" s="2" t="s">
        <v>73</v>
      </c>
      <c r="C961" s="2" t="s">
        <v>16</v>
      </c>
      <c r="D961" s="2">
        <v>5</v>
      </c>
      <c r="E961" s="3">
        <v>96669</v>
      </c>
      <c r="F961" s="2" t="s">
        <v>20</v>
      </c>
      <c r="G961" s="2" t="s">
        <v>18</v>
      </c>
    </row>
    <row r="962" spans="1:7">
      <c r="A962" s="2">
        <v>961</v>
      </c>
      <c r="B962" s="2" t="s">
        <v>73</v>
      </c>
      <c r="C962" s="2" t="s">
        <v>16</v>
      </c>
      <c r="D962" s="2">
        <v>23</v>
      </c>
      <c r="E962" s="3">
        <v>77711</v>
      </c>
      <c r="F962" s="2" t="s">
        <v>28</v>
      </c>
      <c r="G962" s="2" t="s">
        <v>23</v>
      </c>
    </row>
    <row r="963" spans="1:7">
      <c r="A963" s="2">
        <v>962</v>
      </c>
      <c r="B963" s="2" t="s">
        <v>51</v>
      </c>
      <c r="C963" s="2" t="s">
        <v>12</v>
      </c>
      <c r="D963" s="2">
        <v>17</v>
      </c>
      <c r="E963" s="3">
        <v>94633</v>
      </c>
      <c r="F963" s="2" t="s">
        <v>17</v>
      </c>
      <c r="G963" s="2" t="s">
        <v>10</v>
      </c>
    </row>
    <row r="964" spans="1:7">
      <c r="A964" s="2">
        <v>963</v>
      </c>
      <c r="B964" s="2" t="s">
        <v>76</v>
      </c>
      <c r="C964" s="2" t="s">
        <v>8</v>
      </c>
      <c r="D964" s="2">
        <v>7</v>
      </c>
      <c r="E964" s="3">
        <v>75292</v>
      </c>
      <c r="F964" s="2" t="s">
        <v>17</v>
      </c>
      <c r="G964" s="2" t="s">
        <v>14</v>
      </c>
    </row>
    <row r="965" spans="1:7">
      <c r="A965" s="2">
        <v>964</v>
      </c>
      <c r="B965" s="2" t="s">
        <v>33</v>
      </c>
      <c r="C965" s="2" t="s">
        <v>12</v>
      </c>
      <c r="D965" s="2">
        <v>47</v>
      </c>
      <c r="E965" s="3">
        <v>62193</v>
      </c>
      <c r="F965" s="2" t="s">
        <v>13</v>
      </c>
      <c r="G965" s="2" t="s">
        <v>14</v>
      </c>
    </row>
    <row r="966" spans="1:7">
      <c r="A966" s="2">
        <v>965</v>
      </c>
      <c r="B966" s="2" t="s">
        <v>37</v>
      </c>
      <c r="C966" s="2" t="s">
        <v>12</v>
      </c>
      <c r="D966" s="2">
        <v>1</v>
      </c>
      <c r="E966" s="3">
        <v>54846</v>
      </c>
      <c r="F966" s="2" t="s">
        <v>20</v>
      </c>
      <c r="G966" s="2" t="s">
        <v>26</v>
      </c>
    </row>
    <row r="967" spans="1:7">
      <c r="A967" s="2">
        <v>966</v>
      </c>
      <c r="B967" s="2" t="s">
        <v>72</v>
      </c>
      <c r="C967" s="2" t="s">
        <v>16</v>
      </c>
      <c r="D967" s="2">
        <v>4</v>
      </c>
      <c r="E967" s="3">
        <v>33534</v>
      </c>
      <c r="F967" s="2" t="s">
        <v>13</v>
      </c>
      <c r="G967" s="2" t="s">
        <v>14</v>
      </c>
    </row>
    <row r="968" spans="1:7">
      <c r="A968" s="2">
        <v>967</v>
      </c>
      <c r="B968" s="2" t="s">
        <v>70</v>
      </c>
      <c r="C968" s="2" t="s">
        <v>8</v>
      </c>
      <c r="D968" s="2">
        <v>25</v>
      </c>
      <c r="E968" s="3">
        <v>80947</v>
      </c>
      <c r="F968" s="2" t="s">
        <v>20</v>
      </c>
      <c r="G968" s="2" t="s">
        <v>23</v>
      </c>
    </row>
    <row r="969" spans="1:7">
      <c r="A969" s="2">
        <v>968</v>
      </c>
      <c r="B969" s="2" t="s">
        <v>30</v>
      </c>
      <c r="C969" s="2" t="s">
        <v>22</v>
      </c>
      <c r="D969" s="2">
        <v>29</v>
      </c>
      <c r="E969" s="3">
        <v>98003</v>
      </c>
      <c r="F969" s="2" t="s">
        <v>28</v>
      </c>
      <c r="G969" s="2" t="s">
        <v>29</v>
      </c>
    </row>
    <row r="970" spans="1:7">
      <c r="A970" s="2">
        <v>969</v>
      </c>
      <c r="B970" s="2" t="s">
        <v>36</v>
      </c>
      <c r="C970" s="2" t="s">
        <v>12</v>
      </c>
      <c r="D970" s="2">
        <v>47</v>
      </c>
      <c r="E970" s="3">
        <v>97568</v>
      </c>
      <c r="F970" s="2" t="s">
        <v>9</v>
      </c>
      <c r="G970" s="2" t="s">
        <v>29</v>
      </c>
    </row>
    <row r="971" spans="1:7">
      <c r="A971" s="2">
        <v>970</v>
      </c>
      <c r="B971" s="2" t="s">
        <v>39</v>
      </c>
      <c r="C971" s="2" t="s">
        <v>22</v>
      </c>
      <c r="D971" s="2">
        <v>27</v>
      </c>
      <c r="E971" s="3">
        <v>74882</v>
      </c>
      <c r="F971" s="2" t="s">
        <v>25</v>
      </c>
      <c r="G971" s="2" t="s">
        <v>14</v>
      </c>
    </row>
    <row r="972" spans="1:7">
      <c r="A972" s="2">
        <v>971</v>
      </c>
      <c r="B972" s="2" t="s">
        <v>79</v>
      </c>
      <c r="C972" s="2" t="s">
        <v>8</v>
      </c>
      <c r="D972" s="2">
        <v>11</v>
      </c>
      <c r="E972" s="3">
        <v>29709</v>
      </c>
      <c r="F972" s="2" t="s">
        <v>20</v>
      </c>
      <c r="G972" s="2" t="s">
        <v>10</v>
      </c>
    </row>
    <row r="973" spans="1:7">
      <c r="A973" s="2">
        <v>972</v>
      </c>
      <c r="B973" s="2" t="s">
        <v>31</v>
      </c>
      <c r="C973" s="2" t="s">
        <v>12</v>
      </c>
      <c r="D973" s="2">
        <v>27</v>
      </c>
      <c r="E973" s="3">
        <v>42117</v>
      </c>
      <c r="F973" s="2" t="s">
        <v>28</v>
      </c>
      <c r="G973" s="2" t="s">
        <v>23</v>
      </c>
    </row>
    <row r="974" spans="1:7">
      <c r="A974" s="2">
        <v>973</v>
      </c>
      <c r="B974" s="2" t="s">
        <v>64</v>
      </c>
      <c r="C974" s="2" t="s">
        <v>22</v>
      </c>
      <c r="D974" s="2">
        <v>32</v>
      </c>
      <c r="E974" s="3">
        <v>93180</v>
      </c>
      <c r="F974" s="2" t="s">
        <v>17</v>
      </c>
      <c r="G974" s="2" t="s">
        <v>14</v>
      </c>
    </row>
    <row r="975" spans="1:7">
      <c r="A975" s="2">
        <v>974</v>
      </c>
      <c r="B975" s="2" t="s">
        <v>60</v>
      </c>
      <c r="C975" s="2" t="s">
        <v>22</v>
      </c>
      <c r="D975" s="2">
        <v>25</v>
      </c>
      <c r="E975" s="3">
        <v>36197</v>
      </c>
      <c r="F975" s="2" t="s">
        <v>13</v>
      </c>
      <c r="G975" s="2" t="s">
        <v>14</v>
      </c>
    </row>
    <row r="976" spans="1:7">
      <c r="A976" s="2">
        <v>975</v>
      </c>
      <c r="B976" s="2" t="s">
        <v>88</v>
      </c>
      <c r="C976" s="2" t="s">
        <v>16</v>
      </c>
      <c r="D976" s="2">
        <v>23</v>
      </c>
      <c r="E976" s="3">
        <v>38286</v>
      </c>
      <c r="F976" s="2" t="s">
        <v>32</v>
      </c>
      <c r="G976" s="2" t="s">
        <v>29</v>
      </c>
    </row>
    <row r="977" spans="1:7">
      <c r="A977" s="2">
        <v>976</v>
      </c>
      <c r="B977" s="2" t="s">
        <v>51</v>
      </c>
      <c r="C977" s="2" t="s">
        <v>8</v>
      </c>
      <c r="D977" s="2">
        <v>35</v>
      </c>
      <c r="E977" s="3">
        <v>55747</v>
      </c>
      <c r="F977" s="2" t="s">
        <v>32</v>
      </c>
      <c r="G977" s="2" t="s">
        <v>26</v>
      </c>
    </row>
    <row r="978" spans="1:7">
      <c r="A978" s="2">
        <v>977</v>
      </c>
      <c r="B978" s="2" t="s">
        <v>91</v>
      </c>
      <c r="C978" s="2" t="s">
        <v>8</v>
      </c>
      <c r="D978" s="2">
        <v>25</v>
      </c>
      <c r="E978" s="3">
        <v>87534</v>
      </c>
      <c r="F978" s="2" t="s">
        <v>38</v>
      </c>
      <c r="G978" s="2" t="s">
        <v>10</v>
      </c>
    </row>
    <row r="979" spans="1:7">
      <c r="A979" s="2">
        <v>978</v>
      </c>
      <c r="B979" s="2" t="s">
        <v>73</v>
      </c>
      <c r="C979" s="2" t="s">
        <v>8</v>
      </c>
      <c r="D979" s="2">
        <v>7</v>
      </c>
      <c r="E979" s="3">
        <v>69553</v>
      </c>
      <c r="F979" s="2" t="s">
        <v>20</v>
      </c>
      <c r="G979" s="2" t="s">
        <v>23</v>
      </c>
    </row>
    <row r="980" spans="1:7">
      <c r="A980" s="2">
        <v>979</v>
      </c>
      <c r="B980" s="2" t="s">
        <v>86</v>
      </c>
      <c r="C980" s="2" t="s">
        <v>12</v>
      </c>
      <c r="D980" s="2">
        <v>31</v>
      </c>
      <c r="E980" s="3">
        <v>81839</v>
      </c>
      <c r="F980" s="2" t="s">
        <v>20</v>
      </c>
      <c r="G980" s="2" t="s">
        <v>23</v>
      </c>
    </row>
    <row r="981" spans="1:7">
      <c r="A981" s="2">
        <v>980</v>
      </c>
      <c r="B981" s="2" t="s">
        <v>39</v>
      </c>
      <c r="C981" s="2" t="s">
        <v>16</v>
      </c>
      <c r="D981" s="2">
        <v>37</v>
      </c>
      <c r="E981" s="3">
        <v>44044</v>
      </c>
      <c r="F981" s="2" t="s">
        <v>9</v>
      </c>
      <c r="G981" s="2" t="s">
        <v>18</v>
      </c>
    </row>
    <row r="982" spans="1:7">
      <c r="A982" s="2">
        <v>981</v>
      </c>
      <c r="B982" s="2" t="s">
        <v>70</v>
      </c>
      <c r="C982" s="2" t="s">
        <v>12</v>
      </c>
      <c r="D982" s="2">
        <v>42</v>
      </c>
      <c r="E982" s="3">
        <v>87637</v>
      </c>
      <c r="F982" s="2" t="s">
        <v>28</v>
      </c>
      <c r="G982" s="2" t="s">
        <v>10</v>
      </c>
    </row>
    <row r="983" spans="1:7">
      <c r="A983" s="2">
        <v>982</v>
      </c>
      <c r="B983" s="2" t="s">
        <v>41</v>
      </c>
      <c r="C983" s="2" t="s">
        <v>8</v>
      </c>
      <c r="D983" s="2">
        <v>49</v>
      </c>
      <c r="E983" s="3">
        <v>32869</v>
      </c>
      <c r="F983" s="2" t="s">
        <v>13</v>
      </c>
      <c r="G983" s="2" t="s">
        <v>29</v>
      </c>
    </row>
    <row r="984" spans="1:7">
      <c r="A984" s="2">
        <v>983</v>
      </c>
      <c r="B984" s="2" t="s">
        <v>73</v>
      </c>
      <c r="C984" s="2" t="s">
        <v>12</v>
      </c>
      <c r="D984" s="2">
        <v>44</v>
      </c>
      <c r="E984" s="3">
        <v>81338</v>
      </c>
      <c r="F984" s="2" t="s">
        <v>17</v>
      </c>
      <c r="G984" s="2" t="s">
        <v>26</v>
      </c>
    </row>
    <row r="985" spans="1:7">
      <c r="A985" s="2">
        <v>984</v>
      </c>
      <c r="B985" s="2" t="s">
        <v>84</v>
      </c>
      <c r="C985" s="2" t="s">
        <v>22</v>
      </c>
      <c r="D985" s="2">
        <v>15</v>
      </c>
      <c r="E985" s="3">
        <v>29603</v>
      </c>
      <c r="F985" s="2" t="s">
        <v>28</v>
      </c>
      <c r="G985" s="2" t="s">
        <v>26</v>
      </c>
    </row>
    <row r="986" spans="1:7">
      <c r="A986" s="2">
        <v>985</v>
      </c>
      <c r="B986" s="2" t="s">
        <v>80</v>
      </c>
      <c r="C986" s="2" t="s">
        <v>12</v>
      </c>
      <c r="D986" s="2">
        <v>11</v>
      </c>
      <c r="E986" s="3">
        <v>33914</v>
      </c>
      <c r="F986" s="2" t="s">
        <v>17</v>
      </c>
      <c r="G986" s="2" t="s">
        <v>18</v>
      </c>
    </row>
    <row r="987" spans="1:7">
      <c r="A987" s="2">
        <v>986</v>
      </c>
      <c r="B987" s="2" t="s">
        <v>78</v>
      </c>
      <c r="C987" s="2" t="s">
        <v>12</v>
      </c>
      <c r="D987" s="2">
        <v>29</v>
      </c>
      <c r="E987" s="3">
        <v>74697</v>
      </c>
      <c r="F987" s="2" t="s">
        <v>25</v>
      </c>
      <c r="G987" s="2" t="s">
        <v>29</v>
      </c>
    </row>
    <row r="988" spans="1:7">
      <c r="A988" s="2">
        <v>987</v>
      </c>
      <c r="B988" s="2" t="s">
        <v>30</v>
      </c>
      <c r="C988" s="2" t="s">
        <v>8</v>
      </c>
      <c r="D988" s="2">
        <v>5</v>
      </c>
      <c r="E988" s="3">
        <v>81285</v>
      </c>
      <c r="F988" s="2" t="s">
        <v>9</v>
      </c>
      <c r="G988" s="2" t="s">
        <v>14</v>
      </c>
    </row>
    <row r="989" spans="1:7">
      <c r="A989" s="2">
        <v>988</v>
      </c>
      <c r="B989" s="2" t="s">
        <v>46</v>
      </c>
      <c r="C989" s="2" t="s">
        <v>22</v>
      </c>
      <c r="D989" s="2">
        <v>3</v>
      </c>
      <c r="E989" s="3">
        <v>52253</v>
      </c>
      <c r="F989" s="2" t="s">
        <v>9</v>
      </c>
      <c r="G989" s="2" t="s">
        <v>18</v>
      </c>
    </row>
    <row r="990" spans="1:7">
      <c r="A990" s="2">
        <v>989</v>
      </c>
      <c r="B990" s="2" t="s">
        <v>79</v>
      </c>
      <c r="C990" s="2" t="s">
        <v>8</v>
      </c>
      <c r="D990" s="2">
        <v>19</v>
      </c>
      <c r="E990" s="3">
        <v>54230</v>
      </c>
      <c r="F990" s="2" t="s">
        <v>9</v>
      </c>
      <c r="G990" s="2" t="s">
        <v>29</v>
      </c>
    </row>
    <row r="991" spans="1:7">
      <c r="A991" s="2">
        <v>990</v>
      </c>
      <c r="B991" s="2" t="s">
        <v>21</v>
      </c>
      <c r="C991" s="2" t="s">
        <v>22</v>
      </c>
      <c r="D991" s="2">
        <v>2</v>
      </c>
      <c r="E991" s="3">
        <v>70224</v>
      </c>
      <c r="F991" s="2" t="s">
        <v>25</v>
      </c>
      <c r="G991" s="2" t="s">
        <v>14</v>
      </c>
    </row>
    <row r="992" spans="1:7">
      <c r="A992" s="2">
        <v>991</v>
      </c>
      <c r="B992" s="2" t="s">
        <v>63</v>
      </c>
      <c r="C992" s="2" t="s">
        <v>22</v>
      </c>
      <c r="D992" s="2">
        <v>21</v>
      </c>
      <c r="E992" s="3">
        <v>43663</v>
      </c>
      <c r="F992" s="2" t="s">
        <v>32</v>
      </c>
      <c r="G992" s="2" t="s">
        <v>29</v>
      </c>
    </row>
    <row r="993" spans="1:7">
      <c r="A993" s="2">
        <v>992</v>
      </c>
      <c r="B993" s="2" t="s">
        <v>81</v>
      </c>
      <c r="C993" s="2" t="s">
        <v>22</v>
      </c>
      <c r="D993" s="2">
        <v>17</v>
      </c>
      <c r="E993" s="3">
        <v>81538</v>
      </c>
      <c r="F993" s="2" t="s">
        <v>28</v>
      </c>
      <c r="G993" s="2" t="s">
        <v>26</v>
      </c>
    </row>
    <row r="994" spans="1:7">
      <c r="A994" s="2">
        <v>993</v>
      </c>
      <c r="B994" s="2" t="s">
        <v>46</v>
      </c>
      <c r="C994" s="2" t="s">
        <v>8</v>
      </c>
      <c r="D994" s="2">
        <v>7</v>
      </c>
      <c r="E994" s="3">
        <v>91264</v>
      </c>
      <c r="F994" s="2" t="s">
        <v>32</v>
      </c>
      <c r="G994" s="2" t="s">
        <v>10</v>
      </c>
    </row>
    <row r="995" spans="1:7">
      <c r="A995" s="2">
        <v>994</v>
      </c>
      <c r="B995" s="2" t="s">
        <v>60</v>
      </c>
      <c r="C995" s="2" t="s">
        <v>22</v>
      </c>
      <c r="D995" s="2">
        <v>5</v>
      </c>
      <c r="E995" s="3">
        <v>37810</v>
      </c>
      <c r="F995" s="2" t="s">
        <v>38</v>
      </c>
      <c r="G995" s="2" t="s">
        <v>29</v>
      </c>
    </row>
    <row r="996" spans="1:7">
      <c r="A996" s="2">
        <v>995</v>
      </c>
      <c r="B996" s="2" t="s">
        <v>62</v>
      </c>
      <c r="C996" s="2" t="s">
        <v>16</v>
      </c>
      <c r="D996" s="2">
        <v>22</v>
      </c>
      <c r="E996" s="3">
        <v>98131</v>
      </c>
      <c r="F996" s="2" t="s">
        <v>20</v>
      </c>
      <c r="G996" s="2" t="s">
        <v>10</v>
      </c>
    </row>
    <row r="997" spans="1:7">
      <c r="A997" s="2">
        <v>996</v>
      </c>
      <c r="B997" s="2" t="s">
        <v>82</v>
      </c>
      <c r="C997" s="2" t="s">
        <v>16</v>
      </c>
      <c r="D997" s="2">
        <v>11</v>
      </c>
      <c r="E997" s="3">
        <v>89586</v>
      </c>
      <c r="F997" s="2" t="s">
        <v>38</v>
      </c>
      <c r="G997" s="2" t="s">
        <v>29</v>
      </c>
    </row>
    <row r="998" spans="1:7">
      <c r="A998" s="2">
        <v>997</v>
      </c>
      <c r="B998" s="2" t="s">
        <v>69</v>
      </c>
      <c r="C998" s="2" t="s">
        <v>16</v>
      </c>
      <c r="D998" s="2">
        <v>25</v>
      </c>
      <c r="E998" s="3">
        <v>38270</v>
      </c>
      <c r="F998" s="2" t="s">
        <v>9</v>
      </c>
      <c r="G998" s="2" t="s">
        <v>14</v>
      </c>
    </row>
    <row r="999" spans="1:7">
      <c r="A999" s="2">
        <v>998</v>
      </c>
      <c r="B999" s="2" t="s">
        <v>57</v>
      </c>
      <c r="C999" s="2" t="s">
        <v>16</v>
      </c>
      <c r="D999" s="2">
        <v>11</v>
      </c>
      <c r="E999" s="3">
        <v>32927</v>
      </c>
      <c r="F999" s="2" t="s">
        <v>20</v>
      </c>
      <c r="G999" s="2" t="s">
        <v>10</v>
      </c>
    </row>
    <row r="1000" spans="1:7">
      <c r="A1000" s="2">
        <v>999</v>
      </c>
      <c r="B1000" s="2" t="s">
        <v>62</v>
      </c>
      <c r="C1000" s="2" t="s">
        <v>8</v>
      </c>
      <c r="D1000" s="2">
        <v>47</v>
      </c>
      <c r="E1000" s="3">
        <v>41625</v>
      </c>
      <c r="F1000" s="2" t="s">
        <v>32</v>
      </c>
      <c r="G1000" s="2" t="s">
        <v>23</v>
      </c>
    </row>
    <row r="1001" spans="1:7">
      <c r="A1001" s="2">
        <v>1000</v>
      </c>
      <c r="B1001" s="2" t="s">
        <v>45</v>
      </c>
      <c r="C1001" s="2" t="s">
        <v>12</v>
      </c>
      <c r="D1001" s="2">
        <v>5</v>
      </c>
      <c r="E1001" s="3">
        <v>34442</v>
      </c>
      <c r="F1001" s="2" t="s">
        <v>13</v>
      </c>
      <c r="G1001" s="2" t="s">
        <v>10</v>
      </c>
    </row>
  </sheetData>
  <conditionalFormatting sqref="A1:G1001">
    <cfRule type="expression" dxfId="3" priority="5">
      <formula>$E1&gt;=50000</formula>
    </cfRule>
  </conditionalFormatting>
  <conditionalFormatting sqref="A1:XFD1048576">
    <cfRule type="expression" dxfId="2" priority="1">
      <formula>AND($C1048571="Electric",$E1048571&lt;30000)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F25A-BFAD-4949-9431-8E8EFD806EE4}">
  <sheetPr>
    <tabColor rgb="FFC00000"/>
  </sheetPr>
  <dimension ref="A1:H1001"/>
  <sheetViews>
    <sheetView topLeftCell="A997" workbookViewId="0">
      <selection activeCell="G1013" sqref="G1013"/>
    </sheetView>
  </sheetViews>
  <sheetFormatPr defaultRowHeight="15"/>
  <cols>
    <col min="2" max="2" width="23.7109375" customWidth="1"/>
    <col min="3" max="3" width="11.7109375" customWidth="1"/>
    <col min="4" max="4" width="23.42578125" customWidth="1"/>
    <col min="5" max="5" width="15.42578125" customWidth="1"/>
    <col min="6" max="6" width="18" customWidth="1"/>
    <col min="7" max="7" width="11.5703125" customWidth="1"/>
    <col min="8" max="8" width="12.42578125" customWidth="1"/>
  </cols>
  <sheetData>
    <row r="1" spans="1:8">
      <c r="A1" s="1" t="s">
        <v>0</v>
      </c>
      <c r="B1" s="1" t="s">
        <v>1</v>
      </c>
      <c r="C1" s="1" t="s">
        <v>2</v>
      </c>
      <c r="D1" s="1" t="s">
        <v>3</v>
      </c>
      <c r="E1" s="1" t="s">
        <v>4</v>
      </c>
      <c r="F1" s="1" t="s">
        <v>5</v>
      </c>
      <c r="G1" s="1" t="s">
        <v>6</v>
      </c>
      <c r="H1" s="1" t="s">
        <v>95</v>
      </c>
    </row>
    <row r="2" spans="1:8">
      <c r="A2" s="2">
        <v>1</v>
      </c>
      <c r="B2" s="2" t="s">
        <v>7</v>
      </c>
      <c r="C2" s="2" t="s">
        <v>8</v>
      </c>
      <c r="D2" s="2">
        <v>30</v>
      </c>
      <c r="E2" s="3">
        <v>77024</v>
      </c>
      <c r="F2" s="2" t="s">
        <v>9</v>
      </c>
      <c r="G2" s="2" t="s">
        <v>10</v>
      </c>
      <c r="H2">
        <f>E2*5%</f>
        <v>3851.2000000000003</v>
      </c>
    </row>
    <row r="3" spans="1:8">
      <c r="A3" s="2">
        <v>2</v>
      </c>
      <c r="B3" s="2" t="s">
        <v>11</v>
      </c>
      <c r="C3" s="2" t="s">
        <v>12</v>
      </c>
      <c r="D3" s="2">
        <v>15</v>
      </c>
      <c r="E3" s="3">
        <v>37515</v>
      </c>
      <c r="F3" s="2" t="s">
        <v>13</v>
      </c>
      <c r="G3" s="2" t="s">
        <v>14</v>
      </c>
      <c r="H3">
        <f t="shared" ref="H3:H66" si="0">E3*5%</f>
        <v>1875.75</v>
      </c>
    </row>
    <row r="4" spans="1:8">
      <c r="A4" s="2">
        <v>3</v>
      </c>
      <c r="B4" s="2" t="s">
        <v>15</v>
      </c>
      <c r="C4" s="2" t="s">
        <v>16</v>
      </c>
      <c r="D4" s="2">
        <v>26</v>
      </c>
      <c r="E4" s="3">
        <v>93173</v>
      </c>
      <c r="F4" s="2" t="s">
        <v>17</v>
      </c>
      <c r="G4" s="2" t="s">
        <v>18</v>
      </c>
      <c r="H4">
        <f t="shared" si="0"/>
        <v>4658.6500000000005</v>
      </c>
    </row>
    <row r="5" spans="1:8">
      <c r="A5" s="2">
        <v>4</v>
      </c>
      <c r="B5" s="2" t="s">
        <v>19</v>
      </c>
      <c r="C5" s="2" t="s">
        <v>12</v>
      </c>
      <c r="D5" s="2">
        <v>41</v>
      </c>
      <c r="E5" s="3">
        <v>79996</v>
      </c>
      <c r="F5" s="2" t="s">
        <v>20</v>
      </c>
      <c r="G5" s="2" t="s">
        <v>18</v>
      </c>
      <c r="H5">
        <f t="shared" si="0"/>
        <v>3999.8</v>
      </c>
    </row>
    <row r="6" spans="1:8">
      <c r="A6" s="2">
        <v>5</v>
      </c>
      <c r="B6" s="2" t="s">
        <v>21</v>
      </c>
      <c r="C6" s="2" t="s">
        <v>22</v>
      </c>
      <c r="D6" s="2">
        <v>12</v>
      </c>
      <c r="E6" s="3">
        <v>31822</v>
      </c>
      <c r="F6" s="2" t="s">
        <v>13</v>
      </c>
      <c r="G6" s="2" t="s">
        <v>23</v>
      </c>
      <c r="H6">
        <f t="shared" si="0"/>
        <v>1591.1000000000001</v>
      </c>
    </row>
    <row r="7" spans="1:8">
      <c r="A7" s="2">
        <v>6</v>
      </c>
      <c r="B7" s="2" t="s">
        <v>24</v>
      </c>
      <c r="C7" s="2" t="s">
        <v>16</v>
      </c>
      <c r="D7" s="2">
        <v>12</v>
      </c>
      <c r="E7" s="3">
        <v>75831</v>
      </c>
      <c r="F7" s="2" t="s">
        <v>25</v>
      </c>
      <c r="G7" s="2" t="s">
        <v>26</v>
      </c>
      <c r="H7">
        <f t="shared" si="0"/>
        <v>3791.55</v>
      </c>
    </row>
    <row r="8" spans="1:8">
      <c r="A8" s="2">
        <v>7</v>
      </c>
      <c r="B8" s="2" t="s">
        <v>27</v>
      </c>
      <c r="C8" s="2" t="s">
        <v>12</v>
      </c>
      <c r="D8" s="2">
        <v>41</v>
      </c>
      <c r="E8" s="3">
        <v>96909</v>
      </c>
      <c r="F8" s="2" t="s">
        <v>28</v>
      </c>
      <c r="G8" s="2" t="s">
        <v>29</v>
      </c>
      <c r="H8">
        <f t="shared" si="0"/>
        <v>4845.45</v>
      </c>
    </row>
    <row r="9" spans="1:8">
      <c r="A9" s="2">
        <v>8</v>
      </c>
      <c r="B9" s="2" t="s">
        <v>30</v>
      </c>
      <c r="C9" s="2" t="s">
        <v>8</v>
      </c>
      <c r="D9" s="2">
        <v>43</v>
      </c>
      <c r="E9" s="3">
        <v>98569</v>
      </c>
      <c r="F9" s="2" t="s">
        <v>9</v>
      </c>
      <c r="G9" s="2" t="s">
        <v>14</v>
      </c>
      <c r="H9">
        <f t="shared" si="0"/>
        <v>4928.4500000000007</v>
      </c>
    </row>
    <row r="10" spans="1:8">
      <c r="A10" s="2">
        <v>9</v>
      </c>
      <c r="B10" s="2" t="s">
        <v>31</v>
      </c>
      <c r="C10" s="2" t="s">
        <v>22</v>
      </c>
      <c r="D10" s="2">
        <v>28</v>
      </c>
      <c r="E10" s="3">
        <v>78423</v>
      </c>
      <c r="F10" s="2" t="s">
        <v>32</v>
      </c>
      <c r="G10" s="2" t="s">
        <v>26</v>
      </c>
      <c r="H10">
        <f t="shared" si="0"/>
        <v>3921.15</v>
      </c>
    </row>
    <row r="11" spans="1:8">
      <c r="A11" s="2">
        <v>10</v>
      </c>
      <c r="B11" s="2" t="s">
        <v>33</v>
      </c>
      <c r="C11" s="2" t="s">
        <v>12</v>
      </c>
      <c r="D11" s="2">
        <v>26</v>
      </c>
      <c r="E11" s="3">
        <v>29769</v>
      </c>
      <c r="F11" s="2" t="s">
        <v>20</v>
      </c>
      <c r="G11" s="2" t="s">
        <v>29</v>
      </c>
      <c r="H11">
        <f t="shared" si="0"/>
        <v>1488.45</v>
      </c>
    </row>
    <row r="12" spans="1:8">
      <c r="A12" s="2">
        <v>11</v>
      </c>
      <c r="B12" s="2" t="s">
        <v>34</v>
      </c>
      <c r="C12" s="2" t="s">
        <v>22</v>
      </c>
      <c r="D12" s="2">
        <v>2</v>
      </c>
      <c r="E12" s="3">
        <v>59644</v>
      </c>
      <c r="F12" s="2" t="s">
        <v>28</v>
      </c>
      <c r="G12" s="2" t="s">
        <v>26</v>
      </c>
      <c r="H12">
        <f t="shared" si="0"/>
        <v>2982.2000000000003</v>
      </c>
    </row>
    <row r="13" spans="1:8">
      <c r="A13" s="2">
        <v>12</v>
      </c>
      <c r="B13" s="2" t="s">
        <v>35</v>
      </c>
      <c r="C13" s="2" t="s">
        <v>12</v>
      </c>
      <c r="D13" s="2">
        <v>48</v>
      </c>
      <c r="E13" s="3">
        <v>84311</v>
      </c>
      <c r="F13" s="2" t="s">
        <v>13</v>
      </c>
      <c r="G13" s="2" t="s">
        <v>18</v>
      </c>
      <c r="H13">
        <f t="shared" si="0"/>
        <v>4215.55</v>
      </c>
    </row>
    <row r="14" spans="1:8">
      <c r="A14" s="2">
        <v>13</v>
      </c>
      <c r="B14" s="2" t="s">
        <v>36</v>
      </c>
      <c r="C14" s="2" t="s">
        <v>8</v>
      </c>
      <c r="D14" s="2">
        <v>40</v>
      </c>
      <c r="E14" s="3">
        <v>65822</v>
      </c>
      <c r="F14" s="2" t="s">
        <v>28</v>
      </c>
      <c r="G14" s="2" t="s">
        <v>18</v>
      </c>
      <c r="H14">
        <f t="shared" si="0"/>
        <v>3291.1000000000004</v>
      </c>
    </row>
    <row r="15" spans="1:8">
      <c r="A15" s="2">
        <v>14</v>
      </c>
      <c r="B15" s="2" t="s">
        <v>7</v>
      </c>
      <c r="C15" s="2" t="s">
        <v>16</v>
      </c>
      <c r="D15" s="2">
        <v>13</v>
      </c>
      <c r="E15" s="3">
        <v>41907</v>
      </c>
      <c r="F15" s="2" t="s">
        <v>32</v>
      </c>
      <c r="G15" s="2" t="s">
        <v>14</v>
      </c>
      <c r="H15">
        <f t="shared" si="0"/>
        <v>2095.35</v>
      </c>
    </row>
    <row r="16" spans="1:8">
      <c r="A16" s="2">
        <v>15</v>
      </c>
      <c r="B16" s="2" t="s">
        <v>37</v>
      </c>
      <c r="C16" s="2" t="s">
        <v>12</v>
      </c>
      <c r="D16" s="2">
        <v>29</v>
      </c>
      <c r="E16" s="3">
        <v>32717</v>
      </c>
      <c r="F16" s="2" t="s">
        <v>38</v>
      </c>
      <c r="G16" s="2" t="s">
        <v>18</v>
      </c>
      <c r="H16">
        <f t="shared" si="0"/>
        <v>1635.8500000000001</v>
      </c>
    </row>
    <row r="17" spans="1:8">
      <c r="A17" s="2">
        <v>16</v>
      </c>
      <c r="B17" s="2" t="s">
        <v>21</v>
      </c>
      <c r="C17" s="2" t="s">
        <v>22</v>
      </c>
      <c r="D17" s="2">
        <v>38</v>
      </c>
      <c r="E17" s="3">
        <v>70228</v>
      </c>
      <c r="F17" s="2" t="s">
        <v>38</v>
      </c>
      <c r="G17" s="2" t="s">
        <v>18</v>
      </c>
      <c r="H17">
        <f t="shared" si="0"/>
        <v>3511.4</v>
      </c>
    </row>
    <row r="18" spans="1:8">
      <c r="A18" s="2">
        <v>17</v>
      </c>
      <c r="B18" s="2" t="s">
        <v>39</v>
      </c>
      <c r="C18" s="2" t="s">
        <v>8</v>
      </c>
      <c r="D18" s="2">
        <v>28</v>
      </c>
      <c r="E18" s="3">
        <v>63314</v>
      </c>
      <c r="F18" s="2" t="s">
        <v>20</v>
      </c>
      <c r="G18" s="2" t="s">
        <v>23</v>
      </c>
      <c r="H18">
        <f t="shared" si="0"/>
        <v>3165.7000000000003</v>
      </c>
    </row>
    <row r="19" spans="1:8">
      <c r="A19" s="2">
        <v>18</v>
      </c>
      <c r="B19" s="2" t="s">
        <v>40</v>
      </c>
      <c r="C19" s="2" t="s">
        <v>16</v>
      </c>
      <c r="D19" s="2">
        <v>25</v>
      </c>
      <c r="E19" s="3">
        <v>58509</v>
      </c>
      <c r="F19" s="2" t="s">
        <v>38</v>
      </c>
      <c r="G19" s="2" t="s">
        <v>23</v>
      </c>
      <c r="H19">
        <f t="shared" si="0"/>
        <v>2925.4500000000003</v>
      </c>
    </row>
    <row r="20" spans="1:8">
      <c r="A20" s="2">
        <v>19</v>
      </c>
      <c r="B20" s="2" t="s">
        <v>36</v>
      </c>
      <c r="C20" s="2" t="s">
        <v>22</v>
      </c>
      <c r="D20" s="2">
        <v>1</v>
      </c>
      <c r="E20" s="3">
        <v>46884</v>
      </c>
      <c r="F20" s="2" t="s">
        <v>13</v>
      </c>
      <c r="G20" s="2" t="s">
        <v>18</v>
      </c>
      <c r="H20">
        <f t="shared" si="0"/>
        <v>2344.2000000000003</v>
      </c>
    </row>
    <row r="21" spans="1:8">
      <c r="A21" s="2">
        <v>20</v>
      </c>
      <c r="B21" s="2" t="s">
        <v>30</v>
      </c>
      <c r="C21" s="2" t="s">
        <v>8</v>
      </c>
      <c r="D21" s="2">
        <v>46</v>
      </c>
      <c r="E21" s="3">
        <v>49657</v>
      </c>
      <c r="F21" s="2" t="s">
        <v>32</v>
      </c>
      <c r="G21" s="2" t="s">
        <v>14</v>
      </c>
      <c r="H21">
        <f t="shared" si="0"/>
        <v>2482.8500000000004</v>
      </c>
    </row>
    <row r="22" spans="1:8">
      <c r="A22" s="2">
        <v>21</v>
      </c>
      <c r="B22" s="2" t="s">
        <v>37</v>
      </c>
      <c r="C22" s="2" t="s">
        <v>22</v>
      </c>
      <c r="D22" s="2">
        <v>14</v>
      </c>
      <c r="E22" s="3">
        <v>78900</v>
      </c>
      <c r="F22" s="2" t="s">
        <v>17</v>
      </c>
      <c r="G22" s="2" t="s">
        <v>14</v>
      </c>
      <c r="H22">
        <f t="shared" si="0"/>
        <v>3945</v>
      </c>
    </row>
    <row r="23" spans="1:8">
      <c r="A23" s="2">
        <v>22</v>
      </c>
      <c r="B23" s="2" t="s">
        <v>39</v>
      </c>
      <c r="C23" s="2" t="s">
        <v>8</v>
      </c>
      <c r="D23" s="2">
        <v>14</v>
      </c>
      <c r="E23" s="3">
        <v>72159</v>
      </c>
      <c r="F23" s="2" t="s">
        <v>13</v>
      </c>
      <c r="G23" s="2" t="s">
        <v>26</v>
      </c>
      <c r="H23">
        <f t="shared" si="0"/>
        <v>3607.9500000000003</v>
      </c>
    </row>
    <row r="24" spans="1:8">
      <c r="A24" s="2">
        <v>23</v>
      </c>
      <c r="B24" s="2" t="s">
        <v>41</v>
      </c>
      <c r="C24" s="2" t="s">
        <v>16</v>
      </c>
      <c r="D24" s="2">
        <v>18</v>
      </c>
      <c r="E24" s="3">
        <v>55875</v>
      </c>
      <c r="F24" s="2" t="s">
        <v>17</v>
      </c>
      <c r="G24" s="2" t="s">
        <v>18</v>
      </c>
      <c r="H24">
        <f t="shared" si="0"/>
        <v>2793.75</v>
      </c>
    </row>
    <row r="25" spans="1:8">
      <c r="A25" s="2">
        <v>24</v>
      </c>
      <c r="B25" s="2" t="s">
        <v>42</v>
      </c>
      <c r="C25" s="2" t="s">
        <v>16</v>
      </c>
      <c r="D25" s="2">
        <v>49</v>
      </c>
      <c r="E25" s="3">
        <v>40668</v>
      </c>
      <c r="F25" s="2" t="s">
        <v>20</v>
      </c>
      <c r="G25" s="2" t="s">
        <v>18</v>
      </c>
      <c r="H25">
        <f t="shared" si="0"/>
        <v>2033.4</v>
      </c>
    </row>
    <row r="26" spans="1:8">
      <c r="A26" s="2">
        <v>25</v>
      </c>
      <c r="B26" s="2" t="s">
        <v>43</v>
      </c>
      <c r="C26" s="2" t="s">
        <v>22</v>
      </c>
      <c r="D26" s="2">
        <v>46</v>
      </c>
      <c r="E26" s="3">
        <v>29660</v>
      </c>
      <c r="F26" s="2" t="s">
        <v>25</v>
      </c>
      <c r="G26" s="2" t="s">
        <v>10</v>
      </c>
      <c r="H26">
        <f t="shared" si="0"/>
        <v>1483</v>
      </c>
    </row>
    <row r="27" spans="1:8">
      <c r="A27" s="2">
        <v>26</v>
      </c>
      <c r="B27" s="2" t="s">
        <v>40</v>
      </c>
      <c r="C27" s="2" t="s">
        <v>8</v>
      </c>
      <c r="D27" s="2">
        <v>5</v>
      </c>
      <c r="E27" s="3">
        <v>40017</v>
      </c>
      <c r="F27" s="2" t="s">
        <v>13</v>
      </c>
      <c r="G27" s="2" t="s">
        <v>26</v>
      </c>
      <c r="H27">
        <f t="shared" si="0"/>
        <v>2000.8500000000001</v>
      </c>
    </row>
    <row r="28" spans="1:8">
      <c r="A28" s="2">
        <v>27</v>
      </c>
      <c r="B28" s="2" t="s">
        <v>44</v>
      </c>
      <c r="C28" s="2" t="s">
        <v>12</v>
      </c>
      <c r="D28" s="2">
        <v>37</v>
      </c>
      <c r="E28" s="3">
        <v>67150</v>
      </c>
      <c r="F28" s="2" t="s">
        <v>28</v>
      </c>
      <c r="G28" s="2" t="s">
        <v>23</v>
      </c>
      <c r="H28">
        <f t="shared" si="0"/>
        <v>3357.5</v>
      </c>
    </row>
    <row r="29" spans="1:8">
      <c r="A29" s="2">
        <v>28</v>
      </c>
      <c r="B29" s="2" t="s">
        <v>45</v>
      </c>
      <c r="C29" s="2" t="s">
        <v>16</v>
      </c>
      <c r="D29" s="2">
        <v>7</v>
      </c>
      <c r="E29" s="3">
        <v>60180</v>
      </c>
      <c r="F29" s="2" t="s">
        <v>28</v>
      </c>
      <c r="G29" s="2" t="s">
        <v>23</v>
      </c>
      <c r="H29">
        <f t="shared" si="0"/>
        <v>3009</v>
      </c>
    </row>
    <row r="30" spans="1:8">
      <c r="A30" s="2">
        <v>29</v>
      </c>
      <c r="B30" s="2" t="s">
        <v>46</v>
      </c>
      <c r="C30" s="2" t="s">
        <v>12</v>
      </c>
      <c r="D30" s="2">
        <v>35</v>
      </c>
      <c r="E30" s="3">
        <v>96396</v>
      </c>
      <c r="F30" s="2" t="s">
        <v>13</v>
      </c>
      <c r="G30" s="2" t="s">
        <v>14</v>
      </c>
      <c r="H30">
        <f t="shared" si="0"/>
        <v>4819.8</v>
      </c>
    </row>
    <row r="31" spans="1:8">
      <c r="A31" s="2">
        <v>30</v>
      </c>
      <c r="B31" s="2" t="s">
        <v>47</v>
      </c>
      <c r="C31" s="2" t="s">
        <v>12</v>
      </c>
      <c r="D31" s="2">
        <v>12</v>
      </c>
      <c r="E31" s="3">
        <v>96639</v>
      </c>
      <c r="F31" s="2" t="s">
        <v>17</v>
      </c>
      <c r="G31" s="2" t="s">
        <v>29</v>
      </c>
      <c r="H31">
        <f t="shared" si="0"/>
        <v>4831.95</v>
      </c>
    </row>
    <row r="32" spans="1:8">
      <c r="A32" s="2">
        <v>31</v>
      </c>
      <c r="B32" s="2" t="s">
        <v>48</v>
      </c>
      <c r="C32" s="2" t="s">
        <v>22</v>
      </c>
      <c r="D32" s="2">
        <v>24</v>
      </c>
      <c r="E32" s="3">
        <v>67390</v>
      </c>
      <c r="F32" s="2" t="s">
        <v>28</v>
      </c>
      <c r="G32" s="2" t="s">
        <v>29</v>
      </c>
      <c r="H32">
        <f t="shared" si="0"/>
        <v>3369.5</v>
      </c>
    </row>
    <row r="33" spans="1:8">
      <c r="A33" s="2">
        <v>32</v>
      </c>
      <c r="B33" s="2" t="s">
        <v>49</v>
      </c>
      <c r="C33" s="2" t="s">
        <v>22</v>
      </c>
      <c r="D33" s="2">
        <v>21</v>
      </c>
      <c r="E33" s="3">
        <v>34904</v>
      </c>
      <c r="F33" s="2" t="s">
        <v>13</v>
      </c>
      <c r="G33" s="2" t="s">
        <v>18</v>
      </c>
      <c r="H33">
        <f t="shared" si="0"/>
        <v>1745.2</v>
      </c>
    </row>
    <row r="34" spans="1:8">
      <c r="A34" s="2">
        <v>33</v>
      </c>
      <c r="B34" s="2" t="s">
        <v>50</v>
      </c>
      <c r="C34" s="2" t="s">
        <v>22</v>
      </c>
      <c r="D34" s="2">
        <v>13</v>
      </c>
      <c r="E34" s="3">
        <v>96628</v>
      </c>
      <c r="F34" s="2" t="s">
        <v>32</v>
      </c>
      <c r="G34" s="2" t="s">
        <v>18</v>
      </c>
      <c r="H34">
        <f t="shared" si="0"/>
        <v>4831.4000000000005</v>
      </c>
    </row>
    <row r="35" spans="1:8">
      <c r="A35" s="2">
        <v>34</v>
      </c>
      <c r="B35" s="2" t="s">
        <v>42</v>
      </c>
      <c r="C35" s="2" t="s">
        <v>8</v>
      </c>
      <c r="D35" s="2">
        <v>30</v>
      </c>
      <c r="E35" s="3">
        <v>75254</v>
      </c>
      <c r="F35" s="2" t="s">
        <v>13</v>
      </c>
      <c r="G35" s="2" t="s">
        <v>26</v>
      </c>
      <c r="H35">
        <f t="shared" si="0"/>
        <v>3762.7000000000003</v>
      </c>
    </row>
    <row r="36" spans="1:8">
      <c r="A36" s="2">
        <v>35</v>
      </c>
      <c r="B36" s="2" t="s">
        <v>48</v>
      </c>
      <c r="C36" s="2" t="s">
        <v>16</v>
      </c>
      <c r="D36" s="2">
        <v>8</v>
      </c>
      <c r="E36" s="3">
        <v>80934</v>
      </c>
      <c r="F36" s="2" t="s">
        <v>9</v>
      </c>
      <c r="G36" s="2" t="s">
        <v>10</v>
      </c>
      <c r="H36">
        <f t="shared" si="0"/>
        <v>4046.7000000000003</v>
      </c>
    </row>
    <row r="37" spans="1:8">
      <c r="A37" s="2">
        <v>36</v>
      </c>
      <c r="B37" s="2" t="s">
        <v>27</v>
      </c>
      <c r="C37" s="2" t="s">
        <v>16</v>
      </c>
      <c r="D37" s="2">
        <v>17</v>
      </c>
      <c r="E37" s="3">
        <v>65565</v>
      </c>
      <c r="F37" s="2" t="s">
        <v>25</v>
      </c>
      <c r="G37" s="2" t="s">
        <v>10</v>
      </c>
      <c r="H37">
        <f t="shared" si="0"/>
        <v>3278.25</v>
      </c>
    </row>
    <row r="38" spans="1:8">
      <c r="A38" s="2">
        <v>37</v>
      </c>
      <c r="B38" s="2" t="s">
        <v>31</v>
      </c>
      <c r="C38" s="2" t="s">
        <v>12</v>
      </c>
      <c r="D38" s="2">
        <v>43</v>
      </c>
      <c r="E38" s="3">
        <v>84273</v>
      </c>
      <c r="F38" s="2" t="s">
        <v>17</v>
      </c>
      <c r="G38" s="2" t="s">
        <v>14</v>
      </c>
      <c r="H38">
        <f t="shared" si="0"/>
        <v>4213.6500000000005</v>
      </c>
    </row>
    <row r="39" spans="1:8">
      <c r="A39" s="2">
        <v>38</v>
      </c>
      <c r="B39" s="2" t="s">
        <v>34</v>
      </c>
      <c r="C39" s="2" t="s">
        <v>22</v>
      </c>
      <c r="D39" s="2">
        <v>32</v>
      </c>
      <c r="E39" s="3">
        <v>37016</v>
      </c>
      <c r="F39" s="2" t="s">
        <v>9</v>
      </c>
      <c r="G39" s="2" t="s">
        <v>26</v>
      </c>
      <c r="H39">
        <f t="shared" si="0"/>
        <v>1850.8000000000002</v>
      </c>
    </row>
    <row r="40" spans="1:8">
      <c r="A40" s="2">
        <v>39</v>
      </c>
      <c r="B40" s="2" t="s">
        <v>51</v>
      </c>
      <c r="C40" s="2" t="s">
        <v>8</v>
      </c>
      <c r="D40" s="2">
        <v>34</v>
      </c>
      <c r="E40" s="3">
        <v>54005</v>
      </c>
      <c r="F40" s="2" t="s">
        <v>28</v>
      </c>
      <c r="G40" s="2" t="s">
        <v>29</v>
      </c>
      <c r="H40">
        <f t="shared" si="0"/>
        <v>2700.25</v>
      </c>
    </row>
    <row r="41" spans="1:8">
      <c r="A41" s="2">
        <v>40</v>
      </c>
      <c r="B41" s="2" t="s">
        <v>52</v>
      </c>
      <c r="C41" s="2" t="s">
        <v>16</v>
      </c>
      <c r="D41" s="2">
        <v>41</v>
      </c>
      <c r="E41" s="3">
        <v>86030</v>
      </c>
      <c r="F41" s="2" t="s">
        <v>28</v>
      </c>
      <c r="G41" s="2" t="s">
        <v>10</v>
      </c>
      <c r="H41">
        <f t="shared" si="0"/>
        <v>4301.5</v>
      </c>
    </row>
    <row r="42" spans="1:8">
      <c r="A42" s="2">
        <v>41</v>
      </c>
      <c r="B42" s="2" t="s">
        <v>53</v>
      </c>
      <c r="C42" s="2" t="s">
        <v>8</v>
      </c>
      <c r="D42" s="2">
        <v>21</v>
      </c>
      <c r="E42" s="3">
        <v>93030</v>
      </c>
      <c r="F42" s="2" t="s">
        <v>17</v>
      </c>
      <c r="G42" s="2" t="s">
        <v>29</v>
      </c>
      <c r="H42">
        <f t="shared" si="0"/>
        <v>4651.5</v>
      </c>
    </row>
    <row r="43" spans="1:8">
      <c r="A43" s="2">
        <v>42</v>
      </c>
      <c r="B43" s="2" t="s">
        <v>54</v>
      </c>
      <c r="C43" s="2" t="s">
        <v>22</v>
      </c>
      <c r="D43" s="2">
        <v>39</v>
      </c>
      <c r="E43" s="3">
        <v>52788</v>
      </c>
      <c r="F43" s="2" t="s">
        <v>13</v>
      </c>
      <c r="G43" s="2" t="s">
        <v>26</v>
      </c>
      <c r="H43">
        <f t="shared" si="0"/>
        <v>2639.4</v>
      </c>
    </row>
    <row r="44" spans="1:8">
      <c r="A44" s="2">
        <v>43</v>
      </c>
      <c r="B44" s="2" t="s">
        <v>55</v>
      </c>
      <c r="C44" s="2" t="s">
        <v>22</v>
      </c>
      <c r="D44" s="2">
        <v>25</v>
      </c>
      <c r="E44" s="3">
        <v>81201</v>
      </c>
      <c r="F44" s="2" t="s">
        <v>25</v>
      </c>
      <c r="G44" s="2" t="s">
        <v>10</v>
      </c>
      <c r="H44">
        <f t="shared" si="0"/>
        <v>4060.05</v>
      </c>
    </row>
    <row r="45" spans="1:8">
      <c r="A45" s="2">
        <v>44</v>
      </c>
      <c r="B45" s="2" t="s">
        <v>45</v>
      </c>
      <c r="C45" s="2" t="s">
        <v>16</v>
      </c>
      <c r="D45" s="2">
        <v>40</v>
      </c>
      <c r="E45" s="3">
        <v>83974</v>
      </c>
      <c r="F45" s="2" t="s">
        <v>20</v>
      </c>
      <c r="G45" s="2" t="s">
        <v>23</v>
      </c>
      <c r="H45">
        <f t="shared" si="0"/>
        <v>4198.7</v>
      </c>
    </row>
    <row r="46" spans="1:8">
      <c r="A46" s="2">
        <v>45</v>
      </c>
      <c r="B46" s="2" t="s">
        <v>56</v>
      </c>
      <c r="C46" s="2" t="s">
        <v>12</v>
      </c>
      <c r="D46" s="2">
        <v>26</v>
      </c>
      <c r="E46" s="3">
        <v>67158</v>
      </c>
      <c r="F46" s="2" t="s">
        <v>32</v>
      </c>
      <c r="G46" s="2" t="s">
        <v>18</v>
      </c>
      <c r="H46">
        <f t="shared" si="0"/>
        <v>3357.9</v>
      </c>
    </row>
    <row r="47" spans="1:8">
      <c r="A47" s="2">
        <v>46</v>
      </c>
      <c r="B47" s="2" t="s">
        <v>57</v>
      </c>
      <c r="C47" s="2" t="s">
        <v>12</v>
      </c>
      <c r="D47" s="2">
        <v>38</v>
      </c>
      <c r="E47" s="3">
        <v>28192</v>
      </c>
      <c r="F47" s="2" t="s">
        <v>9</v>
      </c>
      <c r="G47" s="2" t="s">
        <v>10</v>
      </c>
      <c r="H47">
        <f t="shared" si="0"/>
        <v>1409.6000000000001</v>
      </c>
    </row>
    <row r="48" spans="1:8">
      <c r="A48" s="2">
        <v>47</v>
      </c>
      <c r="B48" s="2" t="s">
        <v>58</v>
      </c>
      <c r="C48" s="2" t="s">
        <v>22</v>
      </c>
      <c r="D48" s="2">
        <v>8</v>
      </c>
      <c r="E48" s="3">
        <v>38766</v>
      </c>
      <c r="F48" s="2" t="s">
        <v>25</v>
      </c>
      <c r="G48" s="2" t="s">
        <v>10</v>
      </c>
      <c r="H48">
        <f t="shared" si="0"/>
        <v>1938.3000000000002</v>
      </c>
    </row>
    <row r="49" spans="1:8">
      <c r="A49" s="2">
        <v>48</v>
      </c>
      <c r="B49" s="2" t="s">
        <v>59</v>
      </c>
      <c r="C49" s="2" t="s">
        <v>22</v>
      </c>
      <c r="D49" s="2">
        <v>23</v>
      </c>
      <c r="E49" s="3">
        <v>93042</v>
      </c>
      <c r="F49" s="2" t="s">
        <v>20</v>
      </c>
      <c r="G49" s="2" t="s">
        <v>26</v>
      </c>
      <c r="H49">
        <f t="shared" si="0"/>
        <v>4652.1000000000004</v>
      </c>
    </row>
    <row r="50" spans="1:8">
      <c r="A50" s="2">
        <v>49</v>
      </c>
      <c r="B50" s="2" t="s">
        <v>60</v>
      </c>
      <c r="C50" s="2" t="s">
        <v>12</v>
      </c>
      <c r="D50" s="2">
        <v>23</v>
      </c>
      <c r="E50" s="3">
        <v>37039</v>
      </c>
      <c r="F50" s="2" t="s">
        <v>32</v>
      </c>
      <c r="G50" s="2" t="s">
        <v>14</v>
      </c>
      <c r="H50">
        <f t="shared" si="0"/>
        <v>1851.95</v>
      </c>
    </row>
    <row r="51" spans="1:8">
      <c r="A51" s="2">
        <v>50</v>
      </c>
      <c r="B51" s="2" t="s">
        <v>61</v>
      </c>
      <c r="C51" s="2" t="s">
        <v>22</v>
      </c>
      <c r="D51" s="2">
        <v>30</v>
      </c>
      <c r="E51" s="3">
        <v>75522</v>
      </c>
      <c r="F51" s="2" t="s">
        <v>13</v>
      </c>
      <c r="G51" s="2" t="s">
        <v>23</v>
      </c>
      <c r="H51">
        <f t="shared" si="0"/>
        <v>3776.1000000000004</v>
      </c>
    </row>
    <row r="52" spans="1:8">
      <c r="A52" s="2">
        <v>51</v>
      </c>
      <c r="B52" s="2" t="s">
        <v>62</v>
      </c>
      <c r="C52" s="2" t="s">
        <v>16</v>
      </c>
      <c r="D52" s="2">
        <v>40</v>
      </c>
      <c r="E52" s="3">
        <v>63907</v>
      </c>
      <c r="F52" s="2" t="s">
        <v>17</v>
      </c>
      <c r="G52" s="2" t="s">
        <v>18</v>
      </c>
      <c r="H52">
        <f t="shared" si="0"/>
        <v>3195.3500000000004</v>
      </c>
    </row>
    <row r="53" spans="1:8">
      <c r="A53" s="2">
        <v>52</v>
      </c>
      <c r="B53" s="2" t="s">
        <v>63</v>
      </c>
      <c r="C53" s="2" t="s">
        <v>16</v>
      </c>
      <c r="D53" s="2">
        <v>12</v>
      </c>
      <c r="E53" s="3">
        <v>30965</v>
      </c>
      <c r="F53" s="2" t="s">
        <v>38</v>
      </c>
      <c r="G53" s="2" t="s">
        <v>23</v>
      </c>
      <c r="H53">
        <f t="shared" si="0"/>
        <v>1548.25</v>
      </c>
    </row>
    <row r="54" spans="1:8">
      <c r="A54" s="2">
        <v>53</v>
      </c>
      <c r="B54" s="2" t="s">
        <v>53</v>
      </c>
      <c r="C54" s="2" t="s">
        <v>8</v>
      </c>
      <c r="D54" s="2">
        <v>44</v>
      </c>
      <c r="E54" s="3">
        <v>87144</v>
      </c>
      <c r="F54" s="2" t="s">
        <v>25</v>
      </c>
      <c r="G54" s="2" t="s">
        <v>26</v>
      </c>
      <c r="H54">
        <f t="shared" si="0"/>
        <v>4357.2</v>
      </c>
    </row>
    <row r="55" spans="1:8">
      <c r="A55" s="2">
        <v>54</v>
      </c>
      <c r="B55" s="2" t="s">
        <v>54</v>
      </c>
      <c r="C55" s="2" t="s">
        <v>12</v>
      </c>
      <c r="D55" s="2">
        <v>46</v>
      </c>
      <c r="E55" s="3">
        <v>65150</v>
      </c>
      <c r="F55" s="2" t="s">
        <v>13</v>
      </c>
      <c r="G55" s="2" t="s">
        <v>26</v>
      </c>
      <c r="H55">
        <f t="shared" si="0"/>
        <v>3257.5</v>
      </c>
    </row>
    <row r="56" spans="1:8">
      <c r="A56" s="2">
        <v>55</v>
      </c>
      <c r="B56" s="2" t="s">
        <v>64</v>
      </c>
      <c r="C56" s="2" t="s">
        <v>22</v>
      </c>
      <c r="D56" s="2">
        <v>20</v>
      </c>
      <c r="E56" s="3">
        <v>60773</v>
      </c>
      <c r="F56" s="2" t="s">
        <v>38</v>
      </c>
      <c r="G56" s="2" t="s">
        <v>18</v>
      </c>
      <c r="H56">
        <f t="shared" si="0"/>
        <v>3038.65</v>
      </c>
    </row>
    <row r="57" spans="1:8">
      <c r="A57" s="2">
        <v>56</v>
      </c>
      <c r="B57" s="2" t="s">
        <v>65</v>
      </c>
      <c r="C57" s="2" t="s">
        <v>8</v>
      </c>
      <c r="D57" s="2">
        <v>40</v>
      </c>
      <c r="E57" s="3">
        <v>83223</v>
      </c>
      <c r="F57" s="2" t="s">
        <v>20</v>
      </c>
      <c r="G57" s="2" t="s">
        <v>23</v>
      </c>
      <c r="H57">
        <f t="shared" si="0"/>
        <v>4161.1500000000005</v>
      </c>
    </row>
    <row r="58" spans="1:8">
      <c r="A58" s="2">
        <v>57</v>
      </c>
      <c r="B58" s="2" t="s">
        <v>35</v>
      </c>
      <c r="C58" s="2" t="s">
        <v>16</v>
      </c>
      <c r="D58" s="2">
        <v>38</v>
      </c>
      <c r="E58" s="3">
        <v>90033</v>
      </c>
      <c r="F58" s="2" t="s">
        <v>25</v>
      </c>
      <c r="G58" s="2" t="s">
        <v>23</v>
      </c>
      <c r="H58">
        <f t="shared" si="0"/>
        <v>4501.6500000000005</v>
      </c>
    </row>
    <row r="59" spans="1:8">
      <c r="A59" s="2">
        <v>58</v>
      </c>
      <c r="B59" s="2" t="s">
        <v>64</v>
      </c>
      <c r="C59" s="2" t="s">
        <v>12</v>
      </c>
      <c r="D59" s="2">
        <v>6</v>
      </c>
      <c r="E59" s="3">
        <v>29674</v>
      </c>
      <c r="F59" s="2" t="s">
        <v>9</v>
      </c>
      <c r="G59" s="2" t="s">
        <v>14</v>
      </c>
      <c r="H59">
        <f t="shared" si="0"/>
        <v>1483.7</v>
      </c>
    </row>
    <row r="60" spans="1:8">
      <c r="A60" s="2">
        <v>59</v>
      </c>
      <c r="B60" s="2" t="s">
        <v>49</v>
      </c>
      <c r="C60" s="2" t="s">
        <v>16</v>
      </c>
      <c r="D60" s="2">
        <v>44</v>
      </c>
      <c r="E60" s="3">
        <v>63119</v>
      </c>
      <c r="F60" s="2" t="s">
        <v>13</v>
      </c>
      <c r="G60" s="2" t="s">
        <v>29</v>
      </c>
      <c r="H60">
        <f t="shared" si="0"/>
        <v>3155.9500000000003</v>
      </c>
    </row>
    <row r="61" spans="1:8">
      <c r="A61" s="2">
        <v>60</v>
      </c>
      <c r="B61" s="2" t="s">
        <v>27</v>
      </c>
      <c r="C61" s="2" t="s">
        <v>22</v>
      </c>
      <c r="D61" s="2">
        <v>9</v>
      </c>
      <c r="E61" s="3">
        <v>46509</v>
      </c>
      <c r="F61" s="2" t="s">
        <v>20</v>
      </c>
      <c r="G61" s="2" t="s">
        <v>23</v>
      </c>
      <c r="H61">
        <f t="shared" si="0"/>
        <v>2325.4500000000003</v>
      </c>
    </row>
    <row r="62" spans="1:8">
      <c r="A62" s="2">
        <v>61</v>
      </c>
      <c r="B62" s="2" t="s">
        <v>66</v>
      </c>
      <c r="C62" s="2" t="s">
        <v>8</v>
      </c>
      <c r="D62" s="2">
        <v>21</v>
      </c>
      <c r="E62" s="3">
        <v>37152</v>
      </c>
      <c r="F62" s="2" t="s">
        <v>20</v>
      </c>
      <c r="G62" s="2" t="s">
        <v>26</v>
      </c>
      <c r="H62">
        <f t="shared" si="0"/>
        <v>1857.6000000000001</v>
      </c>
    </row>
    <row r="63" spans="1:8">
      <c r="A63" s="2">
        <v>62</v>
      </c>
      <c r="B63" s="2" t="s">
        <v>51</v>
      </c>
      <c r="C63" s="2" t="s">
        <v>22</v>
      </c>
      <c r="D63" s="2">
        <v>8</v>
      </c>
      <c r="E63" s="3">
        <v>93097</v>
      </c>
      <c r="F63" s="2" t="s">
        <v>28</v>
      </c>
      <c r="G63" s="2" t="s">
        <v>18</v>
      </c>
      <c r="H63">
        <f t="shared" si="0"/>
        <v>4654.8500000000004</v>
      </c>
    </row>
    <row r="64" spans="1:8">
      <c r="A64" s="2">
        <v>63</v>
      </c>
      <c r="B64" s="2" t="s">
        <v>47</v>
      </c>
      <c r="C64" s="2" t="s">
        <v>22</v>
      </c>
      <c r="D64" s="2">
        <v>16</v>
      </c>
      <c r="E64" s="3">
        <v>55208</v>
      </c>
      <c r="F64" s="2" t="s">
        <v>32</v>
      </c>
      <c r="G64" s="2" t="s">
        <v>18</v>
      </c>
      <c r="H64">
        <f t="shared" si="0"/>
        <v>2760.4</v>
      </c>
    </row>
    <row r="65" spans="1:8">
      <c r="A65" s="2">
        <v>64</v>
      </c>
      <c r="B65" s="2" t="s">
        <v>55</v>
      </c>
      <c r="C65" s="2" t="s">
        <v>12</v>
      </c>
      <c r="D65" s="2">
        <v>20</v>
      </c>
      <c r="E65" s="3">
        <v>70627</v>
      </c>
      <c r="F65" s="2" t="s">
        <v>17</v>
      </c>
      <c r="G65" s="2" t="s">
        <v>14</v>
      </c>
      <c r="H65">
        <f t="shared" si="0"/>
        <v>3531.3500000000004</v>
      </c>
    </row>
    <row r="66" spans="1:8">
      <c r="A66" s="2">
        <v>65</v>
      </c>
      <c r="B66" s="2" t="s">
        <v>43</v>
      </c>
      <c r="C66" s="2" t="s">
        <v>12</v>
      </c>
      <c r="D66" s="2">
        <v>8</v>
      </c>
      <c r="E66" s="3">
        <v>64098</v>
      </c>
      <c r="F66" s="2" t="s">
        <v>20</v>
      </c>
      <c r="G66" s="2" t="s">
        <v>29</v>
      </c>
      <c r="H66">
        <f t="shared" si="0"/>
        <v>3204.9</v>
      </c>
    </row>
    <row r="67" spans="1:8">
      <c r="A67" s="2">
        <v>66</v>
      </c>
      <c r="B67" s="2" t="s">
        <v>67</v>
      </c>
      <c r="C67" s="2" t="s">
        <v>22</v>
      </c>
      <c r="D67" s="2">
        <v>12</v>
      </c>
      <c r="E67" s="3">
        <v>58827</v>
      </c>
      <c r="F67" s="2" t="s">
        <v>38</v>
      </c>
      <c r="G67" s="2" t="s">
        <v>18</v>
      </c>
      <c r="H67">
        <f t="shared" ref="H67:H130" si="1">E67*5%</f>
        <v>2941.3500000000004</v>
      </c>
    </row>
    <row r="68" spans="1:8">
      <c r="A68" s="2">
        <v>67</v>
      </c>
      <c r="B68" s="2" t="s">
        <v>68</v>
      </c>
      <c r="C68" s="2" t="s">
        <v>12</v>
      </c>
      <c r="D68" s="2">
        <v>24</v>
      </c>
      <c r="E68" s="3">
        <v>65852</v>
      </c>
      <c r="F68" s="2" t="s">
        <v>13</v>
      </c>
      <c r="G68" s="2" t="s">
        <v>14</v>
      </c>
      <c r="H68">
        <f t="shared" si="1"/>
        <v>3292.6000000000004</v>
      </c>
    </row>
    <row r="69" spans="1:8">
      <c r="A69" s="2">
        <v>68</v>
      </c>
      <c r="B69" s="2" t="s">
        <v>53</v>
      </c>
      <c r="C69" s="2" t="s">
        <v>8</v>
      </c>
      <c r="D69" s="2">
        <v>45</v>
      </c>
      <c r="E69" s="3">
        <v>61904</v>
      </c>
      <c r="F69" s="2" t="s">
        <v>13</v>
      </c>
      <c r="G69" s="2" t="s">
        <v>18</v>
      </c>
      <c r="H69">
        <f t="shared" si="1"/>
        <v>3095.2000000000003</v>
      </c>
    </row>
    <row r="70" spans="1:8">
      <c r="A70" s="2">
        <v>69</v>
      </c>
      <c r="B70" s="2" t="s">
        <v>69</v>
      </c>
      <c r="C70" s="2" t="s">
        <v>8</v>
      </c>
      <c r="D70" s="2">
        <v>10</v>
      </c>
      <c r="E70" s="3">
        <v>96255</v>
      </c>
      <c r="F70" s="2" t="s">
        <v>28</v>
      </c>
      <c r="G70" s="2" t="s">
        <v>10</v>
      </c>
      <c r="H70">
        <f t="shared" si="1"/>
        <v>4812.75</v>
      </c>
    </row>
    <row r="71" spans="1:8">
      <c r="A71" s="2">
        <v>70</v>
      </c>
      <c r="B71" s="2" t="s">
        <v>37</v>
      </c>
      <c r="C71" s="2" t="s">
        <v>22</v>
      </c>
      <c r="D71" s="2">
        <v>33</v>
      </c>
      <c r="E71" s="3">
        <v>82405</v>
      </c>
      <c r="F71" s="2" t="s">
        <v>38</v>
      </c>
      <c r="G71" s="2" t="s">
        <v>26</v>
      </c>
      <c r="H71">
        <f t="shared" si="1"/>
        <v>4120.25</v>
      </c>
    </row>
    <row r="72" spans="1:8">
      <c r="A72" s="2">
        <v>71</v>
      </c>
      <c r="B72" s="2" t="s">
        <v>70</v>
      </c>
      <c r="C72" s="2" t="s">
        <v>8</v>
      </c>
      <c r="D72" s="2">
        <v>25</v>
      </c>
      <c r="E72" s="3">
        <v>51773</v>
      </c>
      <c r="F72" s="2" t="s">
        <v>25</v>
      </c>
      <c r="G72" s="2" t="s">
        <v>23</v>
      </c>
      <c r="H72">
        <f t="shared" si="1"/>
        <v>2588.65</v>
      </c>
    </row>
    <row r="73" spans="1:8">
      <c r="A73" s="2">
        <v>72</v>
      </c>
      <c r="B73" s="2" t="s">
        <v>27</v>
      </c>
      <c r="C73" s="2" t="s">
        <v>22</v>
      </c>
      <c r="D73" s="2">
        <v>27</v>
      </c>
      <c r="E73" s="3">
        <v>60691</v>
      </c>
      <c r="F73" s="2" t="s">
        <v>9</v>
      </c>
      <c r="G73" s="2" t="s">
        <v>29</v>
      </c>
      <c r="H73">
        <f t="shared" si="1"/>
        <v>3034.55</v>
      </c>
    </row>
    <row r="74" spans="1:8">
      <c r="A74" s="2">
        <v>73</v>
      </c>
      <c r="B74" s="2" t="s">
        <v>71</v>
      </c>
      <c r="C74" s="2" t="s">
        <v>8</v>
      </c>
      <c r="D74" s="2">
        <v>39</v>
      </c>
      <c r="E74" s="3">
        <v>32869</v>
      </c>
      <c r="F74" s="2" t="s">
        <v>9</v>
      </c>
      <c r="G74" s="2" t="s">
        <v>23</v>
      </c>
      <c r="H74">
        <f t="shared" si="1"/>
        <v>1643.45</v>
      </c>
    </row>
    <row r="75" spans="1:8">
      <c r="A75" s="2">
        <v>74</v>
      </c>
      <c r="B75" s="2" t="s">
        <v>72</v>
      </c>
      <c r="C75" s="2" t="s">
        <v>16</v>
      </c>
      <c r="D75" s="2">
        <v>9</v>
      </c>
      <c r="E75" s="3">
        <v>28555</v>
      </c>
      <c r="F75" s="2" t="s">
        <v>38</v>
      </c>
      <c r="G75" s="2" t="s">
        <v>23</v>
      </c>
      <c r="H75">
        <f t="shared" si="1"/>
        <v>1427.75</v>
      </c>
    </row>
    <row r="76" spans="1:8">
      <c r="A76" s="2">
        <v>75</v>
      </c>
      <c r="B76" s="2" t="s">
        <v>57</v>
      </c>
      <c r="C76" s="2" t="s">
        <v>22</v>
      </c>
      <c r="D76" s="2">
        <v>37</v>
      </c>
      <c r="E76" s="3">
        <v>39519</v>
      </c>
      <c r="F76" s="2" t="s">
        <v>32</v>
      </c>
      <c r="G76" s="2" t="s">
        <v>10</v>
      </c>
      <c r="H76">
        <f t="shared" si="1"/>
        <v>1975.95</v>
      </c>
    </row>
    <row r="77" spans="1:8">
      <c r="A77" s="2">
        <v>76</v>
      </c>
      <c r="B77" s="2" t="s">
        <v>19</v>
      </c>
      <c r="C77" s="2" t="s">
        <v>8</v>
      </c>
      <c r="D77" s="2">
        <v>25</v>
      </c>
      <c r="E77" s="3">
        <v>84785</v>
      </c>
      <c r="F77" s="2" t="s">
        <v>28</v>
      </c>
      <c r="G77" s="2" t="s">
        <v>29</v>
      </c>
      <c r="H77">
        <f t="shared" si="1"/>
        <v>4239.25</v>
      </c>
    </row>
    <row r="78" spans="1:8">
      <c r="A78" s="2">
        <v>77</v>
      </c>
      <c r="B78" s="2" t="s">
        <v>50</v>
      </c>
      <c r="C78" s="2" t="s">
        <v>16</v>
      </c>
      <c r="D78" s="2">
        <v>28</v>
      </c>
      <c r="E78" s="3">
        <v>31027</v>
      </c>
      <c r="F78" s="2" t="s">
        <v>32</v>
      </c>
      <c r="G78" s="2" t="s">
        <v>23</v>
      </c>
      <c r="H78">
        <f t="shared" si="1"/>
        <v>1551.3500000000001</v>
      </c>
    </row>
    <row r="79" spans="1:8">
      <c r="A79" s="2">
        <v>78</v>
      </c>
      <c r="B79" s="2" t="s">
        <v>73</v>
      </c>
      <c r="C79" s="2" t="s">
        <v>22</v>
      </c>
      <c r="D79" s="2">
        <v>12</v>
      </c>
      <c r="E79" s="3">
        <v>79362</v>
      </c>
      <c r="F79" s="2" t="s">
        <v>38</v>
      </c>
      <c r="G79" s="2" t="s">
        <v>14</v>
      </c>
      <c r="H79">
        <f t="shared" si="1"/>
        <v>3968.1000000000004</v>
      </c>
    </row>
    <row r="80" spans="1:8">
      <c r="A80" s="2">
        <v>79</v>
      </c>
      <c r="B80" s="2" t="s">
        <v>74</v>
      </c>
      <c r="C80" s="2" t="s">
        <v>8</v>
      </c>
      <c r="D80" s="2">
        <v>32</v>
      </c>
      <c r="E80" s="3">
        <v>49083</v>
      </c>
      <c r="F80" s="2" t="s">
        <v>32</v>
      </c>
      <c r="G80" s="2" t="s">
        <v>18</v>
      </c>
      <c r="H80">
        <f t="shared" si="1"/>
        <v>2454.15</v>
      </c>
    </row>
    <row r="81" spans="1:8">
      <c r="A81" s="2">
        <v>80</v>
      </c>
      <c r="B81" s="2" t="s">
        <v>62</v>
      </c>
      <c r="C81" s="2" t="s">
        <v>8</v>
      </c>
      <c r="D81" s="2">
        <v>41</v>
      </c>
      <c r="E81" s="3">
        <v>66335</v>
      </c>
      <c r="F81" s="2" t="s">
        <v>25</v>
      </c>
      <c r="G81" s="2" t="s">
        <v>26</v>
      </c>
      <c r="H81">
        <f t="shared" si="1"/>
        <v>3316.75</v>
      </c>
    </row>
    <row r="82" spans="1:8">
      <c r="A82" s="2">
        <v>81</v>
      </c>
      <c r="B82" s="2" t="s">
        <v>75</v>
      </c>
      <c r="C82" s="2" t="s">
        <v>16</v>
      </c>
      <c r="D82" s="2">
        <v>35</v>
      </c>
      <c r="E82" s="3">
        <v>93382</v>
      </c>
      <c r="F82" s="2" t="s">
        <v>38</v>
      </c>
      <c r="G82" s="2" t="s">
        <v>18</v>
      </c>
      <c r="H82">
        <f t="shared" si="1"/>
        <v>4669.1000000000004</v>
      </c>
    </row>
    <row r="83" spans="1:8">
      <c r="A83" s="2">
        <v>82</v>
      </c>
      <c r="B83" s="2" t="s">
        <v>64</v>
      </c>
      <c r="C83" s="2" t="s">
        <v>12</v>
      </c>
      <c r="D83" s="2">
        <v>45</v>
      </c>
      <c r="E83" s="3">
        <v>52078</v>
      </c>
      <c r="F83" s="2" t="s">
        <v>17</v>
      </c>
      <c r="G83" s="2" t="s">
        <v>26</v>
      </c>
      <c r="H83">
        <f t="shared" si="1"/>
        <v>2603.9</v>
      </c>
    </row>
    <row r="84" spans="1:8">
      <c r="A84" s="2">
        <v>83</v>
      </c>
      <c r="B84" s="2" t="s">
        <v>69</v>
      </c>
      <c r="C84" s="2" t="s">
        <v>12</v>
      </c>
      <c r="D84" s="2">
        <v>42</v>
      </c>
      <c r="E84" s="3">
        <v>65316</v>
      </c>
      <c r="F84" s="2" t="s">
        <v>32</v>
      </c>
      <c r="G84" s="2" t="s">
        <v>14</v>
      </c>
      <c r="H84">
        <f t="shared" si="1"/>
        <v>3265.8</v>
      </c>
    </row>
    <row r="85" spans="1:8">
      <c r="A85" s="2">
        <v>84</v>
      </c>
      <c r="B85" s="2" t="s">
        <v>11</v>
      </c>
      <c r="C85" s="2" t="s">
        <v>16</v>
      </c>
      <c r="D85" s="2">
        <v>12</v>
      </c>
      <c r="E85" s="3">
        <v>45607</v>
      </c>
      <c r="F85" s="2" t="s">
        <v>38</v>
      </c>
      <c r="G85" s="2" t="s">
        <v>18</v>
      </c>
      <c r="H85">
        <f t="shared" si="1"/>
        <v>2280.35</v>
      </c>
    </row>
    <row r="86" spans="1:8">
      <c r="A86" s="2">
        <v>85</v>
      </c>
      <c r="B86" s="2" t="s">
        <v>42</v>
      </c>
      <c r="C86" s="2" t="s">
        <v>16</v>
      </c>
      <c r="D86" s="2">
        <v>36</v>
      </c>
      <c r="E86" s="3">
        <v>35768</v>
      </c>
      <c r="F86" s="2" t="s">
        <v>25</v>
      </c>
      <c r="G86" s="2" t="s">
        <v>10</v>
      </c>
      <c r="H86">
        <f t="shared" si="1"/>
        <v>1788.4</v>
      </c>
    </row>
    <row r="87" spans="1:8">
      <c r="A87" s="2">
        <v>86</v>
      </c>
      <c r="B87" s="2" t="s">
        <v>76</v>
      </c>
      <c r="C87" s="2" t="s">
        <v>22</v>
      </c>
      <c r="D87" s="2">
        <v>11</v>
      </c>
      <c r="E87" s="3">
        <v>42146</v>
      </c>
      <c r="F87" s="2" t="s">
        <v>20</v>
      </c>
      <c r="G87" s="2" t="s">
        <v>14</v>
      </c>
      <c r="H87">
        <f t="shared" si="1"/>
        <v>2107.3000000000002</v>
      </c>
    </row>
    <row r="88" spans="1:8">
      <c r="A88" s="2">
        <v>87</v>
      </c>
      <c r="B88" s="2" t="s">
        <v>48</v>
      </c>
      <c r="C88" s="2" t="s">
        <v>12</v>
      </c>
      <c r="D88" s="2">
        <v>32</v>
      </c>
      <c r="E88" s="3">
        <v>37839</v>
      </c>
      <c r="F88" s="2" t="s">
        <v>28</v>
      </c>
      <c r="G88" s="2" t="s">
        <v>10</v>
      </c>
      <c r="H88">
        <f t="shared" si="1"/>
        <v>1891.95</v>
      </c>
    </row>
    <row r="89" spans="1:8">
      <c r="A89" s="2">
        <v>88</v>
      </c>
      <c r="B89" s="2" t="s">
        <v>47</v>
      </c>
      <c r="C89" s="2" t="s">
        <v>22</v>
      </c>
      <c r="D89" s="2">
        <v>19</v>
      </c>
      <c r="E89" s="3">
        <v>51734</v>
      </c>
      <c r="F89" s="2" t="s">
        <v>13</v>
      </c>
      <c r="G89" s="2" t="s">
        <v>29</v>
      </c>
      <c r="H89">
        <f t="shared" si="1"/>
        <v>2586.7000000000003</v>
      </c>
    </row>
    <row r="90" spans="1:8">
      <c r="A90" s="2">
        <v>89</v>
      </c>
      <c r="B90" s="2" t="s">
        <v>70</v>
      </c>
      <c r="C90" s="2" t="s">
        <v>8</v>
      </c>
      <c r="D90" s="2">
        <v>9</v>
      </c>
      <c r="E90" s="3">
        <v>67678</v>
      </c>
      <c r="F90" s="2" t="s">
        <v>17</v>
      </c>
      <c r="G90" s="2" t="s">
        <v>18</v>
      </c>
      <c r="H90">
        <f t="shared" si="1"/>
        <v>3383.9</v>
      </c>
    </row>
    <row r="91" spans="1:8">
      <c r="A91" s="2">
        <v>90</v>
      </c>
      <c r="B91" s="2" t="s">
        <v>65</v>
      </c>
      <c r="C91" s="2" t="s">
        <v>16</v>
      </c>
      <c r="D91" s="2">
        <v>12</v>
      </c>
      <c r="E91" s="3">
        <v>59718</v>
      </c>
      <c r="F91" s="2" t="s">
        <v>13</v>
      </c>
      <c r="G91" s="2" t="s">
        <v>10</v>
      </c>
      <c r="H91">
        <f t="shared" si="1"/>
        <v>2985.9</v>
      </c>
    </row>
    <row r="92" spans="1:8">
      <c r="A92" s="2">
        <v>91</v>
      </c>
      <c r="B92" s="2" t="s">
        <v>21</v>
      </c>
      <c r="C92" s="2" t="s">
        <v>22</v>
      </c>
      <c r="D92" s="2">
        <v>21</v>
      </c>
      <c r="E92" s="3">
        <v>62827</v>
      </c>
      <c r="F92" s="2" t="s">
        <v>13</v>
      </c>
      <c r="G92" s="2" t="s">
        <v>18</v>
      </c>
      <c r="H92">
        <f t="shared" si="1"/>
        <v>3141.3500000000004</v>
      </c>
    </row>
    <row r="93" spans="1:8">
      <c r="A93" s="2">
        <v>92</v>
      </c>
      <c r="B93" s="2" t="s">
        <v>63</v>
      </c>
      <c r="C93" s="2" t="s">
        <v>16</v>
      </c>
      <c r="D93" s="2">
        <v>29</v>
      </c>
      <c r="E93" s="3">
        <v>36230</v>
      </c>
      <c r="F93" s="2" t="s">
        <v>32</v>
      </c>
      <c r="G93" s="2" t="s">
        <v>29</v>
      </c>
      <c r="H93">
        <f t="shared" si="1"/>
        <v>1811.5</v>
      </c>
    </row>
    <row r="94" spans="1:8">
      <c r="A94" s="2">
        <v>93</v>
      </c>
      <c r="B94" s="2" t="s">
        <v>77</v>
      </c>
      <c r="C94" s="2" t="s">
        <v>22</v>
      </c>
      <c r="D94" s="2">
        <v>40</v>
      </c>
      <c r="E94" s="3">
        <v>56668</v>
      </c>
      <c r="F94" s="2" t="s">
        <v>38</v>
      </c>
      <c r="G94" s="2" t="s">
        <v>23</v>
      </c>
      <c r="H94">
        <f t="shared" si="1"/>
        <v>2833.4</v>
      </c>
    </row>
    <row r="95" spans="1:8">
      <c r="A95" s="2">
        <v>94</v>
      </c>
      <c r="B95" s="2" t="s">
        <v>42</v>
      </c>
      <c r="C95" s="2" t="s">
        <v>8</v>
      </c>
      <c r="D95" s="2">
        <v>4</v>
      </c>
      <c r="E95" s="3">
        <v>25173</v>
      </c>
      <c r="F95" s="2" t="s">
        <v>20</v>
      </c>
      <c r="G95" s="2" t="s">
        <v>18</v>
      </c>
      <c r="H95">
        <f t="shared" si="1"/>
        <v>1258.6500000000001</v>
      </c>
    </row>
    <row r="96" spans="1:8">
      <c r="A96" s="2">
        <v>95</v>
      </c>
      <c r="B96" s="2" t="s">
        <v>78</v>
      </c>
      <c r="C96" s="2" t="s">
        <v>8</v>
      </c>
      <c r="D96" s="2">
        <v>23</v>
      </c>
      <c r="E96" s="3">
        <v>28990</v>
      </c>
      <c r="F96" s="2" t="s">
        <v>20</v>
      </c>
      <c r="G96" s="2" t="s">
        <v>29</v>
      </c>
      <c r="H96">
        <f t="shared" si="1"/>
        <v>1449.5</v>
      </c>
    </row>
    <row r="97" spans="1:8">
      <c r="A97" s="2">
        <v>96</v>
      </c>
      <c r="B97" s="2" t="s">
        <v>79</v>
      </c>
      <c r="C97" s="2" t="s">
        <v>12</v>
      </c>
      <c r="D97" s="2">
        <v>1</v>
      </c>
      <c r="E97" s="3">
        <v>26440</v>
      </c>
      <c r="F97" s="2" t="s">
        <v>28</v>
      </c>
      <c r="G97" s="2" t="s">
        <v>14</v>
      </c>
      <c r="H97">
        <f t="shared" si="1"/>
        <v>1322</v>
      </c>
    </row>
    <row r="98" spans="1:8">
      <c r="A98" s="2">
        <v>97</v>
      </c>
      <c r="B98" s="2" t="s">
        <v>43</v>
      </c>
      <c r="C98" s="2" t="s">
        <v>12</v>
      </c>
      <c r="D98" s="2">
        <v>32</v>
      </c>
      <c r="E98" s="3">
        <v>76505</v>
      </c>
      <c r="F98" s="2" t="s">
        <v>17</v>
      </c>
      <c r="G98" s="2" t="s">
        <v>18</v>
      </c>
      <c r="H98">
        <f t="shared" si="1"/>
        <v>3825.25</v>
      </c>
    </row>
    <row r="99" spans="1:8">
      <c r="A99" s="2">
        <v>98</v>
      </c>
      <c r="B99" s="2" t="s">
        <v>72</v>
      </c>
      <c r="C99" s="2" t="s">
        <v>8</v>
      </c>
      <c r="D99" s="2">
        <v>9</v>
      </c>
      <c r="E99" s="3">
        <v>86067</v>
      </c>
      <c r="F99" s="2" t="s">
        <v>17</v>
      </c>
      <c r="G99" s="2" t="s">
        <v>14</v>
      </c>
      <c r="H99">
        <f t="shared" si="1"/>
        <v>4303.3500000000004</v>
      </c>
    </row>
    <row r="100" spans="1:8">
      <c r="A100" s="2">
        <v>99</v>
      </c>
      <c r="B100" s="2" t="s">
        <v>49</v>
      </c>
      <c r="C100" s="2" t="s">
        <v>22</v>
      </c>
      <c r="D100" s="2">
        <v>13</v>
      </c>
      <c r="E100" s="3">
        <v>40674</v>
      </c>
      <c r="F100" s="2" t="s">
        <v>28</v>
      </c>
      <c r="G100" s="2" t="s">
        <v>29</v>
      </c>
      <c r="H100">
        <f t="shared" si="1"/>
        <v>2033.7</v>
      </c>
    </row>
    <row r="101" spans="1:8">
      <c r="A101" s="2">
        <v>100</v>
      </c>
      <c r="B101" s="2" t="s">
        <v>68</v>
      </c>
      <c r="C101" s="2" t="s">
        <v>16</v>
      </c>
      <c r="D101" s="2">
        <v>25</v>
      </c>
      <c r="E101" s="3">
        <v>82750</v>
      </c>
      <c r="F101" s="2" t="s">
        <v>32</v>
      </c>
      <c r="G101" s="2" t="s">
        <v>14</v>
      </c>
      <c r="H101">
        <f t="shared" si="1"/>
        <v>4137.5</v>
      </c>
    </row>
    <row r="102" spans="1:8">
      <c r="A102" s="2">
        <v>101</v>
      </c>
      <c r="B102" s="2" t="s">
        <v>80</v>
      </c>
      <c r="C102" s="2" t="s">
        <v>8</v>
      </c>
      <c r="D102" s="2">
        <v>36</v>
      </c>
      <c r="E102" s="3">
        <v>62409</v>
      </c>
      <c r="F102" s="2" t="s">
        <v>32</v>
      </c>
      <c r="G102" s="2" t="s">
        <v>10</v>
      </c>
      <c r="H102">
        <f t="shared" si="1"/>
        <v>3120.4500000000003</v>
      </c>
    </row>
    <row r="103" spans="1:8">
      <c r="A103" s="2">
        <v>102</v>
      </c>
      <c r="B103" s="2" t="s">
        <v>39</v>
      </c>
      <c r="C103" s="2" t="s">
        <v>8</v>
      </c>
      <c r="D103" s="2">
        <v>33</v>
      </c>
      <c r="E103" s="3">
        <v>61410</v>
      </c>
      <c r="F103" s="2" t="s">
        <v>9</v>
      </c>
      <c r="G103" s="2" t="s">
        <v>23</v>
      </c>
      <c r="H103">
        <f t="shared" si="1"/>
        <v>3070.5</v>
      </c>
    </row>
    <row r="104" spans="1:8">
      <c r="A104" s="2">
        <v>103</v>
      </c>
      <c r="B104" s="2" t="s">
        <v>81</v>
      </c>
      <c r="C104" s="2" t="s">
        <v>22</v>
      </c>
      <c r="D104" s="2">
        <v>42</v>
      </c>
      <c r="E104" s="3">
        <v>64707</v>
      </c>
      <c r="F104" s="2" t="s">
        <v>13</v>
      </c>
      <c r="G104" s="2" t="s">
        <v>14</v>
      </c>
      <c r="H104">
        <f t="shared" si="1"/>
        <v>3235.3500000000004</v>
      </c>
    </row>
    <row r="105" spans="1:8">
      <c r="A105" s="2">
        <v>104</v>
      </c>
      <c r="B105" s="2" t="s">
        <v>55</v>
      </c>
      <c r="C105" s="2" t="s">
        <v>8</v>
      </c>
      <c r="D105" s="2">
        <v>32</v>
      </c>
      <c r="E105" s="3">
        <v>80119</v>
      </c>
      <c r="F105" s="2" t="s">
        <v>38</v>
      </c>
      <c r="G105" s="2" t="s">
        <v>10</v>
      </c>
      <c r="H105">
        <f t="shared" si="1"/>
        <v>4005.9500000000003</v>
      </c>
    </row>
    <row r="106" spans="1:8">
      <c r="A106" s="2">
        <v>105</v>
      </c>
      <c r="B106" s="2" t="s">
        <v>54</v>
      </c>
      <c r="C106" s="2" t="s">
        <v>8</v>
      </c>
      <c r="D106" s="2">
        <v>27</v>
      </c>
      <c r="E106" s="3">
        <v>58807</v>
      </c>
      <c r="F106" s="2" t="s">
        <v>28</v>
      </c>
      <c r="G106" s="2" t="s">
        <v>23</v>
      </c>
      <c r="H106">
        <f t="shared" si="1"/>
        <v>2940.3500000000004</v>
      </c>
    </row>
    <row r="107" spans="1:8">
      <c r="A107" s="2">
        <v>106</v>
      </c>
      <c r="B107" s="2" t="s">
        <v>82</v>
      </c>
      <c r="C107" s="2" t="s">
        <v>22</v>
      </c>
      <c r="D107" s="2">
        <v>44</v>
      </c>
      <c r="E107" s="3">
        <v>58282</v>
      </c>
      <c r="F107" s="2" t="s">
        <v>25</v>
      </c>
      <c r="G107" s="2" t="s">
        <v>29</v>
      </c>
      <c r="H107">
        <f t="shared" si="1"/>
        <v>2914.1000000000004</v>
      </c>
    </row>
    <row r="108" spans="1:8">
      <c r="A108" s="2">
        <v>107</v>
      </c>
      <c r="B108" s="2" t="s">
        <v>71</v>
      </c>
      <c r="C108" s="2" t="s">
        <v>8</v>
      </c>
      <c r="D108" s="2">
        <v>32</v>
      </c>
      <c r="E108" s="3">
        <v>87144</v>
      </c>
      <c r="F108" s="2" t="s">
        <v>13</v>
      </c>
      <c r="G108" s="2" t="s">
        <v>29</v>
      </c>
      <c r="H108">
        <f t="shared" si="1"/>
        <v>4357.2</v>
      </c>
    </row>
    <row r="109" spans="1:8">
      <c r="A109" s="2">
        <v>108</v>
      </c>
      <c r="B109" s="2" t="s">
        <v>41</v>
      </c>
      <c r="C109" s="2" t="s">
        <v>12</v>
      </c>
      <c r="D109" s="2">
        <v>27</v>
      </c>
      <c r="E109" s="3">
        <v>65200</v>
      </c>
      <c r="F109" s="2" t="s">
        <v>20</v>
      </c>
      <c r="G109" s="2" t="s">
        <v>18</v>
      </c>
      <c r="H109">
        <f t="shared" si="1"/>
        <v>3260</v>
      </c>
    </row>
    <row r="110" spans="1:8">
      <c r="A110" s="2">
        <v>109</v>
      </c>
      <c r="B110" s="2" t="s">
        <v>52</v>
      </c>
      <c r="C110" s="2" t="s">
        <v>12</v>
      </c>
      <c r="D110" s="2">
        <v>46</v>
      </c>
      <c r="E110" s="3">
        <v>63043</v>
      </c>
      <c r="F110" s="2" t="s">
        <v>20</v>
      </c>
      <c r="G110" s="2" t="s">
        <v>10</v>
      </c>
      <c r="H110">
        <f t="shared" si="1"/>
        <v>3152.15</v>
      </c>
    </row>
    <row r="111" spans="1:8">
      <c r="A111" s="2">
        <v>110</v>
      </c>
      <c r="B111" s="2" t="s">
        <v>37</v>
      </c>
      <c r="C111" s="2" t="s">
        <v>12</v>
      </c>
      <c r="D111" s="2">
        <v>29</v>
      </c>
      <c r="E111" s="3">
        <v>50521</v>
      </c>
      <c r="F111" s="2" t="s">
        <v>28</v>
      </c>
      <c r="G111" s="2" t="s">
        <v>26</v>
      </c>
      <c r="H111">
        <f t="shared" si="1"/>
        <v>2526.0500000000002</v>
      </c>
    </row>
    <row r="112" spans="1:8">
      <c r="A112" s="2">
        <v>111</v>
      </c>
      <c r="B112" s="2" t="s">
        <v>83</v>
      </c>
      <c r="C112" s="2" t="s">
        <v>12</v>
      </c>
      <c r="D112" s="2">
        <v>32</v>
      </c>
      <c r="E112" s="3">
        <v>40846</v>
      </c>
      <c r="F112" s="2" t="s">
        <v>17</v>
      </c>
      <c r="G112" s="2" t="s">
        <v>23</v>
      </c>
      <c r="H112">
        <f t="shared" si="1"/>
        <v>2042.3000000000002</v>
      </c>
    </row>
    <row r="113" spans="1:8">
      <c r="A113" s="2">
        <v>112</v>
      </c>
      <c r="B113" s="2" t="s">
        <v>57</v>
      </c>
      <c r="C113" s="2" t="s">
        <v>8</v>
      </c>
      <c r="D113" s="2">
        <v>11</v>
      </c>
      <c r="E113" s="3">
        <v>34294</v>
      </c>
      <c r="F113" s="2" t="s">
        <v>20</v>
      </c>
      <c r="G113" s="2" t="s">
        <v>18</v>
      </c>
      <c r="H113">
        <f t="shared" si="1"/>
        <v>1714.7</v>
      </c>
    </row>
    <row r="114" spans="1:8">
      <c r="A114" s="2">
        <v>113</v>
      </c>
      <c r="B114" s="2" t="s">
        <v>84</v>
      </c>
      <c r="C114" s="2" t="s">
        <v>16</v>
      </c>
      <c r="D114" s="2">
        <v>6</v>
      </c>
      <c r="E114" s="3">
        <v>64172</v>
      </c>
      <c r="F114" s="2" t="s">
        <v>28</v>
      </c>
      <c r="G114" s="2" t="s">
        <v>18</v>
      </c>
      <c r="H114">
        <f t="shared" si="1"/>
        <v>3208.6000000000004</v>
      </c>
    </row>
    <row r="115" spans="1:8">
      <c r="A115" s="2">
        <v>114</v>
      </c>
      <c r="B115" s="2" t="s">
        <v>31</v>
      </c>
      <c r="C115" s="2" t="s">
        <v>12</v>
      </c>
      <c r="D115" s="2">
        <v>37</v>
      </c>
      <c r="E115" s="3">
        <v>71689</v>
      </c>
      <c r="F115" s="2" t="s">
        <v>28</v>
      </c>
      <c r="G115" s="2" t="s">
        <v>29</v>
      </c>
      <c r="H115">
        <f t="shared" si="1"/>
        <v>3584.4500000000003</v>
      </c>
    </row>
    <row r="116" spans="1:8">
      <c r="A116" s="2">
        <v>115</v>
      </c>
      <c r="B116" s="2" t="s">
        <v>85</v>
      </c>
      <c r="C116" s="2" t="s">
        <v>12</v>
      </c>
      <c r="D116" s="2">
        <v>2</v>
      </c>
      <c r="E116" s="3">
        <v>63110</v>
      </c>
      <c r="F116" s="2" t="s">
        <v>9</v>
      </c>
      <c r="G116" s="2" t="s">
        <v>14</v>
      </c>
      <c r="H116">
        <f t="shared" si="1"/>
        <v>3155.5</v>
      </c>
    </row>
    <row r="117" spans="1:8">
      <c r="A117" s="2">
        <v>116</v>
      </c>
      <c r="B117" s="2" t="s">
        <v>7</v>
      </c>
      <c r="C117" s="2" t="s">
        <v>8</v>
      </c>
      <c r="D117" s="2">
        <v>49</v>
      </c>
      <c r="E117" s="3">
        <v>66332</v>
      </c>
      <c r="F117" s="2" t="s">
        <v>13</v>
      </c>
      <c r="G117" s="2" t="s">
        <v>23</v>
      </c>
      <c r="H117">
        <f t="shared" si="1"/>
        <v>3316.6000000000004</v>
      </c>
    </row>
    <row r="118" spans="1:8">
      <c r="A118" s="2">
        <v>117</v>
      </c>
      <c r="B118" s="2" t="s">
        <v>50</v>
      </c>
      <c r="C118" s="2" t="s">
        <v>8</v>
      </c>
      <c r="D118" s="2">
        <v>15</v>
      </c>
      <c r="E118" s="3">
        <v>81488</v>
      </c>
      <c r="F118" s="2" t="s">
        <v>9</v>
      </c>
      <c r="G118" s="2" t="s">
        <v>26</v>
      </c>
      <c r="H118">
        <f t="shared" si="1"/>
        <v>4074.4</v>
      </c>
    </row>
    <row r="119" spans="1:8">
      <c r="A119" s="2">
        <v>118</v>
      </c>
      <c r="B119" s="2" t="s">
        <v>50</v>
      </c>
      <c r="C119" s="2" t="s">
        <v>22</v>
      </c>
      <c r="D119" s="2">
        <v>19</v>
      </c>
      <c r="E119" s="3">
        <v>97032</v>
      </c>
      <c r="F119" s="2" t="s">
        <v>32</v>
      </c>
      <c r="G119" s="2" t="s">
        <v>29</v>
      </c>
      <c r="H119">
        <f t="shared" si="1"/>
        <v>4851.6000000000004</v>
      </c>
    </row>
    <row r="120" spans="1:8">
      <c r="A120" s="2">
        <v>119</v>
      </c>
      <c r="B120" s="2" t="s">
        <v>34</v>
      </c>
      <c r="C120" s="2" t="s">
        <v>12</v>
      </c>
      <c r="D120" s="2">
        <v>3</v>
      </c>
      <c r="E120" s="3">
        <v>60843</v>
      </c>
      <c r="F120" s="2" t="s">
        <v>17</v>
      </c>
      <c r="G120" s="2" t="s">
        <v>29</v>
      </c>
      <c r="H120">
        <f t="shared" si="1"/>
        <v>3042.15</v>
      </c>
    </row>
    <row r="121" spans="1:8">
      <c r="A121" s="2">
        <v>120</v>
      </c>
      <c r="B121" s="2" t="s">
        <v>33</v>
      </c>
      <c r="C121" s="2" t="s">
        <v>22</v>
      </c>
      <c r="D121" s="2">
        <v>18</v>
      </c>
      <c r="E121" s="3">
        <v>87914</v>
      </c>
      <c r="F121" s="2" t="s">
        <v>9</v>
      </c>
      <c r="G121" s="2" t="s">
        <v>26</v>
      </c>
      <c r="H121">
        <f t="shared" si="1"/>
        <v>4395.7</v>
      </c>
    </row>
    <row r="122" spans="1:8">
      <c r="A122" s="2">
        <v>121</v>
      </c>
      <c r="B122" s="2" t="s">
        <v>58</v>
      </c>
      <c r="C122" s="2" t="s">
        <v>12</v>
      </c>
      <c r="D122" s="2">
        <v>15</v>
      </c>
      <c r="E122" s="3">
        <v>84063</v>
      </c>
      <c r="F122" s="2" t="s">
        <v>9</v>
      </c>
      <c r="G122" s="2" t="s">
        <v>14</v>
      </c>
      <c r="H122">
        <f t="shared" si="1"/>
        <v>4203.1500000000005</v>
      </c>
    </row>
    <row r="123" spans="1:8">
      <c r="A123" s="2">
        <v>122</v>
      </c>
      <c r="B123" s="2" t="s">
        <v>59</v>
      </c>
      <c r="C123" s="2" t="s">
        <v>16</v>
      </c>
      <c r="D123" s="2">
        <v>35</v>
      </c>
      <c r="E123" s="3">
        <v>58054</v>
      </c>
      <c r="F123" s="2" t="s">
        <v>38</v>
      </c>
      <c r="G123" s="2" t="s">
        <v>10</v>
      </c>
      <c r="H123">
        <f t="shared" si="1"/>
        <v>2902.7000000000003</v>
      </c>
    </row>
    <row r="124" spans="1:8">
      <c r="A124" s="2">
        <v>123</v>
      </c>
      <c r="B124" s="2" t="s">
        <v>34</v>
      </c>
      <c r="C124" s="2" t="s">
        <v>8</v>
      </c>
      <c r="D124" s="2">
        <v>19</v>
      </c>
      <c r="E124" s="3">
        <v>54524</v>
      </c>
      <c r="F124" s="2" t="s">
        <v>9</v>
      </c>
      <c r="G124" s="2" t="s">
        <v>10</v>
      </c>
      <c r="H124">
        <f t="shared" si="1"/>
        <v>2726.2000000000003</v>
      </c>
    </row>
    <row r="125" spans="1:8">
      <c r="A125" s="2">
        <v>124</v>
      </c>
      <c r="B125" s="2" t="s">
        <v>40</v>
      </c>
      <c r="C125" s="2" t="s">
        <v>8</v>
      </c>
      <c r="D125" s="2">
        <v>11</v>
      </c>
      <c r="E125" s="3">
        <v>44167</v>
      </c>
      <c r="F125" s="2" t="s">
        <v>20</v>
      </c>
      <c r="G125" s="2" t="s">
        <v>26</v>
      </c>
      <c r="H125">
        <f t="shared" si="1"/>
        <v>2208.35</v>
      </c>
    </row>
    <row r="126" spans="1:8">
      <c r="A126" s="2">
        <v>125</v>
      </c>
      <c r="B126" s="2" t="s">
        <v>78</v>
      </c>
      <c r="C126" s="2" t="s">
        <v>22</v>
      </c>
      <c r="D126" s="2">
        <v>50</v>
      </c>
      <c r="E126" s="3">
        <v>71582</v>
      </c>
      <c r="F126" s="2" t="s">
        <v>28</v>
      </c>
      <c r="G126" s="2" t="s">
        <v>23</v>
      </c>
      <c r="H126">
        <f t="shared" si="1"/>
        <v>3579.1000000000004</v>
      </c>
    </row>
    <row r="127" spans="1:8">
      <c r="A127" s="2">
        <v>126</v>
      </c>
      <c r="B127" s="2" t="s">
        <v>39</v>
      </c>
      <c r="C127" s="2" t="s">
        <v>22</v>
      </c>
      <c r="D127" s="2">
        <v>30</v>
      </c>
      <c r="E127" s="3">
        <v>33399</v>
      </c>
      <c r="F127" s="2" t="s">
        <v>20</v>
      </c>
      <c r="G127" s="2" t="s">
        <v>14</v>
      </c>
      <c r="H127">
        <f t="shared" si="1"/>
        <v>1669.95</v>
      </c>
    </row>
    <row r="128" spans="1:8">
      <c r="A128" s="2">
        <v>127</v>
      </c>
      <c r="B128" s="2" t="s">
        <v>86</v>
      </c>
      <c r="C128" s="2" t="s">
        <v>8</v>
      </c>
      <c r="D128" s="2">
        <v>37</v>
      </c>
      <c r="E128" s="3">
        <v>31121</v>
      </c>
      <c r="F128" s="2" t="s">
        <v>13</v>
      </c>
      <c r="G128" s="2" t="s">
        <v>14</v>
      </c>
      <c r="H128">
        <f t="shared" si="1"/>
        <v>1556.0500000000002</v>
      </c>
    </row>
    <row r="129" spans="1:8">
      <c r="A129" s="2">
        <v>128</v>
      </c>
      <c r="B129" s="2" t="s">
        <v>87</v>
      </c>
      <c r="C129" s="2" t="s">
        <v>8</v>
      </c>
      <c r="D129" s="2">
        <v>48</v>
      </c>
      <c r="E129" s="3">
        <v>34404</v>
      </c>
      <c r="F129" s="2" t="s">
        <v>32</v>
      </c>
      <c r="G129" s="2" t="s">
        <v>18</v>
      </c>
      <c r="H129">
        <f t="shared" si="1"/>
        <v>1720.2</v>
      </c>
    </row>
    <row r="130" spans="1:8">
      <c r="A130" s="2">
        <v>129</v>
      </c>
      <c r="B130" s="2" t="s">
        <v>45</v>
      </c>
      <c r="C130" s="2" t="s">
        <v>8</v>
      </c>
      <c r="D130" s="2">
        <v>50</v>
      </c>
      <c r="E130" s="3">
        <v>58260</v>
      </c>
      <c r="F130" s="2" t="s">
        <v>32</v>
      </c>
      <c r="G130" s="2" t="s">
        <v>14</v>
      </c>
      <c r="H130">
        <f t="shared" si="1"/>
        <v>2913</v>
      </c>
    </row>
    <row r="131" spans="1:8">
      <c r="A131" s="2">
        <v>130</v>
      </c>
      <c r="B131" s="2" t="s">
        <v>65</v>
      </c>
      <c r="C131" s="2" t="s">
        <v>12</v>
      </c>
      <c r="D131" s="2">
        <v>50</v>
      </c>
      <c r="E131" s="3">
        <v>37098</v>
      </c>
      <c r="F131" s="2" t="s">
        <v>17</v>
      </c>
      <c r="G131" s="2" t="s">
        <v>26</v>
      </c>
      <c r="H131">
        <f t="shared" ref="H131:H194" si="2">E131*5%</f>
        <v>1854.9</v>
      </c>
    </row>
    <row r="132" spans="1:8">
      <c r="A132" s="2">
        <v>131</v>
      </c>
      <c r="B132" s="2" t="s">
        <v>75</v>
      </c>
      <c r="C132" s="2" t="s">
        <v>12</v>
      </c>
      <c r="D132" s="2">
        <v>32</v>
      </c>
      <c r="E132" s="3">
        <v>82343</v>
      </c>
      <c r="F132" s="2" t="s">
        <v>13</v>
      </c>
      <c r="G132" s="2" t="s">
        <v>23</v>
      </c>
      <c r="H132">
        <f t="shared" si="2"/>
        <v>4117.1500000000005</v>
      </c>
    </row>
    <row r="133" spans="1:8">
      <c r="A133" s="2">
        <v>132</v>
      </c>
      <c r="B133" s="2" t="s">
        <v>62</v>
      </c>
      <c r="C133" s="2" t="s">
        <v>16</v>
      </c>
      <c r="D133" s="2">
        <v>36</v>
      </c>
      <c r="E133" s="3">
        <v>78187</v>
      </c>
      <c r="F133" s="2" t="s">
        <v>17</v>
      </c>
      <c r="G133" s="2" t="s">
        <v>14</v>
      </c>
      <c r="H133">
        <f t="shared" si="2"/>
        <v>3909.3500000000004</v>
      </c>
    </row>
    <row r="134" spans="1:8">
      <c r="A134" s="2">
        <v>133</v>
      </c>
      <c r="B134" s="2" t="s">
        <v>48</v>
      </c>
      <c r="C134" s="2" t="s">
        <v>12</v>
      </c>
      <c r="D134" s="2">
        <v>33</v>
      </c>
      <c r="E134" s="3">
        <v>58490</v>
      </c>
      <c r="F134" s="2" t="s">
        <v>38</v>
      </c>
      <c r="G134" s="2" t="s">
        <v>18</v>
      </c>
      <c r="H134">
        <f t="shared" si="2"/>
        <v>2924.5</v>
      </c>
    </row>
    <row r="135" spans="1:8">
      <c r="A135" s="2">
        <v>134</v>
      </c>
      <c r="B135" s="2" t="s">
        <v>60</v>
      </c>
      <c r="C135" s="2" t="s">
        <v>8</v>
      </c>
      <c r="D135" s="2">
        <v>8</v>
      </c>
      <c r="E135" s="3">
        <v>67914</v>
      </c>
      <c r="F135" s="2" t="s">
        <v>28</v>
      </c>
      <c r="G135" s="2" t="s">
        <v>10</v>
      </c>
      <c r="H135">
        <f t="shared" si="2"/>
        <v>3395.7000000000003</v>
      </c>
    </row>
    <row r="136" spans="1:8">
      <c r="A136" s="2">
        <v>135</v>
      </c>
      <c r="B136" s="2" t="s">
        <v>55</v>
      </c>
      <c r="C136" s="2" t="s">
        <v>12</v>
      </c>
      <c r="D136" s="2">
        <v>37</v>
      </c>
      <c r="E136" s="3">
        <v>46197</v>
      </c>
      <c r="F136" s="2" t="s">
        <v>32</v>
      </c>
      <c r="G136" s="2" t="s">
        <v>14</v>
      </c>
      <c r="H136">
        <f t="shared" si="2"/>
        <v>2309.85</v>
      </c>
    </row>
    <row r="137" spans="1:8">
      <c r="A137" s="2">
        <v>136</v>
      </c>
      <c r="B137" s="2" t="s">
        <v>41</v>
      </c>
      <c r="C137" s="2" t="s">
        <v>22</v>
      </c>
      <c r="D137" s="2">
        <v>8</v>
      </c>
      <c r="E137" s="3">
        <v>71320</v>
      </c>
      <c r="F137" s="2" t="s">
        <v>28</v>
      </c>
      <c r="G137" s="2" t="s">
        <v>14</v>
      </c>
      <c r="H137">
        <f t="shared" si="2"/>
        <v>3566</v>
      </c>
    </row>
    <row r="138" spans="1:8">
      <c r="A138" s="2">
        <v>137</v>
      </c>
      <c r="B138" s="2" t="s">
        <v>68</v>
      </c>
      <c r="C138" s="2" t="s">
        <v>8</v>
      </c>
      <c r="D138" s="2">
        <v>18</v>
      </c>
      <c r="E138" s="3">
        <v>84233</v>
      </c>
      <c r="F138" s="2" t="s">
        <v>20</v>
      </c>
      <c r="G138" s="2" t="s">
        <v>23</v>
      </c>
      <c r="H138">
        <f t="shared" si="2"/>
        <v>4211.6500000000005</v>
      </c>
    </row>
    <row r="139" spans="1:8">
      <c r="A139" s="2">
        <v>138</v>
      </c>
      <c r="B139" s="2" t="s">
        <v>88</v>
      </c>
      <c r="C139" s="2" t="s">
        <v>12</v>
      </c>
      <c r="D139" s="2">
        <v>50</v>
      </c>
      <c r="E139" s="3">
        <v>71143</v>
      </c>
      <c r="F139" s="2" t="s">
        <v>13</v>
      </c>
      <c r="G139" s="2" t="s">
        <v>26</v>
      </c>
      <c r="H139">
        <f t="shared" si="2"/>
        <v>3557.15</v>
      </c>
    </row>
    <row r="140" spans="1:8">
      <c r="A140" s="2">
        <v>139</v>
      </c>
      <c r="B140" s="2" t="s">
        <v>45</v>
      </c>
      <c r="C140" s="2" t="s">
        <v>8</v>
      </c>
      <c r="D140" s="2">
        <v>35</v>
      </c>
      <c r="E140" s="3">
        <v>77511</v>
      </c>
      <c r="F140" s="2" t="s">
        <v>17</v>
      </c>
      <c r="G140" s="2" t="s">
        <v>26</v>
      </c>
      <c r="H140">
        <f t="shared" si="2"/>
        <v>3875.55</v>
      </c>
    </row>
    <row r="141" spans="1:8">
      <c r="A141" s="2">
        <v>140</v>
      </c>
      <c r="B141" s="2" t="s">
        <v>86</v>
      </c>
      <c r="C141" s="2" t="s">
        <v>22</v>
      </c>
      <c r="D141" s="2">
        <v>24</v>
      </c>
      <c r="E141" s="3">
        <v>68349</v>
      </c>
      <c r="F141" s="2" t="s">
        <v>20</v>
      </c>
      <c r="G141" s="2" t="s">
        <v>18</v>
      </c>
      <c r="H141">
        <f t="shared" si="2"/>
        <v>3417.4500000000003</v>
      </c>
    </row>
    <row r="142" spans="1:8">
      <c r="A142" s="2">
        <v>141</v>
      </c>
      <c r="B142" s="2" t="s">
        <v>30</v>
      </c>
      <c r="C142" s="2" t="s">
        <v>22</v>
      </c>
      <c r="D142" s="2">
        <v>35</v>
      </c>
      <c r="E142" s="3">
        <v>91751</v>
      </c>
      <c r="F142" s="2" t="s">
        <v>25</v>
      </c>
      <c r="G142" s="2" t="s">
        <v>14</v>
      </c>
      <c r="H142">
        <f t="shared" si="2"/>
        <v>4587.55</v>
      </c>
    </row>
    <row r="143" spans="1:8">
      <c r="A143" s="2">
        <v>142</v>
      </c>
      <c r="B143" s="2" t="s">
        <v>72</v>
      </c>
      <c r="C143" s="2" t="s">
        <v>12</v>
      </c>
      <c r="D143" s="2">
        <v>49</v>
      </c>
      <c r="E143" s="3">
        <v>40733</v>
      </c>
      <c r="F143" s="2" t="s">
        <v>9</v>
      </c>
      <c r="G143" s="2" t="s">
        <v>23</v>
      </c>
      <c r="H143">
        <f t="shared" si="2"/>
        <v>2036.65</v>
      </c>
    </row>
    <row r="144" spans="1:8">
      <c r="A144" s="2">
        <v>143</v>
      </c>
      <c r="B144" s="2" t="s">
        <v>61</v>
      </c>
      <c r="C144" s="2" t="s">
        <v>8</v>
      </c>
      <c r="D144" s="2">
        <v>3</v>
      </c>
      <c r="E144" s="3">
        <v>39716</v>
      </c>
      <c r="F144" s="2" t="s">
        <v>17</v>
      </c>
      <c r="G144" s="2" t="s">
        <v>18</v>
      </c>
      <c r="H144">
        <f t="shared" si="2"/>
        <v>1985.8000000000002</v>
      </c>
    </row>
    <row r="145" spans="1:8">
      <c r="A145" s="2">
        <v>144</v>
      </c>
      <c r="B145" s="2" t="s">
        <v>51</v>
      </c>
      <c r="C145" s="2" t="s">
        <v>16</v>
      </c>
      <c r="D145" s="2">
        <v>49</v>
      </c>
      <c r="E145" s="3">
        <v>70187</v>
      </c>
      <c r="F145" s="2" t="s">
        <v>17</v>
      </c>
      <c r="G145" s="2" t="s">
        <v>26</v>
      </c>
      <c r="H145">
        <f t="shared" si="2"/>
        <v>3509.3500000000004</v>
      </c>
    </row>
    <row r="146" spans="1:8">
      <c r="A146" s="2">
        <v>145</v>
      </c>
      <c r="B146" s="2" t="s">
        <v>15</v>
      </c>
      <c r="C146" s="2" t="s">
        <v>22</v>
      </c>
      <c r="D146" s="2">
        <v>47</v>
      </c>
      <c r="E146" s="3">
        <v>47401</v>
      </c>
      <c r="F146" s="2" t="s">
        <v>32</v>
      </c>
      <c r="G146" s="2" t="s">
        <v>29</v>
      </c>
      <c r="H146">
        <f t="shared" si="2"/>
        <v>2370.0500000000002</v>
      </c>
    </row>
    <row r="147" spans="1:8">
      <c r="A147" s="2">
        <v>146</v>
      </c>
      <c r="B147" s="2" t="s">
        <v>81</v>
      </c>
      <c r="C147" s="2" t="s">
        <v>16</v>
      </c>
      <c r="D147" s="2">
        <v>29</v>
      </c>
      <c r="E147" s="3">
        <v>92848</v>
      </c>
      <c r="F147" s="2" t="s">
        <v>28</v>
      </c>
      <c r="G147" s="2" t="s">
        <v>18</v>
      </c>
      <c r="H147">
        <f t="shared" si="2"/>
        <v>4642.4000000000005</v>
      </c>
    </row>
    <row r="148" spans="1:8">
      <c r="A148" s="2">
        <v>147</v>
      </c>
      <c r="B148" s="2" t="s">
        <v>63</v>
      </c>
      <c r="C148" s="2" t="s">
        <v>12</v>
      </c>
      <c r="D148" s="2">
        <v>35</v>
      </c>
      <c r="E148" s="3">
        <v>66070</v>
      </c>
      <c r="F148" s="2" t="s">
        <v>25</v>
      </c>
      <c r="G148" s="2" t="s">
        <v>29</v>
      </c>
      <c r="H148">
        <f t="shared" si="2"/>
        <v>3303.5</v>
      </c>
    </row>
    <row r="149" spans="1:8">
      <c r="A149" s="2">
        <v>148</v>
      </c>
      <c r="B149" s="2" t="s">
        <v>19</v>
      </c>
      <c r="C149" s="2" t="s">
        <v>22</v>
      </c>
      <c r="D149" s="2">
        <v>14</v>
      </c>
      <c r="E149" s="3">
        <v>80936</v>
      </c>
      <c r="F149" s="2" t="s">
        <v>32</v>
      </c>
      <c r="G149" s="2" t="s">
        <v>29</v>
      </c>
      <c r="H149">
        <f t="shared" si="2"/>
        <v>4046.8</v>
      </c>
    </row>
    <row r="150" spans="1:8">
      <c r="A150" s="2">
        <v>149</v>
      </c>
      <c r="B150" s="2" t="s">
        <v>68</v>
      </c>
      <c r="C150" s="2" t="s">
        <v>16</v>
      </c>
      <c r="D150" s="2">
        <v>28</v>
      </c>
      <c r="E150" s="3">
        <v>60649</v>
      </c>
      <c r="F150" s="2" t="s">
        <v>9</v>
      </c>
      <c r="G150" s="2" t="s">
        <v>18</v>
      </c>
      <c r="H150">
        <f t="shared" si="2"/>
        <v>3032.4500000000003</v>
      </c>
    </row>
    <row r="151" spans="1:8">
      <c r="A151" s="2">
        <v>150</v>
      </c>
      <c r="B151" s="2" t="s">
        <v>69</v>
      </c>
      <c r="C151" s="2" t="s">
        <v>22</v>
      </c>
      <c r="D151" s="2">
        <v>7</v>
      </c>
      <c r="E151" s="3">
        <v>37395</v>
      </c>
      <c r="F151" s="2" t="s">
        <v>32</v>
      </c>
      <c r="G151" s="2" t="s">
        <v>18</v>
      </c>
      <c r="H151">
        <f t="shared" si="2"/>
        <v>1869.75</v>
      </c>
    </row>
    <row r="152" spans="1:8">
      <c r="A152" s="2">
        <v>151</v>
      </c>
      <c r="B152" s="2" t="s">
        <v>72</v>
      </c>
      <c r="C152" s="2" t="s">
        <v>16</v>
      </c>
      <c r="D152" s="2">
        <v>48</v>
      </c>
      <c r="E152" s="3">
        <v>67138</v>
      </c>
      <c r="F152" s="2" t="s">
        <v>32</v>
      </c>
      <c r="G152" s="2" t="s">
        <v>23</v>
      </c>
      <c r="H152">
        <f t="shared" si="2"/>
        <v>3356.9</v>
      </c>
    </row>
    <row r="153" spans="1:8">
      <c r="A153" s="2">
        <v>152</v>
      </c>
      <c r="B153" s="2" t="s">
        <v>75</v>
      </c>
      <c r="C153" s="2" t="s">
        <v>8</v>
      </c>
      <c r="D153" s="2">
        <v>42</v>
      </c>
      <c r="E153" s="3">
        <v>98941</v>
      </c>
      <c r="F153" s="2" t="s">
        <v>32</v>
      </c>
      <c r="G153" s="2" t="s">
        <v>18</v>
      </c>
      <c r="H153">
        <f t="shared" si="2"/>
        <v>4947.05</v>
      </c>
    </row>
    <row r="154" spans="1:8">
      <c r="A154" s="2">
        <v>153</v>
      </c>
      <c r="B154" s="2" t="s">
        <v>87</v>
      </c>
      <c r="C154" s="2" t="s">
        <v>8</v>
      </c>
      <c r="D154" s="2">
        <v>49</v>
      </c>
      <c r="E154" s="3">
        <v>28134</v>
      </c>
      <c r="F154" s="2" t="s">
        <v>28</v>
      </c>
      <c r="G154" s="2" t="s">
        <v>10</v>
      </c>
      <c r="H154">
        <f t="shared" si="2"/>
        <v>1406.7</v>
      </c>
    </row>
    <row r="155" spans="1:8">
      <c r="A155" s="2">
        <v>154</v>
      </c>
      <c r="B155" s="2" t="s">
        <v>85</v>
      </c>
      <c r="C155" s="2" t="s">
        <v>12</v>
      </c>
      <c r="D155" s="2">
        <v>16</v>
      </c>
      <c r="E155" s="3">
        <v>93947</v>
      </c>
      <c r="F155" s="2" t="s">
        <v>32</v>
      </c>
      <c r="G155" s="2" t="s">
        <v>26</v>
      </c>
      <c r="H155">
        <f t="shared" si="2"/>
        <v>4697.3500000000004</v>
      </c>
    </row>
    <row r="156" spans="1:8">
      <c r="A156" s="2">
        <v>155</v>
      </c>
      <c r="B156" s="2" t="s">
        <v>71</v>
      </c>
      <c r="C156" s="2" t="s">
        <v>22</v>
      </c>
      <c r="D156" s="2">
        <v>20</v>
      </c>
      <c r="E156" s="3">
        <v>90093</v>
      </c>
      <c r="F156" s="2" t="s">
        <v>32</v>
      </c>
      <c r="G156" s="2" t="s">
        <v>14</v>
      </c>
      <c r="H156">
        <f t="shared" si="2"/>
        <v>4504.6500000000005</v>
      </c>
    </row>
    <row r="157" spans="1:8">
      <c r="A157" s="2">
        <v>156</v>
      </c>
      <c r="B157" s="2" t="s">
        <v>69</v>
      </c>
      <c r="C157" s="2" t="s">
        <v>16</v>
      </c>
      <c r="D157" s="2">
        <v>3</v>
      </c>
      <c r="E157" s="3">
        <v>68509</v>
      </c>
      <c r="F157" s="2" t="s">
        <v>32</v>
      </c>
      <c r="G157" s="2" t="s">
        <v>18</v>
      </c>
      <c r="H157">
        <f t="shared" si="2"/>
        <v>3425.4500000000003</v>
      </c>
    </row>
    <row r="158" spans="1:8">
      <c r="A158" s="2">
        <v>157</v>
      </c>
      <c r="B158" s="2" t="s">
        <v>88</v>
      </c>
      <c r="C158" s="2" t="s">
        <v>12</v>
      </c>
      <c r="D158" s="2">
        <v>29</v>
      </c>
      <c r="E158" s="3">
        <v>96428</v>
      </c>
      <c r="F158" s="2" t="s">
        <v>32</v>
      </c>
      <c r="G158" s="2" t="s">
        <v>29</v>
      </c>
      <c r="H158">
        <f t="shared" si="2"/>
        <v>4821.4000000000005</v>
      </c>
    </row>
    <row r="159" spans="1:8">
      <c r="A159" s="2">
        <v>158</v>
      </c>
      <c r="B159" s="2" t="s">
        <v>89</v>
      </c>
      <c r="C159" s="2" t="s">
        <v>8</v>
      </c>
      <c r="D159" s="2">
        <v>17</v>
      </c>
      <c r="E159" s="3">
        <v>62641</v>
      </c>
      <c r="F159" s="2" t="s">
        <v>17</v>
      </c>
      <c r="G159" s="2" t="s">
        <v>29</v>
      </c>
      <c r="H159">
        <f t="shared" si="2"/>
        <v>3132.05</v>
      </c>
    </row>
    <row r="160" spans="1:8">
      <c r="A160" s="2">
        <v>159</v>
      </c>
      <c r="B160" s="2" t="s">
        <v>27</v>
      </c>
      <c r="C160" s="2" t="s">
        <v>8</v>
      </c>
      <c r="D160" s="2">
        <v>23</v>
      </c>
      <c r="E160" s="3">
        <v>32831</v>
      </c>
      <c r="F160" s="2" t="s">
        <v>25</v>
      </c>
      <c r="G160" s="2" t="s">
        <v>18</v>
      </c>
      <c r="H160">
        <f t="shared" si="2"/>
        <v>1641.5500000000002</v>
      </c>
    </row>
    <row r="161" spans="1:8">
      <c r="A161" s="2">
        <v>160</v>
      </c>
      <c r="B161" s="2" t="s">
        <v>48</v>
      </c>
      <c r="C161" s="2" t="s">
        <v>12</v>
      </c>
      <c r="D161" s="2">
        <v>6</v>
      </c>
      <c r="E161" s="3">
        <v>76091</v>
      </c>
      <c r="F161" s="2" t="s">
        <v>20</v>
      </c>
      <c r="G161" s="2" t="s">
        <v>14</v>
      </c>
      <c r="H161">
        <f t="shared" si="2"/>
        <v>3804.55</v>
      </c>
    </row>
    <row r="162" spans="1:8">
      <c r="A162" s="2">
        <v>161</v>
      </c>
      <c r="B162" s="2" t="s">
        <v>55</v>
      </c>
      <c r="C162" s="2" t="s">
        <v>22</v>
      </c>
      <c r="D162" s="2">
        <v>29</v>
      </c>
      <c r="E162" s="3">
        <v>63718</v>
      </c>
      <c r="F162" s="2" t="s">
        <v>20</v>
      </c>
      <c r="G162" s="2" t="s">
        <v>14</v>
      </c>
      <c r="H162">
        <f t="shared" si="2"/>
        <v>3185.9</v>
      </c>
    </row>
    <row r="163" spans="1:8">
      <c r="A163" s="2">
        <v>162</v>
      </c>
      <c r="B163" s="2" t="s">
        <v>37</v>
      </c>
      <c r="C163" s="2" t="s">
        <v>16</v>
      </c>
      <c r="D163" s="2">
        <v>8</v>
      </c>
      <c r="E163" s="3">
        <v>58159</v>
      </c>
      <c r="F163" s="2" t="s">
        <v>20</v>
      </c>
      <c r="G163" s="2" t="s">
        <v>23</v>
      </c>
      <c r="H163">
        <f t="shared" si="2"/>
        <v>2907.9500000000003</v>
      </c>
    </row>
    <row r="164" spans="1:8">
      <c r="A164" s="2">
        <v>163</v>
      </c>
      <c r="B164" s="2" t="s">
        <v>36</v>
      </c>
      <c r="C164" s="2" t="s">
        <v>8</v>
      </c>
      <c r="D164" s="2">
        <v>50</v>
      </c>
      <c r="E164" s="3">
        <v>40952</v>
      </c>
      <c r="F164" s="2" t="s">
        <v>9</v>
      </c>
      <c r="G164" s="2" t="s">
        <v>23</v>
      </c>
      <c r="H164">
        <f t="shared" si="2"/>
        <v>2047.6000000000001</v>
      </c>
    </row>
    <row r="165" spans="1:8">
      <c r="A165" s="2">
        <v>164</v>
      </c>
      <c r="B165" s="2" t="s">
        <v>19</v>
      </c>
      <c r="C165" s="2" t="s">
        <v>12</v>
      </c>
      <c r="D165" s="2">
        <v>16</v>
      </c>
      <c r="E165" s="3">
        <v>48902</v>
      </c>
      <c r="F165" s="2" t="s">
        <v>38</v>
      </c>
      <c r="G165" s="2" t="s">
        <v>23</v>
      </c>
      <c r="H165">
        <f t="shared" si="2"/>
        <v>2445.1</v>
      </c>
    </row>
    <row r="166" spans="1:8">
      <c r="A166" s="2">
        <v>165</v>
      </c>
      <c r="B166" s="2" t="s">
        <v>90</v>
      </c>
      <c r="C166" s="2" t="s">
        <v>8</v>
      </c>
      <c r="D166" s="2">
        <v>14</v>
      </c>
      <c r="E166" s="3">
        <v>52021</v>
      </c>
      <c r="F166" s="2" t="s">
        <v>38</v>
      </c>
      <c r="G166" s="2" t="s">
        <v>14</v>
      </c>
      <c r="H166">
        <f t="shared" si="2"/>
        <v>2601.0500000000002</v>
      </c>
    </row>
    <row r="167" spans="1:8">
      <c r="A167" s="2">
        <v>166</v>
      </c>
      <c r="B167" s="2" t="s">
        <v>58</v>
      </c>
      <c r="C167" s="2" t="s">
        <v>8</v>
      </c>
      <c r="D167" s="2">
        <v>48</v>
      </c>
      <c r="E167" s="3">
        <v>67975</v>
      </c>
      <c r="F167" s="2" t="s">
        <v>9</v>
      </c>
      <c r="G167" s="2" t="s">
        <v>29</v>
      </c>
      <c r="H167">
        <f t="shared" si="2"/>
        <v>3398.75</v>
      </c>
    </row>
    <row r="168" spans="1:8">
      <c r="A168" s="2">
        <v>167</v>
      </c>
      <c r="B168" s="2" t="s">
        <v>51</v>
      </c>
      <c r="C168" s="2" t="s">
        <v>16</v>
      </c>
      <c r="D168" s="2">
        <v>38</v>
      </c>
      <c r="E168" s="3">
        <v>99278</v>
      </c>
      <c r="F168" s="2" t="s">
        <v>17</v>
      </c>
      <c r="G168" s="2" t="s">
        <v>23</v>
      </c>
      <c r="H168">
        <f t="shared" si="2"/>
        <v>4963.9000000000005</v>
      </c>
    </row>
    <row r="169" spans="1:8">
      <c r="A169" s="2">
        <v>168</v>
      </c>
      <c r="B169" s="2" t="s">
        <v>73</v>
      </c>
      <c r="C169" s="2" t="s">
        <v>22</v>
      </c>
      <c r="D169" s="2">
        <v>45</v>
      </c>
      <c r="E169" s="3">
        <v>99881</v>
      </c>
      <c r="F169" s="2" t="s">
        <v>17</v>
      </c>
      <c r="G169" s="2" t="s">
        <v>18</v>
      </c>
      <c r="H169">
        <f t="shared" si="2"/>
        <v>4994.05</v>
      </c>
    </row>
    <row r="170" spans="1:8">
      <c r="A170" s="2">
        <v>169</v>
      </c>
      <c r="B170" s="2" t="s">
        <v>51</v>
      </c>
      <c r="C170" s="2" t="s">
        <v>22</v>
      </c>
      <c r="D170" s="2">
        <v>23</v>
      </c>
      <c r="E170" s="3">
        <v>39851</v>
      </c>
      <c r="F170" s="2" t="s">
        <v>9</v>
      </c>
      <c r="G170" s="2" t="s">
        <v>23</v>
      </c>
      <c r="H170">
        <f t="shared" si="2"/>
        <v>1992.5500000000002</v>
      </c>
    </row>
    <row r="171" spans="1:8">
      <c r="A171" s="2">
        <v>170</v>
      </c>
      <c r="B171" s="2" t="s">
        <v>57</v>
      </c>
      <c r="C171" s="2" t="s">
        <v>16</v>
      </c>
      <c r="D171" s="2">
        <v>46</v>
      </c>
      <c r="E171" s="3">
        <v>57598</v>
      </c>
      <c r="F171" s="2" t="s">
        <v>28</v>
      </c>
      <c r="G171" s="2" t="s">
        <v>18</v>
      </c>
      <c r="H171">
        <f t="shared" si="2"/>
        <v>2879.9</v>
      </c>
    </row>
    <row r="172" spans="1:8">
      <c r="A172" s="2">
        <v>171</v>
      </c>
      <c r="B172" s="2" t="s">
        <v>91</v>
      </c>
      <c r="C172" s="2" t="s">
        <v>12</v>
      </c>
      <c r="D172" s="2">
        <v>40</v>
      </c>
      <c r="E172" s="3">
        <v>59472</v>
      </c>
      <c r="F172" s="2" t="s">
        <v>9</v>
      </c>
      <c r="G172" s="2" t="s">
        <v>18</v>
      </c>
      <c r="H172">
        <f t="shared" si="2"/>
        <v>2973.6000000000004</v>
      </c>
    </row>
    <row r="173" spans="1:8">
      <c r="A173" s="2">
        <v>172</v>
      </c>
      <c r="B173" s="2" t="s">
        <v>68</v>
      </c>
      <c r="C173" s="2" t="s">
        <v>12</v>
      </c>
      <c r="D173" s="2">
        <v>41</v>
      </c>
      <c r="E173" s="3">
        <v>83041</v>
      </c>
      <c r="F173" s="2" t="s">
        <v>25</v>
      </c>
      <c r="G173" s="2" t="s">
        <v>29</v>
      </c>
      <c r="H173">
        <f t="shared" si="2"/>
        <v>4152.05</v>
      </c>
    </row>
    <row r="174" spans="1:8">
      <c r="A174" s="2">
        <v>173</v>
      </c>
      <c r="B174" s="2" t="s">
        <v>88</v>
      </c>
      <c r="C174" s="2" t="s">
        <v>22</v>
      </c>
      <c r="D174" s="2">
        <v>28</v>
      </c>
      <c r="E174" s="3">
        <v>72013</v>
      </c>
      <c r="F174" s="2" t="s">
        <v>28</v>
      </c>
      <c r="G174" s="2" t="s">
        <v>26</v>
      </c>
      <c r="H174">
        <f t="shared" si="2"/>
        <v>3600.65</v>
      </c>
    </row>
    <row r="175" spans="1:8">
      <c r="A175" s="2">
        <v>174</v>
      </c>
      <c r="B175" s="2" t="s">
        <v>61</v>
      </c>
      <c r="C175" s="2" t="s">
        <v>8</v>
      </c>
      <c r="D175" s="2">
        <v>11</v>
      </c>
      <c r="E175" s="3">
        <v>50120</v>
      </c>
      <c r="F175" s="2" t="s">
        <v>13</v>
      </c>
      <c r="G175" s="2" t="s">
        <v>18</v>
      </c>
      <c r="H175">
        <f t="shared" si="2"/>
        <v>2506</v>
      </c>
    </row>
    <row r="176" spans="1:8">
      <c r="A176" s="2">
        <v>175</v>
      </c>
      <c r="B176" s="2" t="s">
        <v>24</v>
      </c>
      <c r="C176" s="2" t="s">
        <v>8</v>
      </c>
      <c r="D176" s="2">
        <v>40</v>
      </c>
      <c r="E176" s="3">
        <v>80386</v>
      </c>
      <c r="F176" s="2" t="s">
        <v>32</v>
      </c>
      <c r="G176" s="2" t="s">
        <v>23</v>
      </c>
      <c r="H176">
        <f t="shared" si="2"/>
        <v>4019.3</v>
      </c>
    </row>
    <row r="177" spans="1:8">
      <c r="A177" s="2">
        <v>176</v>
      </c>
      <c r="B177" s="2" t="s">
        <v>15</v>
      </c>
      <c r="C177" s="2" t="s">
        <v>12</v>
      </c>
      <c r="D177" s="2">
        <v>9</v>
      </c>
      <c r="E177" s="3">
        <v>54810</v>
      </c>
      <c r="F177" s="2" t="s">
        <v>25</v>
      </c>
      <c r="G177" s="2" t="s">
        <v>29</v>
      </c>
      <c r="H177">
        <f t="shared" si="2"/>
        <v>2740.5</v>
      </c>
    </row>
    <row r="178" spans="1:8">
      <c r="A178" s="2">
        <v>177</v>
      </c>
      <c r="B178" s="2" t="s">
        <v>81</v>
      </c>
      <c r="C178" s="2" t="s">
        <v>16</v>
      </c>
      <c r="D178" s="2">
        <v>14</v>
      </c>
      <c r="E178" s="3">
        <v>54102</v>
      </c>
      <c r="F178" s="2" t="s">
        <v>38</v>
      </c>
      <c r="G178" s="2" t="s">
        <v>29</v>
      </c>
      <c r="H178">
        <f t="shared" si="2"/>
        <v>2705.1000000000004</v>
      </c>
    </row>
    <row r="179" spans="1:8">
      <c r="A179" s="2">
        <v>178</v>
      </c>
      <c r="B179" s="2" t="s">
        <v>90</v>
      </c>
      <c r="C179" s="2" t="s">
        <v>8</v>
      </c>
      <c r="D179" s="2">
        <v>14</v>
      </c>
      <c r="E179" s="3">
        <v>51592</v>
      </c>
      <c r="F179" s="2" t="s">
        <v>13</v>
      </c>
      <c r="G179" s="2" t="s">
        <v>14</v>
      </c>
      <c r="H179">
        <f t="shared" si="2"/>
        <v>2579.6000000000004</v>
      </c>
    </row>
    <row r="180" spans="1:8">
      <c r="A180" s="2">
        <v>179</v>
      </c>
      <c r="B180" s="2" t="s">
        <v>82</v>
      </c>
      <c r="C180" s="2" t="s">
        <v>12</v>
      </c>
      <c r="D180" s="2">
        <v>4</v>
      </c>
      <c r="E180" s="3">
        <v>85527</v>
      </c>
      <c r="F180" s="2" t="s">
        <v>9</v>
      </c>
      <c r="G180" s="2" t="s">
        <v>18</v>
      </c>
      <c r="H180">
        <f t="shared" si="2"/>
        <v>4276.3500000000004</v>
      </c>
    </row>
    <row r="181" spans="1:8">
      <c r="A181" s="2">
        <v>180</v>
      </c>
      <c r="B181" s="2" t="s">
        <v>19</v>
      </c>
      <c r="C181" s="2" t="s">
        <v>16</v>
      </c>
      <c r="D181" s="2">
        <v>37</v>
      </c>
      <c r="E181" s="3">
        <v>44533</v>
      </c>
      <c r="F181" s="2" t="s">
        <v>38</v>
      </c>
      <c r="G181" s="2" t="s">
        <v>23</v>
      </c>
      <c r="H181">
        <f t="shared" si="2"/>
        <v>2226.65</v>
      </c>
    </row>
    <row r="182" spans="1:8">
      <c r="A182" s="2">
        <v>181</v>
      </c>
      <c r="B182" s="2" t="s">
        <v>81</v>
      </c>
      <c r="C182" s="2" t="s">
        <v>22</v>
      </c>
      <c r="D182" s="2">
        <v>23</v>
      </c>
      <c r="E182" s="3">
        <v>63058</v>
      </c>
      <c r="F182" s="2" t="s">
        <v>17</v>
      </c>
      <c r="G182" s="2" t="s">
        <v>18</v>
      </c>
      <c r="H182">
        <f t="shared" si="2"/>
        <v>3152.9</v>
      </c>
    </row>
    <row r="183" spans="1:8">
      <c r="A183" s="2">
        <v>182</v>
      </c>
      <c r="B183" s="2" t="s">
        <v>64</v>
      </c>
      <c r="C183" s="2" t="s">
        <v>16</v>
      </c>
      <c r="D183" s="2">
        <v>35</v>
      </c>
      <c r="E183" s="3">
        <v>38871</v>
      </c>
      <c r="F183" s="2" t="s">
        <v>13</v>
      </c>
      <c r="G183" s="2" t="s">
        <v>23</v>
      </c>
      <c r="H183">
        <f t="shared" si="2"/>
        <v>1943.5500000000002</v>
      </c>
    </row>
    <row r="184" spans="1:8">
      <c r="A184" s="2">
        <v>183</v>
      </c>
      <c r="B184" s="2" t="s">
        <v>15</v>
      </c>
      <c r="C184" s="2" t="s">
        <v>22</v>
      </c>
      <c r="D184" s="2">
        <v>18</v>
      </c>
      <c r="E184" s="3">
        <v>80593</v>
      </c>
      <c r="F184" s="2" t="s">
        <v>25</v>
      </c>
      <c r="G184" s="2" t="s">
        <v>10</v>
      </c>
      <c r="H184">
        <f t="shared" si="2"/>
        <v>4029.65</v>
      </c>
    </row>
    <row r="185" spans="1:8">
      <c r="A185" s="2">
        <v>184</v>
      </c>
      <c r="B185" s="2" t="s">
        <v>82</v>
      </c>
      <c r="C185" s="2" t="s">
        <v>12</v>
      </c>
      <c r="D185" s="2">
        <v>39</v>
      </c>
      <c r="E185" s="3">
        <v>43935</v>
      </c>
      <c r="F185" s="2" t="s">
        <v>9</v>
      </c>
      <c r="G185" s="2" t="s">
        <v>14</v>
      </c>
      <c r="H185">
        <f t="shared" si="2"/>
        <v>2196.75</v>
      </c>
    </row>
    <row r="186" spans="1:8">
      <c r="A186" s="2">
        <v>185</v>
      </c>
      <c r="B186" s="2" t="s">
        <v>92</v>
      </c>
      <c r="C186" s="2" t="s">
        <v>16</v>
      </c>
      <c r="D186" s="2">
        <v>35</v>
      </c>
      <c r="E186" s="3">
        <v>38057</v>
      </c>
      <c r="F186" s="2" t="s">
        <v>20</v>
      </c>
      <c r="G186" s="2" t="s">
        <v>29</v>
      </c>
      <c r="H186">
        <f t="shared" si="2"/>
        <v>1902.8500000000001</v>
      </c>
    </row>
    <row r="187" spans="1:8">
      <c r="A187" s="2">
        <v>186</v>
      </c>
      <c r="B187" s="2" t="s">
        <v>73</v>
      </c>
      <c r="C187" s="2" t="s">
        <v>12</v>
      </c>
      <c r="D187" s="2">
        <v>11</v>
      </c>
      <c r="E187" s="3">
        <v>72444</v>
      </c>
      <c r="F187" s="2" t="s">
        <v>9</v>
      </c>
      <c r="G187" s="2" t="s">
        <v>14</v>
      </c>
      <c r="H187">
        <f t="shared" si="2"/>
        <v>3622.2000000000003</v>
      </c>
    </row>
    <row r="188" spans="1:8">
      <c r="A188" s="2">
        <v>187</v>
      </c>
      <c r="B188" s="2" t="s">
        <v>81</v>
      </c>
      <c r="C188" s="2" t="s">
        <v>22</v>
      </c>
      <c r="D188" s="2">
        <v>21</v>
      </c>
      <c r="E188" s="3">
        <v>92351</v>
      </c>
      <c r="F188" s="2" t="s">
        <v>17</v>
      </c>
      <c r="G188" s="2" t="s">
        <v>10</v>
      </c>
      <c r="H188">
        <f t="shared" si="2"/>
        <v>4617.55</v>
      </c>
    </row>
    <row r="189" spans="1:8">
      <c r="A189" s="2">
        <v>188</v>
      </c>
      <c r="B189" s="2" t="s">
        <v>73</v>
      </c>
      <c r="C189" s="2" t="s">
        <v>8</v>
      </c>
      <c r="D189" s="2">
        <v>46</v>
      </c>
      <c r="E189" s="3">
        <v>33600</v>
      </c>
      <c r="F189" s="2" t="s">
        <v>38</v>
      </c>
      <c r="G189" s="2" t="s">
        <v>26</v>
      </c>
      <c r="H189">
        <f t="shared" si="2"/>
        <v>1680</v>
      </c>
    </row>
    <row r="190" spans="1:8">
      <c r="A190" s="2">
        <v>189</v>
      </c>
      <c r="B190" s="2" t="s">
        <v>27</v>
      </c>
      <c r="C190" s="2" t="s">
        <v>8</v>
      </c>
      <c r="D190" s="2">
        <v>19</v>
      </c>
      <c r="E190" s="3">
        <v>70785</v>
      </c>
      <c r="F190" s="2" t="s">
        <v>38</v>
      </c>
      <c r="G190" s="2" t="s">
        <v>14</v>
      </c>
      <c r="H190">
        <f t="shared" si="2"/>
        <v>3539.25</v>
      </c>
    </row>
    <row r="191" spans="1:8">
      <c r="A191" s="2">
        <v>190</v>
      </c>
      <c r="B191" s="2" t="s">
        <v>80</v>
      </c>
      <c r="C191" s="2" t="s">
        <v>22</v>
      </c>
      <c r="D191" s="2">
        <v>19</v>
      </c>
      <c r="E191" s="3">
        <v>70172</v>
      </c>
      <c r="F191" s="2" t="s">
        <v>32</v>
      </c>
      <c r="G191" s="2" t="s">
        <v>14</v>
      </c>
      <c r="H191">
        <f t="shared" si="2"/>
        <v>3508.6000000000004</v>
      </c>
    </row>
    <row r="192" spans="1:8">
      <c r="A192" s="2">
        <v>191</v>
      </c>
      <c r="B192" s="2" t="s">
        <v>21</v>
      </c>
      <c r="C192" s="2" t="s">
        <v>8</v>
      </c>
      <c r="D192" s="2">
        <v>37</v>
      </c>
      <c r="E192" s="3">
        <v>63485</v>
      </c>
      <c r="F192" s="2" t="s">
        <v>13</v>
      </c>
      <c r="G192" s="2" t="s">
        <v>10</v>
      </c>
      <c r="H192">
        <f t="shared" si="2"/>
        <v>3174.25</v>
      </c>
    </row>
    <row r="193" spans="1:8">
      <c r="A193" s="2">
        <v>192</v>
      </c>
      <c r="B193" s="2" t="s">
        <v>27</v>
      </c>
      <c r="C193" s="2" t="s">
        <v>8</v>
      </c>
      <c r="D193" s="2">
        <v>18</v>
      </c>
      <c r="E193" s="3">
        <v>25687</v>
      </c>
      <c r="F193" s="2" t="s">
        <v>20</v>
      </c>
      <c r="G193" s="2" t="s">
        <v>14</v>
      </c>
      <c r="H193">
        <f t="shared" si="2"/>
        <v>1284.3500000000001</v>
      </c>
    </row>
    <row r="194" spans="1:8">
      <c r="A194" s="2">
        <v>193</v>
      </c>
      <c r="B194" s="2" t="s">
        <v>48</v>
      </c>
      <c r="C194" s="2" t="s">
        <v>16</v>
      </c>
      <c r="D194" s="2">
        <v>33</v>
      </c>
      <c r="E194" s="3">
        <v>56913</v>
      </c>
      <c r="F194" s="2" t="s">
        <v>17</v>
      </c>
      <c r="G194" s="2" t="s">
        <v>14</v>
      </c>
      <c r="H194">
        <f t="shared" si="2"/>
        <v>2845.65</v>
      </c>
    </row>
    <row r="195" spans="1:8">
      <c r="A195" s="2">
        <v>194</v>
      </c>
      <c r="B195" s="2" t="s">
        <v>76</v>
      </c>
      <c r="C195" s="2" t="s">
        <v>16</v>
      </c>
      <c r="D195" s="2">
        <v>44</v>
      </c>
      <c r="E195" s="3">
        <v>80258</v>
      </c>
      <c r="F195" s="2" t="s">
        <v>17</v>
      </c>
      <c r="G195" s="2" t="s">
        <v>10</v>
      </c>
      <c r="H195">
        <f t="shared" ref="H195:H258" si="3">E195*5%</f>
        <v>4012.9</v>
      </c>
    </row>
    <row r="196" spans="1:8">
      <c r="A196" s="2">
        <v>195</v>
      </c>
      <c r="B196" s="2" t="s">
        <v>90</v>
      </c>
      <c r="C196" s="2" t="s">
        <v>8</v>
      </c>
      <c r="D196" s="2">
        <v>7</v>
      </c>
      <c r="E196" s="3">
        <v>98948</v>
      </c>
      <c r="F196" s="2" t="s">
        <v>28</v>
      </c>
      <c r="G196" s="2" t="s">
        <v>10</v>
      </c>
      <c r="H196">
        <f t="shared" si="3"/>
        <v>4947.4000000000005</v>
      </c>
    </row>
    <row r="197" spans="1:8">
      <c r="A197" s="2">
        <v>196</v>
      </c>
      <c r="B197" s="2" t="s">
        <v>39</v>
      </c>
      <c r="C197" s="2" t="s">
        <v>16</v>
      </c>
      <c r="D197" s="2">
        <v>9</v>
      </c>
      <c r="E197" s="3">
        <v>49380</v>
      </c>
      <c r="F197" s="2" t="s">
        <v>25</v>
      </c>
      <c r="G197" s="2" t="s">
        <v>29</v>
      </c>
      <c r="H197">
        <f t="shared" si="3"/>
        <v>2469</v>
      </c>
    </row>
    <row r="198" spans="1:8">
      <c r="A198" s="2">
        <v>197</v>
      </c>
      <c r="B198" s="2" t="s">
        <v>19</v>
      </c>
      <c r="C198" s="2" t="s">
        <v>22</v>
      </c>
      <c r="D198" s="2">
        <v>49</v>
      </c>
      <c r="E198" s="3">
        <v>96080</v>
      </c>
      <c r="F198" s="2" t="s">
        <v>28</v>
      </c>
      <c r="G198" s="2" t="s">
        <v>26</v>
      </c>
      <c r="H198">
        <f t="shared" si="3"/>
        <v>4804</v>
      </c>
    </row>
    <row r="199" spans="1:8">
      <c r="A199" s="2">
        <v>198</v>
      </c>
      <c r="B199" s="2" t="s">
        <v>33</v>
      </c>
      <c r="C199" s="2" t="s">
        <v>16</v>
      </c>
      <c r="D199" s="2">
        <v>27</v>
      </c>
      <c r="E199" s="3">
        <v>61805</v>
      </c>
      <c r="F199" s="2" t="s">
        <v>32</v>
      </c>
      <c r="G199" s="2" t="s">
        <v>23</v>
      </c>
      <c r="H199">
        <f t="shared" si="3"/>
        <v>3090.25</v>
      </c>
    </row>
    <row r="200" spans="1:8">
      <c r="A200" s="2">
        <v>199</v>
      </c>
      <c r="B200" s="2" t="s">
        <v>21</v>
      </c>
      <c r="C200" s="2" t="s">
        <v>16</v>
      </c>
      <c r="D200" s="2">
        <v>4</v>
      </c>
      <c r="E200" s="3">
        <v>57181</v>
      </c>
      <c r="F200" s="2" t="s">
        <v>28</v>
      </c>
      <c r="G200" s="2" t="s">
        <v>23</v>
      </c>
      <c r="H200">
        <f t="shared" si="3"/>
        <v>2859.05</v>
      </c>
    </row>
    <row r="201" spans="1:8">
      <c r="A201" s="2">
        <v>200</v>
      </c>
      <c r="B201" s="2" t="s">
        <v>76</v>
      </c>
      <c r="C201" s="2" t="s">
        <v>16</v>
      </c>
      <c r="D201" s="2">
        <v>18</v>
      </c>
      <c r="E201" s="3">
        <v>94661</v>
      </c>
      <c r="F201" s="2" t="s">
        <v>9</v>
      </c>
      <c r="G201" s="2" t="s">
        <v>26</v>
      </c>
      <c r="H201">
        <f t="shared" si="3"/>
        <v>4733.05</v>
      </c>
    </row>
    <row r="202" spans="1:8">
      <c r="A202" s="2">
        <v>201</v>
      </c>
      <c r="B202" s="2" t="s">
        <v>7</v>
      </c>
      <c r="C202" s="2" t="s">
        <v>12</v>
      </c>
      <c r="D202" s="2">
        <v>42</v>
      </c>
      <c r="E202" s="3">
        <v>57117</v>
      </c>
      <c r="F202" s="2" t="s">
        <v>17</v>
      </c>
      <c r="G202" s="2" t="s">
        <v>26</v>
      </c>
      <c r="H202">
        <f t="shared" si="3"/>
        <v>2855.8500000000004</v>
      </c>
    </row>
    <row r="203" spans="1:8">
      <c r="A203" s="2">
        <v>202</v>
      </c>
      <c r="B203" s="2" t="s">
        <v>45</v>
      </c>
      <c r="C203" s="2" t="s">
        <v>22</v>
      </c>
      <c r="D203" s="2">
        <v>9</v>
      </c>
      <c r="E203" s="3">
        <v>92239</v>
      </c>
      <c r="F203" s="2" t="s">
        <v>17</v>
      </c>
      <c r="G203" s="2" t="s">
        <v>26</v>
      </c>
      <c r="H203">
        <f t="shared" si="3"/>
        <v>4611.95</v>
      </c>
    </row>
    <row r="204" spans="1:8">
      <c r="A204" s="2">
        <v>203</v>
      </c>
      <c r="B204" s="2" t="s">
        <v>42</v>
      </c>
      <c r="C204" s="2" t="s">
        <v>8</v>
      </c>
      <c r="D204" s="2">
        <v>45</v>
      </c>
      <c r="E204" s="3">
        <v>99016</v>
      </c>
      <c r="F204" s="2" t="s">
        <v>25</v>
      </c>
      <c r="G204" s="2" t="s">
        <v>10</v>
      </c>
      <c r="H204">
        <f t="shared" si="3"/>
        <v>4950.8</v>
      </c>
    </row>
    <row r="205" spans="1:8">
      <c r="A205" s="2">
        <v>204</v>
      </c>
      <c r="B205" s="2" t="s">
        <v>58</v>
      </c>
      <c r="C205" s="2" t="s">
        <v>8</v>
      </c>
      <c r="D205" s="2">
        <v>9</v>
      </c>
      <c r="E205" s="3">
        <v>98275</v>
      </c>
      <c r="F205" s="2" t="s">
        <v>9</v>
      </c>
      <c r="G205" s="2" t="s">
        <v>23</v>
      </c>
      <c r="H205">
        <f t="shared" si="3"/>
        <v>4913.75</v>
      </c>
    </row>
    <row r="206" spans="1:8">
      <c r="A206" s="2">
        <v>205</v>
      </c>
      <c r="B206" s="2" t="s">
        <v>35</v>
      </c>
      <c r="C206" s="2" t="s">
        <v>12</v>
      </c>
      <c r="D206" s="2">
        <v>16</v>
      </c>
      <c r="E206" s="3">
        <v>87305</v>
      </c>
      <c r="F206" s="2" t="s">
        <v>13</v>
      </c>
      <c r="G206" s="2" t="s">
        <v>18</v>
      </c>
      <c r="H206">
        <f t="shared" si="3"/>
        <v>4365.25</v>
      </c>
    </row>
    <row r="207" spans="1:8">
      <c r="A207" s="2">
        <v>206</v>
      </c>
      <c r="B207" s="2" t="s">
        <v>69</v>
      </c>
      <c r="C207" s="2" t="s">
        <v>16</v>
      </c>
      <c r="D207" s="2">
        <v>10</v>
      </c>
      <c r="E207" s="3">
        <v>54003</v>
      </c>
      <c r="F207" s="2" t="s">
        <v>32</v>
      </c>
      <c r="G207" s="2" t="s">
        <v>18</v>
      </c>
      <c r="H207">
        <f t="shared" si="3"/>
        <v>2700.15</v>
      </c>
    </row>
    <row r="208" spans="1:8">
      <c r="A208" s="2">
        <v>207</v>
      </c>
      <c r="B208" s="2" t="s">
        <v>27</v>
      </c>
      <c r="C208" s="2" t="s">
        <v>22</v>
      </c>
      <c r="D208" s="2">
        <v>46</v>
      </c>
      <c r="E208" s="3">
        <v>75129</v>
      </c>
      <c r="F208" s="2" t="s">
        <v>13</v>
      </c>
      <c r="G208" s="2" t="s">
        <v>18</v>
      </c>
      <c r="H208">
        <f t="shared" si="3"/>
        <v>3756.4500000000003</v>
      </c>
    </row>
    <row r="209" spans="1:8">
      <c r="A209" s="2">
        <v>208</v>
      </c>
      <c r="B209" s="2" t="s">
        <v>39</v>
      </c>
      <c r="C209" s="2" t="s">
        <v>22</v>
      </c>
      <c r="D209" s="2">
        <v>21</v>
      </c>
      <c r="E209" s="3">
        <v>67432</v>
      </c>
      <c r="F209" s="2" t="s">
        <v>17</v>
      </c>
      <c r="G209" s="2" t="s">
        <v>29</v>
      </c>
      <c r="H209">
        <f t="shared" si="3"/>
        <v>3371.6000000000004</v>
      </c>
    </row>
    <row r="210" spans="1:8">
      <c r="A210" s="2">
        <v>209</v>
      </c>
      <c r="B210" s="2" t="s">
        <v>42</v>
      </c>
      <c r="C210" s="2" t="s">
        <v>8</v>
      </c>
      <c r="D210" s="2">
        <v>16</v>
      </c>
      <c r="E210" s="3">
        <v>89967</v>
      </c>
      <c r="F210" s="2" t="s">
        <v>17</v>
      </c>
      <c r="G210" s="2" t="s">
        <v>26</v>
      </c>
      <c r="H210">
        <f t="shared" si="3"/>
        <v>4498.3500000000004</v>
      </c>
    </row>
    <row r="211" spans="1:8">
      <c r="A211" s="2">
        <v>210</v>
      </c>
      <c r="B211" s="2" t="s">
        <v>62</v>
      </c>
      <c r="C211" s="2" t="s">
        <v>12</v>
      </c>
      <c r="D211" s="2">
        <v>49</v>
      </c>
      <c r="E211" s="3">
        <v>67295</v>
      </c>
      <c r="F211" s="2" t="s">
        <v>13</v>
      </c>
      <c r="G211" s="2" t="s">
        <v>26</v>
      </c>
      <c r="H211">
        <f t="shared" si="3"/>
        <v>3364.75</v>
      </c>
    </row>
    <row r="212" spans="1:8">
      <c r="A212" s="2">
        <v>211</v>
      </c>
      <c r="B212" s="2" t="s">
        <v>78</v>
      </c>
      <c r="C212" s="2" t="s">
        <v>12</v>
      </c>
      <c r="D212" s="2">
        <v>44</v>
      </c>
      <c r="E212" s="3">
        <v>85230</v>
      </c>
      <c r="F212" s="2" t="s">
        <v>28</v>
      </c>
      <c r="G212" s="2" t="s">
        <v>23</v>
      </c>
      <c r="H212">
        <f t="shared" si="3"/>
        <v>4261.5</v>
      </c>
    </row>
    <row r="213" spans="1:8">
      <c r="A213" s="2">
        <v>212</v>
      </c>
      <c r="B213" s="2" t="s">
        <v>42</v>
      </c>
      <c r="C213" s="2" t="s">
        <v>12</v>
      </c>
      <c r="D213" s="2">
        <v>26</v>
      </c>
      <c r="E213" s="3">
        <v>77228</v>
      </c>
      <c r="F213" s="2" t="s">
        <v>9</v>
      </c>
      <c r="G213" s="2" t="s">
        <v>14</v>
      </c>
      <c r="H213">
        <f t="shared" si="3"/>
        <v>3861.4</v>
      </c>
    </row>
    <row r="214" spans="1:8">
      <c r="A214" s="2">
        <v>213</v>
      </c>
      <c r="B214" s="2" t="s">
        <v>39</v>
      </c>
      <c r="C214" s="2" t="s">
        <v>12</v>
      </c>
      <c r="D214" s="2">
        <v>32</v>
      </c>
      <c r="E214" s="3">
        <v>43097</v>
      </c>
      <c r="F214" s="2" t="s">
        <v>25</v>
      </c>
      <c r="G214" s="2" t="s">
        <v>10</v>
      </c>
      <c r="H214">
        <f t="shared" si="3"/>
        <v>2154.85</v>
      </c>
    </row>
    <row r="215" spans="1:8">
      <c r="A215" s="2">
        <v>214</v>
      </c>
      <c r="B215" s="2" t="s">
        <v>91</v>
      </c>
      <c r="C215" s="2" t="s">
        <v>22</v>
      </c>
      <c r="D215" s="2">
        <v>10</v>
      </c>
      <c r="E215" s="3">
        <v>45479</v>
      </c>
      <c r="F215" s="2" t="s">
        <v>25</v>
      </c>
      <c r="G215" s="2" t="s">
        <v>23</v>
      </c>
      <c r="H215">
        <f t="shared" si="3"/>
        <v>2273.9500000000003</v>
      </c>
    </row>
    <row r="216" spans="1:8">
      <c r="A216" s="2">
        <v>215</v>
      </c>
      <c r="B216" s="2" t="s">
        <v>93</v>
      </c>
      <c r="C216" s="2" t="s">
        <v>16</v>
      </c>
      <c r="D216" s="2">
        <v>37</v>
      </c>
      <c r="E216" s="3">
        <v>55706</v>
      </c>
      <c r="F216" s="2" t="s">
        <v>32</v>
      </c>
      <c r="G216" s="2" t="s">
        <v>29</v>
      </c>
      <c r="H216">
        <f t="shared" si="3"/>
        <v>2785.3</v>
      </c>
    </row>
    <row r="217" spans="1:8">
      <c r="A217" s="2">
        <v>216</v>
      </c>
      <c r="B217" s="2" t="s">
        <v>63</v>
      </c>
      <c r="C217" s="2" t="s">
        <v>8</v>
      </c>
      <c r="D217" s="2">
        <v>41</v>
      </c>
      <c r="E217" s="3">
        <v>68832</v>
      </c>
      <c r="F217" s="2" t="s">
        <v>20</v>
      </c>
      <c r="G217" s="2" t="s">
        <v>14</v>
      </c>
      <c r="H217">
        <f t="shared" si="3"/>
        <v>3441.6000000000004</v>
      </c>
    </row>
    <row r="218" spans="1:8">
      <c r="A218" s="2">
        <v>217</v>
      </c>
      <c r="B218" s="2" t="s">
        <v>78</v>
      </c>
      <c r="C218" s="2" t="s">
        <v>22</v>
      </c>
      <c r="D218" s="2">
        <v>18</v>
      </c>
      <c r="E218" s="3">
        <v>52662</v>
      </c>
      <c r="F218" s="2" t="s">
        <v>28</v>
      </c>
      <c r="G218" s="2" t="s">
        <v>26</v>
      </c>
      <c r="H218">
        <f t="shared" si="3"/>
        <v>2633.1000000000004</v>
      </c>
    </row>
    <row r="219" spans="1:8">
      <c r="A219" s="2">
        <v>218</v>
      </c>
      <c r="B219" s="2" t="s">
        <v>42</v>
      </c>
      <c r="C219" s="2" t="s">
        <v>12</v>
      </c>
      <c r="D219" s="2">
        <v>41</v>
      </c>
      <c r="E219" s="3">
        <v>73970</v>
      </c>
      <c r="F219" s="2" t="s">
        <v>32</v>
      </c>
      <c r="G219" s="2" t="s">
        <v>10</v>
      </c>
      <c r="H219">
        <f t="shared" si="3"/>
        <v>3698.5</v>
      </c>
    </row>
    <row r="220" spans="1:8">
      <c r="A220" s="2">
        <v>219</v>
      </c>
      <c r="B220" s="2" t="s">
        <v>94</v>
      </c>
      <c r="C220" s="2" t="s">
        <v>12</v>
      </c>
      <c r="D220" s="2">
        <v>27</v>
      </c>
      <c r="E220" s="3">
        <v>72256</v>
      </c>
      <c r="F220" s="2" t="s">
        <v>13</v>
      </c>
      <c r="G220" s="2" t="s">
        <v>14</v>
      </c>
      <c r="H220">
        <f t="shared" si="3"/>
        <v>3612.8</v>
      </c>
    </row>
    <row r="221" spans="1:8">
      <c r="A221" s="2">
        <v>220</v>
      </c>
      <c r="B221" s="2" t="s">
        <v>79</v>
      </c>
      <c r="C221" s="2" t="s">
        <v>8</v>
      </c>
      <c r="D221" s="2">
        <v>25</v>
      </c>
      <c r="E221" s="3">
        <v>33476</v>
      </c>
      <c r="F221" s="2" t="s">
        <v>13</v>
      </c>
      <c r="G221" s="2" t="s">
        <v>10</v>
      </c>
      <c r="H221">
        <f t="shared" si="3"/>
        <v>1673.8000000000002</v>
      </c>
    </row>
    <row r="222" spans="1:8">
      <c r="A222" s="2">
        <v>221</v>
      </c>
      <c r="B222" s="2" t="s">
        <v>19</v>
      </c>
      <c r="C222" s="2" t="s">
        <v>16</v>
      </c>
      <c r="D222" s="2">
        <v>29</v>
      </c>
      <c r="E222" s="3">
        <v>46064</v>
      </c>
      <c r="F222" s="2" t="s">
        <v>32</v>
      </c>
      <c r="G222" s="2" t="s">
        <v>18</v>
      </c>
      <c r="H222">
        <f t="shared" si="3"/>
        <v>2303.2000000000003</v>
      </c>
    </row>
    <row r="223" spans="1:8">
      <c r="A223" s="2">
        <v>222</v>
      </c>
      <c r="B223" s="2" t="s">
        <v>51</v>
      </c>
      <c r="C223" s="2" t="s">
        <v>16</v>
      </c>
      <c r="D223" s="2">
        <v>5</v>
      </c>
      <c r="E223" s="3">
        <v>98433</v>
      </c>
      <c r="F223" s="2" t="s">
        <v>25</v>
      </c>
      <c r="G223" s="2" t="s">
        <v>26</v>
      </c>
      <c r="H223">
        <f t="shared" si="3"/>
        <v>4921.6500000000005</v>
      </c>
    </row>
    <row r="224" spans="1:8">
      <c r="A224" s="2">
        <v>223</v>
      </c>
      <c r="B224" s="2" t="s">
        <v>65</v>
      </c>
      <c r="C224" s="2" t="s">
        <v>16</v>
      </c>
      <c r="D224" s="2">
        <v>41</v>
      </c>
      <c r="E224" s="3">
        <v>29662</v>
      </c>
      <c r="F224" s="2" t="s">
        <v>25</v>
      </c>
      <c r="G224" s="2" t="s">
        <v>26</v>
      </c>
      <c r="H224">
        <f t="shared" si="3"/>
        <v>1483.1000000000001</v>
      </c>
    </row>
    <row r="225" spans="1:8">
      <c r="A225" s="2">
        <v>224</v>
      </c>
      <c r="B225" s="2" t="s">
        <v>59</v>
      </c>
      <c r="C225" s="2" t="s">
        <v>12</v>
      </c>
      <c r="D225" s="2">
        <v>50</v>
      </c>
      <c r="E225" s="3">
        <v>90387</v>
      </c>
      <c r="F225" s="2" t="s">
        <v>9</v>
      </c>
      <c r="G225" s="2" t="s">
        <v>26</v>
      </c>
      <c r="H225">
        <f t="shared" si="3"/>
        <v>4519.3500000000004</v>
      </c>
    </row>
    <row r="226" spans="1:8">
      <c r="A226" s="2">
        <v>225</v>
      </c>
      <c r="B226" s="2" t="s">
        <v>69</v>
      </c>
      <c r="C226" s="2" t="s">
        <v>22</v>
      </c>
      <c r="D226" s="2">
        <v>6</v>
      </c>
      <c r="E226" s="3">
        <v>26501</v>
      </c>
      <c r="F226" s="2" t="s">
        <v>38</v>
      </c>
      <c r="G226" s="2" t="s">
        <v>10</v>
      </c>
      <c r="H226">
        <f t="shared" si="3"/>
        <v>1325.0500000000002</v>
      </c>
    </row>
    <row r="227" spans="1:8">
      <c r="A227" s="2">
        <v>226</v>
      </c>
      <c r="B227" s="2" t="s">
        <v>74</v>
      </c>
      <c r="C227" s="2" t="s">
        <v>22</v>
      </c>
      <c r="D227" s="2">
        <v>26</v>
      </c>
      <c r="E227" s="3">
        <v>48383</v>
      </c>
      <c r="F227" s="2" t="s">
        <v>25</v>
      </c>
      <c r="G227" s="2" t="s">
        <v>10</v>
      </c>
      <c r="H227">
        <f t="shared" si="3"/>
        <v>2419.15</v>
      </c>
    </row>
    <row r="228" spans="1:8">
      <c r="A228" s="2">
        <v>227</v>
      </c>
      <c r="B228" s="2" t="s">
        <v>41</v>
      </c>
      <c r="C228" s="2" t="s">
        <v>16</v>
      </c>
      <c r="D228" s="2">
        <v>33</v>
      </c>
      <c r="E228" s="3">
        <v>52838</v>
      </c>
      <c r="F228" s="2" t="s">
        <v>13</v>
      </c>
      <c r="G228" s="2" t="s">
        <v>29</v>
      </c>
      <c r="H228">
        <f t="shared" si="3"/>
        <v>2641.9</v>
      </c>
    </row>
    <row r="229" spans="1:8">
      <c r="A229" s="2">
        <v>228</v>
      </c>
      <c r="B229" s="2" t="s">
        <v>94</v>
      </c>
      <c r="C229" s="2" t="s">
        <v>8</v>
      </c>
      <c r="D229" s="2">
        <v>48</v>
      </c>
      <c r="E229" s="3">
        <v>57828</v>
      </c>
      <c r="F229" s="2" t="s">
        <v>9</v>
      </c>
      <c r="G229" s="2" t="s">
        <v>29</v>
      </c>
      <c r="H229">
        <f t="shared" si="3"/>
        <v>2891.4</v>
      </c>
    </row>
    <row r="230" spans="1:8">
      <c r="A230" s="2">
        <v>229</v>
      </c>
      <c r="B230" s="2" t="s">
        <v>89</v>
      </c>
      <c r="C230" s="2" t="s">
        <v>16</v>
      </c>
      <c r="D230" s="2">
        <v>18</v>
      </c>
      <c r="E230" s="3">
        <v>25084</v>
      </c>
      <c r="F230" s="2" t="s">
        <v>25</v>
      </c>
      <c r="G230" s="2" t="s">
        <v>29</v>
      </c>
      <c r="H230">
        <f t="shared" si="3"/>
        <v>1254.2</v>
      </c>
    </row>
    <row r="231" spans="1:8">
      <c r="A231" s="2">
        <v>230</v>
      </c>
      <c r="B231" s="2" t="s">
        <v>7</v>
      </c>
      <c r="C231" s="2" t="s">
        <v>16</v>
      </c>
      <c r="D231" s="2">
        <v>45</v>
      </c>
      <c r="E231" s="3">
        <v>68863</v>
      </c>
      <c r="F231" s="2" t="s">
        <v>17</v>
      </c>
      <c r="G231" s="2" t="s">
        <v>23</v>
      </c>
      <c r="H231">
        <f t="shared" si="3"/>
        <v>3443.15</v>
      </c>
    </row>
    <row r="232" spans="1:8">
      <c r="A232" s="2">
        <v>231</v>
      </c>
      <c r="B232" s="2" t="s">
        <v>11</v>
      </c>
      <c r="C232" s="2" t="s">
        <v>8</v>
      </c>
      <c r="D232" s="2">
        <v>24</v>
      </c>
      <c r="E232" s="3">
        <v>50227</v>
      </c>
      <c r="F232" s="2" t="s">
        <v>9</v>
      </c>
      <c r="G232" s="2" t="s">
        <v>18</v>
      </c>
      <c r="H232">
        <f t="shared" si="3"/>
        <v>2511.3500000000004</v>
      </c>
    </row>
    <row r="233" spans="1:8">
      <c r="A233" s="2">
        <v>232</v>
      </c>
      <c r="B233" s="2" t="s">
        <v>34</v>
      </c>
      <c r="C233" s="2" t="s">
        <v>16</v>
      </c>
      <c r="D233" s="2">
        <v>30</v>
      </c>
      <c r="E233" s="3">
        <v>82825</v>
      </c>
      <c r="F233" s="2" t="s">
        <v>28</v>
      </c>
      <c r="G233" s="2" t="s">
        <v>18</v>
      </c>
      <c r="H233">
        <f t="shared" si="3"/>
        <v>4141.25</v>
      </c>
    </row>
    <row r="234" spans="1:8">
      <c r="A234" s="2">
        <v>233</v>
      </c>
      <c r="B234" s="2" t="s">
        <v>77</v>
      </c>
      <c r="C234" s="2" t="s">
        <v>8</v>
      </c>
      <c r="D234" s="2">
        <v>32</v>
      </c>
      <c r="E234" s="3">
        <v>38080</v>
      </c>
      <c r="F234" s="2" t="s">
        <v>28</v>
      </c>
      <c r="G234" s="2" t="s">
        <v>10</v>
      </c>
      <c r="H234">
        <f t="shared" si="3"/>
        <v>1904</v>
      </c>
    </row>
    <row r="235" spans="1:8">
      <c r="A235" s="2">
        <v>234</v>
      </c>
      <c r="B235" s="2" t="s">
        <v>58</v>
      </c>
      <c r="C235" s="2" t="s">
        <v>8</v>
      </c>
      <c r="D235" s="2">
        <v>21</v>
      </c>
      <c r="E235" s="3">
        <v>42649</v>
      </c>
      <c r="F235" s="2" t="s">
        <v>38</v>
      </c>
      <c r="G235" s="2" t="s">
        <v>29</v>
      </c>
      <c r="H235">
        <f t="shared" si="3"/>
        <v>2132.4500000000003</v>
      </c>
    </row>
    <row r="236" spans="1:8">
      <c r="A236" s="2">
        <v>235</v>
      </c>
      <c r="B236" s="2" t="s">
        <v>66</v>
      </c>
      <c r="C236" s="2" t="s">
        <v>22</v>
      </c>
      <c r="D236" s="2">
        <v>38</v>
      </c>
      <c r="E236" s="3">
        <v>56502</v>
      </c>
      <c r="F236" s="2" t="s">
        <v>13</v>
      </c>
      <c r="G236" s="2" t="s">
        <v>26</v>
      </c>
      <c r="H236">
        <f t="shared" si="3"/>
        <v>2825.1000000000004</v>
      </c>
    </row>
    <row r="237" spans="1:8">
      <c r="A237" s="2">
        <v>236</v>
      </c>
      <c r="B237" s="2" t="s">
        <v>19</v>
      </c>
      <c r="C237" s="2" t="s">
        <v>8</v>
      </c>
      <c r="D237" s="2">
        <v>1</v>
      </c>
      <c r="E237" s="3">
        <v>78599</v>
      </c>
      <c r="F237" s="2" t="s">
        <v>20</v>
      </c>
      <c r="G237" s="2" t="s">
        <v>26</v>
      </c>
      <c r="H237">
        <f t="shared" si="3"/>
        <v>3929.9500000000003</v>
      </c>
    </row>
    <row r="238" spans="1:8">
      <c r="A238" s="2">
        <v>237</v>
      </c>
      <c r="B238" s="2" t="s">
        <v>21</v>
      </c>
      <c r="C238" s="2" t="s">
        <v>16</v>
      </c>
      <c r="D238" s="2">
        <v>50</v>
      </c>
      <c r="E238" s="3">
        <v>27824</v>
      </c>
      <c r="F238" s="2" t="s">
        <v>25</v>
      </c>
      <c r="G238" s="2" t="s">
        <v>18</v>
      </c>
      <c r="H238">
        <f t="shared" si="3"/>
        <v>1391.2</v>
      </c>
    </row>
    <row r="239" spans="1:8">
      <c r="A239" s="2">
        <v>238</v>
      </c>
      <c r="B239" s="2" t="s">
        <v>61</v>
      </c>
      <c r="C239" s="2" t="s">
        <v>8</v>
      </c>
      <c r="D239" s="2">
        <v>47</v>
      </c>
      <c r="E239" s="3">
        <v>25018</v>
      </c>
      <c r="F239" s="2" t="s">
        <v>38</v>
      </c>
      <c r="G239" s="2" t="s">
        <v>18</v>
      </c>
      <c r="H239">
        <f t="shared" si="3"/>
        <v>1250.9000000000001</v>
      </c>
    </row>
    <row r="240" spans="1:8">
      <c r="A240" s="2">
        <v>239</v>
      </c>
      <c r="B240" s="2" t="s">
        <v>88</v>
      </c>
      <c r="C240" s="2" t="s">
        <v>16</v>
      </c>
      <c r="D240" s="2">
        <v>6</v>
      </c>
      <c r="E240" s="3">
        <v>90932</v>
      </c>
      <c r="F240" s="2" t="s">
        <v>32</v>
      </c>
      <c r="G240" s="2" t="s">
        <v>10</v>
      </c>
      <c r="H240">
        <f t="shared" si="3"/>
        <v>4546.6000000000004</v>
      </c>
    </row>
    <row r="241" spans="1:8">
      <c r="A241" s="2">
        <v>240</v>
      </c>
      <c r="B241" s="2" t="s">
        <v>24</v>
      </c>
      <c r="C241" s="2" t="s">
        <v>8</v>
      </c>
      <c r="D241" s="2">
        <v>47</v>
      </c>
      <c r="E241" s="3">
        <v>32893</v>
      </c>
      <c r="F241" s="2" t="s">
        <v>28</v>
      </c>
      <c r="G241" s="2" t="s">
        <v>10</v>
      </c>
      <c r="H241">
        <f t="shared" si="3"/>
        <v>1644.65</v>
      </c>
    </row>
    <row r="242" spans="1:8">
      <c r="A242" s="2">
        <v>241</v>
      </c>
      <c r="B242" s="2" t="s">
        <v>79</v>
      </c>
      <c r="C242" s="2" t="s">
        <v>22</v>
      </c>
      <c r="D242" s="2">
        <v>30</v>
      </c>
      <c r="E242" s="3">
        <v>38839</v>
      </c>
      <c r="F242" s="2" t="s">
        <v>9</v>
      </c>
      <c r="G242" s="2" t="s">
        <v>14</v>
      </c>
      <c r="H242">
        <f t="shared" si="3"/>
        <v>1941.95</v>
      </c>
    </row>
    <row r="243" spans="1:8">
      <c r="A243" s="2">
        <v>242</v>
      </c>
      <c r="B243" s="2" t="s">
        <v>46</v>
      </c>
      <c r="C243" s="2" t="s">
        <v>16</v>
      </c>
      <c r="D243" s="2">
        <v>41</v>
      </c>
      <c r="E243" s="3">
        <v>92963</v>
      </c>
      <c r="F243" s="2" t="s">
        <v>20</v>
      </c>
      <c r="G243" s="2" t="s">
        <v>14</v>
      </c>
      <c r="H243">
        <f t="shared" si="3"/>
        <v>4648.1500000000005</v>
      </c>
    </row>
    <row r="244" spans="1:8">
      <c r="A244" s="2">
        <v>243</v>
      </c>
      <c r="B244" s="2" t="s">
        <v>86</v>
      </c>
      <c r="C244" s="2" t="s">
        <v>16</v>
      </c>
      <c r="D244" s="2">
        <v>43</v>
      </c>
      <c r="E244" s="3">
        <v>34485</v>
      </c>
      <c r="F244" s="2" t="s">
        <v>9</v>
      </c>
      <c r="G244" s="2" t="s">
        <v>10</v>
      </c>
      <c r="H244">
        <f t="shared" si="3"/>
        <v>1724.25</v>
      </c>
    </row>
    <row r="245" spans="1:8">
      <c r="A245" s="2">
        <v>244</v>
      </c>
      <c r="B245" s="2" t="s">
        <v>84</v>
      </c>
      <c r="C245" s="2" t="s">
        <v>16</v>
      </c>
      <c r="D245" s="2">
        <v>45</v>
      </c>
      <c r="E245" s="3">
        <v>88620</v>
      </c>
      <c r="F245" s="2" t="s">
        <v>17</v>
      </c>
      <c r="G245" s="2" t="s">
        <v>14</v>
      </c>
      <c r="H245">
        <f t="shared" si="3"/>
        <v>4431</v>
      </c>
    </row>
    <row r="246" spans="1:8">
      <c r="A246" s="2">
        <v>245</v>
      </c>
      <c r="B246" s="2" t="s">
        <v>19</v>
      </c>
      <c r="C246" s="2" t="s">
        <v>8</v>
      </c>
      <c r="D246" s="2">
        <v>23</v>
      </c>
      <c r="E246" s="3">
        <v>42104</v>
      </c>
      <c r="F246" s="2" t="s">
        <v>28</v>
      </c>
      <c r="G246" s="2" t="s">
        <v>18</v>
      </c>
      <c r="H246">
        <f t="shared" si="3"/>
        <v>2105.2000000000003</v>
      </c>
    </row>
    <row r="247" spans="1:8">
      <c r="A247" s="2">
        <v>246</v>
      </c>
      <c r="B247" s="2" t="s">
        <v>51</v>
      </c>
      <c r="C247" s="2" t="s">
        <v>22</v>
      </c>
      <c r="D247" s="2">
        <v>5</v>
      </c>
      <c r="E247" s="3">
        <v>98195</v>
      </c>
      <c r="F247" s="2" t="s">
        <v>17</v>
      </c>
      <c r="G247" s="2" t="s">
        <v>10</v>
      </c>
      <c r="H247">
        <f t="shared" si="3"/>
        <v>4909.75</v>
      </c>
    </row>
    <row r="248" spans="1:8">
      <c r="A248" s="2">
        <v>247</v>
      </c>
      <c r="B248" s="2" t="s">
        <v>73</v>
      </c>
      <c r="C248" s="2" t="s">
        <v>22</v>
      </c>
      <c r="D248" s="2">
        <v>35</v>
      </c>
      <c r="E248" s="3">
        <v>38436</v>
      </c>
      <c r="F248" s="2" t="s">
        <v>17</v>
      </c>
      <c r="G248" s="2" t="s">
        <v>10</v>
      </c>
      <c r="H248">
        <f t="shared" si="3"/>
        <v>1921.8000000000002</v>
      </c>
    </row>
    <row r="249" spans="1:8">
      <c r="A249" s="2">
        <v>248</v>
      </c>
      <c r="B249" s="2" t="s">
        <v>61</v>
      </c>
      <c r="C249" s="2" t="s">
        <v>22</v>
      </c>
      <c r="D249" s="2">
        <v>26</v>
      </c>
      <c r="E249" s="3">
        <v>98049</v>
      </c>
      <c r="F249" s="2" t="s">
        <v>28</v>
      </c>
      <c r="G249" s="2" t="s">
        <v>29</v>
      </c>
      <c r="H249">
        <f t="shared" si="3"/>
        <v>4902.45</v>
      </c>
    </row>
    <row r="250" spans="1:8">
      <c r="A250" s="2">
        <v>249</v>
      </c>
      <c r="B250" s="2" t="s">
        <v>27</v>
      </c>
      <c r="C250" s="2" t="s">
        <v>22</v>
      </c>
      <c r="D250" s="2">
        <v>14</v>
      </c>
      <c r="E250" s="3">
        <v>71131</v>
      </c>
      <c r="F250" s="2" t="s">
        <v>17</v>
      </c>
      <c r="G250" s="2" t="s">
        <v>18</v>
      </c>
      <c r="H250">
        <f t="shared" si="3"/>
        <v>3556.55</v>
      </c>
    </row>
    <row r="251" spans="1:8">
      <c r="A251" s="2">
        <v>250</v>
      </c>
      <c r="B251" s="2" t="s">
        <v>76</v>
      </c>
      <c r="C251" s="2" t="s">
        <v>8</v>
      </c>
      <c r="D251" s="2">
        <v>28</v>
      </c>
      <c r="E251" s="3">
        <v>26796</v>
      </c>
      <c r="F251" s="2" t="s">
        <v>38</v>
      </c>
      <c r="G251" s="2" t="s">
        <v>18</v>
      </c>
      <c r="H251">
        <f t="shared" si="3"/>
        <v>1339.8000000000002</v>
      </c>
    </row>
    <row r="252" spans="1:8">
      <c r="A252" s="2">
        <v>251</v>
      </c>
      <c r="B252" s="2" t="s">
        <v>61</v>
      </c>
      <c r="C252" s="2" t="s">
        <v>16</v>
      </c>
      <c r="D252" s="2">
        <v>14</v>
      </c>
      <c r="E252" s="3">
        <v>60827</v>
      </c>
      <c r="F252" s="2" t="s">
        <v>13</v>
      </c>
      <c r="G252" s="2" t="s">
        <v>23</v>
      </c>
      <c r="H252">
        <f t="shared" si="3"/>
        <v>3041.3500000000004</v>
      </c>
    </row>
    <row r="253" spans="1:8">
      <c r="A253" s="2">
        <v>252</v>
      </c>
      <c r="B253" s="2" t="s">
        <v>76</v>
      </c>
      <c r="C253" s="2" t="s">
        <v>12</v>
      </c>
      <c r="D253" s="2">
        <v>32</v>
      </c>
      <c r="E253" s="3">
        <v>79735</v>
      </c>
      <c r="F253" s="2" t="s">
        <v>20</v>
      </c>
      <c r="G253" s="2" t="s">
        <v>23</v>
      </c>
      <c r="H253">
        <f t="shared" si="3"/>
        <v>3986.75</v>
      </c>
    </row>
    <row r="254" spans="1:8">
      <c r="A254" s="2">
        <v>253</v>
      </c>
      <c r="B254" s="2" t="s">
        <v>65</v>
      </c>
      <c r="C254" s="2" t="s">
        <v>22</v>
      </c>
      <c r="D254" s="2">
        <v>18</v>
      </c>
      <c r="E254" s="3">
        <v>71863</v>
      </c>
      <c r="F254" s="2" t="s">
        <v>17</v>
      </c>
      <c r="G254" s="2" t="s">
        <v>29</v>
      </c>
      <c r="H254">
        <f t="shared" si="3"/>
        <v>3593.15</v>
      </c>
    </row>
    <row r="255" spans="1:8">
      <c r="A255" s="2">
        <v>254</v>
      </c>
      <c r="B255" s="2" t="s">
        <v>64</v>
      </c>
      <c r="C255" s="2" t="s">
        <v>12</v>
      </c>
      <c r="D255" s="2">
        <v>21</v>
      </c>
      <c r="E255" s="3">
        <v>95516</v>
      </c>
      <c r="F255" s="2" t="s">
        <v>32</v>
      </c>
      <c r="G255" s="2" t="s">
        <v>23</v>
      </c>
      <c r="H255">
        <f t="shared" si="3"/>
        <v>4775.8</v>
      </c>
    </row>
    <row r="256" spans="1:8">
      <c r="A256" s="2">
        <v>255</v>
      </c>
      <c r="B256" s="2" t="s">
        <v>83</v>
      </c>
      <c r="C256" s="2" t="s">
        <v>8</v>
      </c>
      <c r="D256" s="2">
        <v>19</v>
      </c>
      <c r="E256" s="3">
        <v>65342</v>
      </c>
      <c r="F256" s="2" t="s">
        <v>25</v>
      </c>
      <c r="G256" s="2" t="s">
        <v>14</v>
      </c>
      <c r="H256">
        <f t="shared" si="3"/>
        <v>3267.1000000000004</v>
      </c>
    </row>
    <row r="257" spans="1:8">
      <c r="A257" s="2">
        <v>256</v>
      </c>
      <c r="B257" s="2" t="s">
        <v>41</v>
      </c>
      <c r="C257" s="2" t="s">
        <v>8</v>
      </c>
      <c r="D257" s="2">
        <v>22</v>
      </c>
      <c r="E257" s="3">
        <v>81383</v>
      </c>
      <c r="F257" s="2" t="s">
        <v>28</v>
      </c>
      <c r="G257" s="2" t="s">
        <v>10</v>
      </c>
      <c r="H257">
        <f t="shared" si="3"/>
        <v>4069.15</v>
      </c>
    </row>
    <row r="258" spans="1:8">
      <c r="A258" s="2">
        <v>257</v>
      </c>
      <c r="B258" s="2" t="s">
        <v>73</v>
      </c>
      <c r="C258" s="2" t="s">
        <v>12</v>
      </c>
      <c r="D258" s="2">
        <v>36</v>
      </c>
      <c r="E258" s="3">
        <v>44876</v>
      </c>
      <c r="F258" s="2" t="s">
        <v>17</v>
      </c>
      <c r="G258" s="2" t="s">
        <v>26</v>
      </c>
      <c r="H258">
        <f t="shared" si="3"/>
        <v>2243.8000000000002</v>
      </c>
    </row>
    <row r="259" spans="1:8">
      <c r="A259" s="2">
        <v>258</v>
      </c>
      <c r="B259" s="2" t="s">
        <v>43</v>
      </c>
      <c r="C259" s="2" t="s">
        <v>16</v>
      </c>
      <c r="D259" s="2">
        <v>37</v>
      </c>
      <c r="E259" s="3">
        <v>88731</v>
      </c>
      <c r="F259" s="2" t="s">
        <v>17</v>
      </c>
      <c r="G259" s="2" t="s">
        <v>14</v>
      </c>
      <c r="H259">
        <f t="shared" ref="H259:H322" si="4">E259*5%</f>
        <v>4436.55</v>
      </c>
    </row>
    <row r="260" spans="1:8">
      <c r="A260" s="2">
        <v>259</v>
      </c>
      <c r="B260" s="2" t="s">
        <v>19</v>
      </c>
      <c r="C260" s="2" t="s">
        <v>12</v>
      </c>
      <c r="D260" s="2">
        <v>9</v>
      </c>
      <c r="E260" s="3">
        <v>93357</v>
      </c>
      <c r="F260" s="2" t="s">
        <v>9</v>
      </c>
      <c r="G260" s="2" t="s">
        <v>18</v>
      </c>
      <c r="H260">
        <f t="shared" si="4"/>
        <v>4667.8500000000004</v>
      </c>
    </row>
    <row r="261" spans="1:8">
      <c r="A261" s="2">
        <v>260</v>
      </c>
      <c r="B261" s="2" t="s">
        <v>74</v>
      </c>
      <c r="C261" s="2" t="s">
        <v>8</v>
      </c>
      <c r="D261" s="2">
        <v>37</v>
      </c>
      <c r="E261" s="3">
        <v>86314</v>
      </c>
      <c r="F261" s="2" t="s">
        <v>9</v>
      </c>
      <c r="G261" s="2" t="s">
        <v>23</v>
      </c>
      <c r="H261">
        <f t="shared" si="4"/>
        <v>4315.7</v>
      </c>
    </row>
    <row r="262" spans="1:8">
      <c r="A262" s="2">
        <v>261</v>
      </c>
      <c r="B262" s="2" t="s">
        <v>11</v>
      </c>
      <c r="C262" s="2" t="s">
        <v>12</v>
      </c>
      <c r="D262" s="2">
        <v>32</v>
      </c>
      <c r="E262" s="3">
        <v>61492</v>
      </c>
      <c r="F262" s="2" t="s">
        <v>20</v>
      </c>
      <c r="G262" s="2" t="s">
        <v>26</v>
      </c>
      <c r="H262">
        <f t="shared" si="4"/>
        <v>3074.6000000000004</v>
      </c>
    </row>
    <row r="263" spans="1:8">
      <c r="A263" s="2">
        <v>262</v>
      </c>
      <c r="B263" s="2" t="s">
        <v>72</v>
      </c>
      <c r="C263" s="2" t="s">
        <v>22</v>
      </c>
      <c r="D263" s="2">
        <v>22</v>
      </c>
      <c r="E263" s="3">
        <v>93283</v>
      </c>
      <c r="F263" s="2" t="s">
        <v>13</v>
      </c>
      <c r="G263" s="2" t="s">
        <v>14</v>
      </c>
      <c r="H263">
        <f t="shared" si="4"/>
        <v>4664.1500000000005</v>
      </c>
    </row>
    <row r="264" spans="1:8">
      <c r="A264" s="2">
        <v>263</v>
      </c>
      <c r="B264" s="2" t="s">
        <v>34</v>
      </c>
      <c r="C264" s="2" t="s">
        <v>22</v>
      </c>
      <c r="D264" s="2">
        <v>44</v>
      </c>
      <c r="E264" s="3">
        <v>45648</v>
      </c>
      <c r="F264" s="2" t="s">
        <v>28</v>
      </c>
      <c r="G264" s="2" t="s">
        <v>18</v>
      </c>
      <c r="H264">
        <f t="shared" si="4"/>
        <v>2282.4</v>
      </c>
    </row>
    <row r="265" spans="1:8">
      <c r="A265" s="2">
        <v>264</v>
      </c>
      <c r="B265" s="2" t="s">
        <v>76</v>
      </c>
      <c r="C265" s="2" t="s">
        <v>16</v>
      </c>
      <c r="D265" s="2">
        <v>49</v>
      </c>
      <c r="E265" s="3">
        <v>70747</v>
      </c>
      <c r="F265" s="2" t="s">
        <v>9</v>
      </c>
      <c r="G265" s="2" t="s">
        <v>23</v>
      </c>
      <c r="H265">
        <f t="shared" si="4"/>
        <v>3537.3500000000004</v>
      </c>
    </row>
    <row r="266" spans="1:8">
      <c r="A266" s="2">
        <v>265</v>
      </c>
      <c r="B266" s="2" t="s">
        <v>47</v>
      </c>
      <c r="C266" s="2" t="s">
        <v>12</v>
      </c>
      <c r="D266" s="2">
        <v>4</v>
      </c>
      <c r="E266" s="3">
        <v>29398</v>
      </c>
      <c r="F266" s="2" t="s">
        <v>25</v>
      </c>
      <c r="G266" s="2" t="s">
        <v>10</v>
      </c>
      <c r="H266">
        <f t="shared" si="4"/>
        <v>1469.9</v>
      </c>
    </row>
    <row r="267" spans="1:8">
      <c r="A267" s="2">
        <v>266</v>
      </c>
      <c r="B267" s="2" t="s">
        <v>70</v>
      </c>
      <c r="C267" s="2" t="s">
        <v>12</v>
      </c>
      <c r="D267" s="2">
        <v>3</v>
      </c>
      <c r="E267" s="3">
        <v>90816</v>
      </c>
      <c r="F267" s="2" t="s">
        <v>25</v>
      </c>
      <c r="G267" s="2" t="s">
        <v>10</v>
      </c>
      <c r="H267">
        <f t="shared" si="4"/>
        <v>4540.8</v>
      </c>
    </row>
    <row r="268" spans="1:8">
      <c r="A268" s="2">
        <v>267</v>
      </c>
      <c r="B268" s="2" t="s">
        <v>84</v>
      </c>
      <c r="C268" s="2" t="s">
        <v>12</v>
      </c>
      <c r="D268" s="2">
        <v>7</v>
      </c>
      <c r="E268" s="3">
        <v>74924</v>
      </c>
      <c r="F268" s="2" t="s">
        <v>17</v>
      </c>
      <c r="G268" s="2" t="s">
        <v>23</v>
      </c>
      <c r="H268">
        <f t="shared" si="4"/>
        <v>3746.2000000000003</v>
      </c>
    </row>
    <row r="269" spans="1:8">
      <c r="A269" s="2">
        <v>268</v>
      </c>
      <c r="B269" s="2" t="s">
        <v>49</v>
      </c>
      <c r="C269" s="2" t="s">
        <v>12</v>
      </c>
      <c r="D269" s="2">
        <v>41</v>
      </c>
      <c r="E269" s="3">
        <v>97884</v>
      </c>
      <c r="F269" s="2" t="s">
        <v>13</v>
      </c>
      <c r="G269" s="2" t="s">
        <v>10</v>
      </c>
      <c r="H269">
        <f t="shared" si="4"/>
        <v>4894.2</v>
      </c>
    </row>
    <row r="270" spans="1:8">
      <c r="A270" s="2">
        <v>269</v>
      </c>
      <c r="B270" s="2" t="s">
        <v>47</v>
      </c>
      <c r="C270" s="2" t="s">
        <v>16</v>
      </c>
      <c r="D270" s="2">
        <v>30</v>
      </c>
      <c r="E270" s="3">
        <v>94616</v>
      </c>
      <c r="F270" s="2" t="s">
        <v>13</v>
      </c>
      <c r="G270" s="2" t="s">
        <v>29</v>
      </c>
      <c r="H270">
        <f t="shared" si="4"/>
        <v>4730.8</v>
      </c>
    </row>
    <row r="271" spans="1:8">
      <c r="A271" s="2">
        <v>270</v>
      </c>
      <c r="B271" s="2" t="s">
        <v>30</v>
      </c>
      <c r="C271" s="2" t="s">
        <v>8</v>
      </c>
      <c r="D271" s="2">
        <v>2</v>
      </c>
      <c r="E271" s="3">
        <v>49629</v>
      </c>
      <c r="F271" s="2" t="s">
        <v>20</v>
      </c>
      <c r="G271" s="2" t="s">
        <v>23</v>
      </c>
      <c r="H271">
        <f t="shared" si="4"/>
        <v>2481.4500000000003</v>
      </c>
    </row>
    <row r="272" spans="1:8">
      <c r="A272" s="2">
        <v>271</v>
      </c>
      <c r="B272" s="2" t="s">
        <v>94</v>
      </c>
      <c r="C272" s="2" t="s">
        <v>16</v>
      </c>
      <c r="D272" s="2">
        <v>8</v>
      </c>
      <c r="E272" s="3">
        <v>52443</v>
      </c>
      <c r="F272" s="2" t="s">
        <v>20</v>
      </c>
      <c r="G272" s="2" t="s">
        <v>29</v>
      </c>
      <c r="H272">
        <f t="shared" si="4"/>
        <v>2622.15</v>
      </c>
    </row>
    <row r="273" spans="1:8">
      <c r="A273" s="2">
        <v>272</v>
      </c>
      <c r="B273" s="2" t="s">
        <v>50</v>
      </c>
      <c r="C273" s="2" t="s">
        <v>8</v>
      </c>
      <c r="D273" s="2">
        <v>11</v>
      </c>
      <c r="E273" s="3">
        <v>61083</v>
      </c>
      <c r="F273" s="2" t="s">
        <v>25</v>
      </c>
      <c r="G273" s="2" t="s">
        <v>23</v>
      </c>
      <c r="H273">
        <f t="shared" si="4"/>
        <v>3054.15</v>
      </c>
    </row>
    <row r="274" spans="1:8">
      <c r="A274" s="2">
        <v>273</v>
      </c>
      <c r="B274" s="2" t="s">
        <v>21</v>
      </c>
      <c r="C274" s="2" t="s">
        <v>8</v>
      </c>
      <c r="D274" s="2">
        <v>29</v>
      </c>
      <c r="E274" s="3">
        <v>51383</v>
      </c>
      <c r="F274" s="2" t="s">
        <v>17</v>
      </c>
      <c r="G274" s="2" t="s">
        <v>29</v>
      </c>
      <c r="H274">
        <f t="shared" si="4"/>
        <v>2569.15</v>
      </c>
    </row>
    <row r="275" spans="1:8">
      <c r="A275" s="2">
        <v>274</v>
      </c>
      <c r="B275" s="2" t="s">
        <v>49</v>
      </c>
      <c r="C275" s="2" t="s">
        <v>8</v>
      </c>
      <c r="D275" s="2">
        <v>30</v>
      </c>
      <c r="E275" s="3">
        <v>99447</v>
      </c>
      <c r="F275" s="2" t="s">
        <v>32</v>
      </c>
      <c r="G275" s="2" t="s">
        <v>10</v>
      </c>
      <c r="H275">
        <f t="shared" si="4"/>
        <v>4972.3500000000004</v>
      </c>
    </row>
    <row r="276" spans="1:8">
      <c r="A276" s="2">
        <v>275</v>
      </c>
      <c r="B276" s="2" t="s">
        <v>64</v>
      </c>
      <c r="C276" s="2" t="s">
        <v>12</v>
      </c>
      <c r="D276" s="2">
        <v>1</v>
      </c>
      <c r="E276" s="3">
        <v>31339</v>
      </c>
      <c r="F276" s="2" t="s">
        <v>17</v>
      </c>
      <c r="G276" s="2" t="s">
        <v>10</v>
      </c>
      <c r="H276">
        <f t="shared" si="4"/>
        <v>1566.95</v>
      </c>
    </row>
    <row r="277" spans="1:8">
      <c r="A277" s="2">
        <v>276</v>
      </c>
      <c r="B277" s="2" t="s">
        <v>89</v>
      </c>
      <c r="C277" s="2" t="s">
        <v>16</v>
      </c>
      <c r="D277" s="2">
        <v>28</v>
      </c>
      <c r="E277" s="3">
        <v>48417</v>
      </c>
      <c r="F277" s="2" t="s">
        <v>17</v>
      </c>
      <c r="G277" s="2" t="s">
        <v>14</v>
      </c>
      <c r="H277">
        <f t="shared" si="4"/>
        <v>2420.85</v>
      </c>
    </row>
    <row r="278" spans="1:8">
      <c r="A278" s="2">
        <v>277</v>
      </c>
      <c r="B278" s="2" t="s">
        <v>93</v>
      </c>
      <c r="C278" s="2" t="s">
        <v>8</v>
      </c>
      <c r="D278" s="2">
        <v>13</v>
      </c>
      <c r="E278" s="3">
        <v>96242</v>
      </c>
      <c r="F278" s="2" t="s">
        <v>28</v>
      </c>
      <c r="G278" s="2" t="s">
        <v>18</v>
      </c>
      <c r="H278">
        <f t="shared" si="4"/>
        <v>4812.1000000000004</v>
      </c>
    </row>
    <row r="279" spans="1:8">
      <c r="A279" s="2">
        <v>278</v>
      </c>
      <c r="B279" s="2" t="s">
        <v>81</v>
      </c>
      <c r="C279" s="2" t="s">
        <v>22</v>
      </c>
      <c r="D279" s="2">
        <v>45</v>
      </c>
      <c r="E279" s="3">
        <v>84957</v>
      </c>
      <c r="F279" s="2" t="s">
        <v>28</v>
      </c>
      <c r="G279" s="2" t="s">
        <v>29</v>
      </c>
      <c r="H279">
        <f t="shared" si="4"/>
        <v>4247.8500000000004</v>
      </c>
    </row>
    <row r="280" spans="1:8">
      <c r="A280" s="2">
        <v>279</v>
      </c>
      <c r="B280" s="2" t="s">
        <v>11</v>
      </c>
      <c r="C280" s="2" t="s">
        <v>8</v>
      </c>
      <c r="D280" s="2">
        <v>9</v>
      </c>
      <c r="E280" s="3">
        <v>90124</v>
      </c>
      <c r="F280" s="2" t="s">
        <v>13</v>
      </c>
      <c r="G280" s="2" t="s">
        <v>26</v>
      </c>
      <c r="H280">
        <f t="shared" si="4"/>
        <v>4506.2</v>
      </c>
    </row>
    <row r="281" spans="1:8">
      <c r="A281" s="2">
        <v>280</v>
      </c>
      <c r="B281" s="2" t="s">
        <v>69</v>
      </c>
      <c r="C281" s="2" t="s">
        <v>16</v>
      </c>
      <c r="D281" s="2">
        <v>42</v>
      </c>
      <c r="E281" s="3">
        <v>96537</v>
      </c>
      <c r="F281" s="2" t="s">
        <v>28</v>
      </c>
      <c r="G281" s="2" t="s">
        <v>23</v>
      </c>
      <c r="H281">
        <f t="shared" si="4"/>
        <v>4826.8500000000004</v>
      </c>
    </row>
    <row r="282" spans="1:8">
      <c r="A282" s="2">
        <v>281</v>
      </c>
      <c r="B282" s="2" t="s">
        <v>35</v>
      </c>
      <c r="C282" s="2" t="s">
        <v>12</v>
      </c>
      <c r="D282" s="2">
        <v>20</v>
      </c>
      <c r="E282" s="3">
        <v>89798</v>
      </c>
      <c r="F282" s="2" t="s">
        <v>9</v>
      </c>
      <c r="G282" s="2" t="s">
        <v>10</v>
      </c>
      <c r="H282">
        <f t="shared" si="4"/>
        <v>4489.9000000000005</v>
      </c>
    </row>
    <row r="283" spans="1:8">
      <c r="A283" s="2">
        <v>282</v>
      </c>
      <c r="B283" s="2" t="s">
        <v>36</v>
      </c>
      <c r="C283" s="2" t="s">
        <v>22</v>
      </c>
      <c r="D283" s="2">
        <v>11</v>
      </c>
      <c r="E283" s="3">
        <v>80433</v>
      </c>
      <c r="F283" s="2" t="s">
        <v>17</v>
      </c>
      <c r="G283" s="2" t="s">
        <v>10</v>
      </c>
      <c r="H283">
        <f t="shared" si="4"/>
        <v>4021.65</v>
      </c>
    </row>
    <row r="284" spans="1:8">
      <c r="A284" s="2">
        <v>283</v>
      </c>
      <c r="B284" s="2" t="s">
        <v>54</v>
      </c>
      <c r="C284" s="2" t="s">
        <v>8</v>
      </c>
      <c r="D284" s="2">
        <v>18</v>
      </c>
      <c r="E284" s="3">
        <v>87680</v>
      </c>
      <c r="F284" s="2" t="s">
        <v>9</v>
      </c>
      <c r="G284" s="2" t="s">
        <v>23</v>
      </c>
      <c r="H284">
        <f t="shared" si="4"/>
        <v>4384</v>
      </c>
    </row>
    <row r="285" spans="1:8">
      <c r="A285" s="2">
        <v>284</v>
      </c>
      <c r="B285" s="2" t="s">
        <v>78</v>
      </c>
      <c r="C285" s="2" t="s">
        <v>12</v>
      </c>
      <c r="D285" s="2">
        <v>6</v>
      </c>
      <c r="E285" s="3">
        <v>43108</v>
      </c>
      <c r="F285" s="2" t="s">
        <v>13</v>
      </c>
      <c r="G285" s="2" t="s">
        <v>18</v>
      </c>
      <c r="H285">
        <f t="shared" si="4"/>
        <v>2155.4</v>
      </c>
    </row>
    <row r="286" spans="1:8">
      <c r="A286" s="2">
        <v>285</v>
      </c>
      <c r="B286" s="2" t="s">
        <v>61</v>
      </c>
      <c r="C286" s="2" t="s">
        <v>16</v>
      </c>
      <c r="D286" s="2">
        <v>42</v>
      </c>
      <c r="E286" s="3">
        <v>37940</v>
      </c>
      <c r="F286" s="2" t="s">
        <v>25</v>
      </c>
      <c r="G286" s="2" t="s">
        <v>23</v>
      </c>
      <c r="H286">
        <f t="shared" si="4"/>
        <v>1897</v>
      </c>
    </row>
    <row r="287" spans="1:8">
      <c r="A287" s="2">
        <v>286</v>
      </c>
      <c r="B287" s="2" t="s">
        <v>57</v>
      </c>
      <c r="C287" s="2" t="s">
        <v>16</v>
      </c>
      <c r="D287" s="2">
        <v>24</v>
      </c>
      <c r="E287" s="3">
        <v>85761</v>
      </c>
      <c r="F287" s="2" t="s">
        <v>25</v>
      </c>
      <c r="G287" s="2" t="s">
        <v>26</v>
      </c>
      <c r="H287">
        <f t="shared" si="4"/>
        <v>4288.05</v>
      </c>
    </row>
    <row r="288" spans="1:8">
      <c r="A288" s="2">
        <v>287</v>
      </c>
      <c r="B288" s="2" t="s">
        <v>72</v>
      </c>
      <c r="C288" s="2" t="s">
        <v>22</v>
      </c>
      <c r="D288" s="2">
        <v>17</v>
      </c>
      <c r="E288" s="3">
        <v>72289</v>
      </c>
      <c r="F288" s="2" t="s">
        <v>38</v>
      </c>
      <c r="G288" s="2" t="s">
        <v>29</v>
      </c>
      <c r="H288">
        <f t="shared" si="4"/>
        <v>3614.4500000000003</v>
      </c>
    </row>
    <row r="289" spans="1:8">
      <c r="A289" s="2">
        <v>288</v>
      </c>
      <c r="B289" s="2" t="s">
        <v>45</v>
      </c>
      <c r="C289" s="2" t="s">
        <v>22</v>
      </c>
      <c r="D289" s="2">
        <v>6</v>
      </c>
      <c r="E289" s="3">
        <v>54963</v>
      </c>
      <c r="F289" s="2" t="s">
        <v>25</v>
      </c>
      <c r="G289" s="2" t="s">
        <v>29</v>
      </c>
      <c r="H289">
        <f t="shared" si="4"/>
        <v>2748.15</v>
      </c>
    </row>
    <row r="290" spans="1:8">
      <c r="A290" s="2">
        <v>289</v>
      </c>
      <c r="B290" s="2" t="s">
        <v>30</v>
      </c>
      <c r="C290" s="2" t="s">
        <v>8</v>
      </c>
      <c r="D290" s="2">
        <v>24</v>
      </c>
      <c r="E290" s="3">
        <v>92672</v>
      </c>
      <c r="F290" s="2" t="s">
        <v>32</v>
      </c>
      <c r="G290" s="2" t="s">
        <v>26</v>
      </c>
      <c r="H290">
        <f t="shared" si="4"/>
        <v>4633.6000000000004</v>
      </c>
    </row>
    <row r="291" spans="1:8">
      <c r="A291" s="2">
        <v>290</v>
      </c>
      <c r="B291" s="2" t="s">
        <v>65</v>
      </c>
      <c r="C291" s="2" t="s">
        <v>12</v>
      </c>
      <c r="D291" s="2">
        <v>43</v>
      </c>
      <c r="E291" s="3">
        <v>59509</v>
      </c>
      <c r="F291" s="2" t="s">
        <v>28</v>
      </c>
      <c r="G291" s="2" t="s">
        <v>26</v>
      </c>
      <c r="H291">
        <f t="shared" si="4"/>
        <v>2975.4500000000003</v>
      </c>
    </row>
    <row r="292" spans="1:8">
      <c r="A292" s="2">
        <v>291</v>
      </c>
      <c r="B292" s="2" t="s">
        <v>24</v>
      </c>
      <c r="C292" s="2" t="s">
        <v>12</v>
      </c>
      <c r="D292" s="2">
        <v>42</v>
      </c>
      <c r="E292" s="3">
        <v>49477</v>
      </c>
      <c r="F292" s="2" t="s">
        <v>20</v>
      </c>
      <c r="G292" s="2" t="s">
        <v>14</v>
      </c>
      <c r="H292">
        <f t="shared" si="4"/>
        <v>2473.8500000000004</v>
      </c>
    </row>
    <row r="293" spans="1:8">
      <c r="A293" s="2">
        <v>292</v>
      </c>
      <c r="B293" s="2" t="s">
        <v>60</v>
      </c>
      <c r="C293" s="2" t="s">
        <v>16</v>
      </c>
      <c r="D293" s="2">
        <v>11</v>
      </c>
      <c r="E293" s="3">
        <v>37407</v>
      </c>
      <c r="F293" s="2" t="s">
        <v>32</v>
      </c>
      <c r="G293" s="2" t="s">
        <v>26</v>
      </c>
      <c r="H293">
        <f t="shared" si="4"/>
        <v>1870.3500000000001</v>
      </c>
    </row>
    <row r="294" spans="1:8">
      <c r="A294" s="2">
        <v>293</v>
      </c>
      <c r="B294" s="2" t="s">
        <v>90</v>
      </c>
      <c r="C294" s="2" t="s">
        <v>16</v>
      </c>
      <c r="D294" s="2">
        <v>4</v>
      </c>
      <c r="E294" s="3">
        <v>40727</v>
      </c>
      <c r="F294" s="2" t="s">
        <v>25</v>
      </c>
      <c r="G294" s="2" t="s">
        <v>26</v>
      </c>
      <c r="H294">
        <f t="shared" si="4"/>
        <v>2036.3500000000001</v>
      </c>
    </row>
    <row r="295" spans="1:8">
      <c r="A295" s="2">
        <v>294</v>
      </c>
      <c r="B295" s="2" t="s">
        <v>60</v>
      </c>
      <c r="C295" s="2" t="s">
        <v>8</v>
      </c>
      <c r="D295" s="2">
        <v>26</v>
      </c>
      <c r="E295" s="3">
        <v>62927</v>
      </c>
      <c r="F295" s="2" t="s">
        <v>13</v>
      </c>
      <c r="G295" s="2" t="s">
        <v>23</v>
      </c>
      <c r="H295">
        <f t="shared" si="4"/>
        <v>3146.3500000000004</v>
      </c>
    </row>
    <row r="296" spans="1:8">
      <c r="A296" s="2">
        <v>295</v>
      </c>
      <c r="B296" s="2" t="s">
        <v>66</v>
      </c>
      <c r="C296" s="2" t="s">
        <v>8</v>
      </c>
      <c r="D296" s="2">
        <v>41</v>
      </c>
      <c r="E296" s="3">
        <v>67739</v>
      </c>
      <c r="F296" s="2" t="s">
        <v>20</v>
      </c>
      <c r="G296" s="2" t="s">
        <v>10</v>
      </c>
      <c r="H296">
        <f t="shared" si="4"/>
        <v>3386.9500000000003</v>
      </c>
    </row>
    <row r="297" spans="1:8">
      <c r="A297" s="2">
        <v>296</v>
      </c>
      <c r="B297" s="2" t="s">
        <v>74</v>
      </c>
      <c r="C297" s="2" t="s">
        <v>16</v>
      </c>
      <c r="D297" s="2">
        <v>20</v>
      </c>
      <c r="E297" s="3">
        <v>98155</v>
      </c>
      <c r="F297" s="2" t="s">
        <v>20</v>
      </c>
      <c r="G297" s="2" t="s">
        <v>14</v>
      </c>
      <c r="H297">
        <f t="shared" si="4"/>
        <v>4907.75</v>
      </c>
    </row>
    <row r="298" spans="1:8">
      <c r="A298" s="2">
        <v>297</v>
      </c>
      <c r="B298" s="2" t="s">
        <v>65</v>
      </c>
      <c r="C298" s="2" t="s">
        <v>16</v>
      </c>
      <c r="D298" s="2">
        <v>47</v>
      </c>
      <c r="E298" s="3">
        <v>27038</v>
      </c>
      <c r="F298" s="2" t="s">
        <v>20</v>
      </c>
      <c r="G298" s="2" t="s">
        <v>23</v>
      </c>
      <c r="H298">
        <f t="shared" si="4"/>
        <v>1351.9</v>
      </c>
    </row>
    <row r="299" spans="1:8">
      <c r="A299" s="2">
        <v>298</v>
      </c>
      <c r="B299" s="2" t="s">
        <v>93</v>
      </c>
      <c r="C299" s="2" t="s">
        <v>12</v>
      </c>
      <c r="D299" s="2">
        <v>45</v>
      </c>
      <c r="E299" s="3">
        <v>92378</v>
      </c>
      <c r="F299" s="2" t="s">
        <v>9</v>
      </c>
      <c r="G299" s="2" t="s">
        <v>23</v>
      </c>
      <c r="H299">
        <f t="shared" si="4"/>
        <v>4618.9000000000005</v>
      </c>
    </row>
    <row r="300" spans="1:8">
      <c r="A300" s="2">
        <v>299</v>
      </c>
      <c r="B300" s="2" t="s">
        <v>19</v>
      </c>
      <c r="C300" s="2" t="s">
        <v>12</v>
      </c>
      <c r="D300" s="2">
        <v>49</v>
      </c>
      <c r="E300" s="3">
        <v>25648</v>
      </c>
      <c r="F300" s="2" t="s">
        <v>38</v>
      </c>
      <c r="G300" s="2" t="s">
        <v>10</v>
      </c>
      <c r="H300">
        <f t="shared" si="4"/>
        <v>1282.4000000000001</v>
      </c>
    </row>
    <row r="301" spans="1:8">
      <c r="A301" s="2">
        <v>300</v>
      </c>
      <c r="B301" s="2" t="s">
        <v>71</v>
      </c>
      <c r="C301" s="2" t="s">
        <v>12</v>
      </c>
      <c r="D301" s="2">
        <v>15</v>
      </c>
      <c r="E301" s="3">
        <v>53396</v>
      </c>
      <c r="F301" s="2" t="s">
        <v>38</v>
      </c>
      <c r="G301" s="2" t="s">
        <v>18</v>
      </c>
      <c r="H301">
        <f t="shared" si="4"/>
        <v>2669.8</v>
      </c>
    </row>
    <row r="302" spans="1:8">
      <c r="A302" s="2">
        <v>301</v>
      </c>
      <c r="B302" s="2" t="s">
        <v>93</v>
      </c>
      <c r="C302" s="2" t="s">
        <v>8</v>
      </c>
      <c r="D302" s="2">
        <v>28</v>
      </c>
      <c r="E302" s="3">
        <v>53552</v>
      </c>
      <c r="F302" s="2" t="s">
        <v>13</v>
      </c>
      <c r="G302" s="2" t="s">
        <v>23</v>
      </c>
      <c r="H302">
        <f t="shared" si="4"/>
        <v>2677.6000000000004</v>
      </c>
    </row>
    <row r="303" spans="1:8">
      <c r="A303" s="2">
        <v>302</v>
      </c>
      <c r="B303" s="2" t="s">
        <v>89</v>
      </c>
      <c r="C303" s="2" t="s">
        <v>12</v>
      </c>
      <c r="D303" s="2">
        <v>42</v>
      </c>
      <c r="E303" s="3">
        <v>93371</v>
      </c>
      <c r="F303" s="2" t="s">
        <v>20</v>
      </c>
      <c r="G303" s="2" t="s">
        <v>14</v>
      </c>
      <c r="H303">
        <f t="shared" si="4"/>
        <v>4668.55</v>
      </c>
    </row>
    <row r="304" spans="1:8">
      <c r="A304" s="2">
        <v>303</v>
      </c>
      <c r="B304" s="2" t="s">
        <v>93</v>
      </c>
      <c r="C304" s="2" t="s">
        <v>22</v>
      </c>
      <c r="D304" s="2">
        <v>6</v>
      </c>
      <c r="E304" s="3">
        <v>90334</v>
      </c>
      <c r="F304" s="2" t="s">
        <v>20</v>
      </c>
      <c r="G304" s="2" t="s">
        <v>10</v>
      </c>
      <c r="H304">
        <f t="shared" si="4"/>
        <v>4516.7</v>
      </c>
    </row>
    <row r="305" spans="1:8">
      <c r="A305" s="2">
        <v>304</v>
      </c>
      <c r="B305" s="2" t="s">
        <v>51</v>
      </c>
      <c r="C305" s="2" t="s">
        <v>22</v>
      </c>
      <c r="D305" s="2">
        <v>46</v>
      </c>
      <c r="E305" s="3">
        <v>97968</v>
      </c>
      <c r="F305" s="2" t="s">
        <v>28</v>
      </c>
      <c r="G305" s="2" t="s">
        <v>29</v>
      </c>
      <c r="H305">
        <f t="shared" si="4"/>
        <v>4898.4000000000005</v>
      </c>
    </row>
    <row r="306" spans="1:8">
      <c r="A306" s="2">
        <v>305</v>
      </c>
      <c r="B306" s="2" t="s">
        <v>82</v>
      </c>
      <c r="C306" s="2" t="s">
        <v>12</v>
      </c>
      <c r="D306" s="2">
        <v>7</v>
      </c>
      <c r="E306" s="3">
        <v>56101</v>
      </c>
      <c r="F306" s="2" t="s">
        <v>25</v>
      </c>
      <c r="G306" s="2" t="s">
        <v>18</v>
      </c>
      <c r="H306">
        <f t="shared" si="4"/>
        <v>2805.05</v>
      </c>
    </row>
    <row r="307" spans="1:8">
      <c r="A307" s="2">
        <v>306</v>
      </c>
      <c r="B307" s="2" t="s">
        <v>33</v>
      </c>
      <c r="C307" s="2" t="s">
        <v>12</v>
      </c>
      <c r="D307" s="2">
        <v>1</v>
      </c>
      <c r="E307" s="3">
        <v>43664</v>
      </c>
      <c r="F307" s="2" t="s">
        <v>20</v>
      </c>
      <c r="G307" s="2" t="s">
        <v>10</v>
      </c>
      <c r="H307">
        <f t="shared" si="4"/>
        <v>2183.2000000000003</v>
      </c>
    </row>
    <row r="308" spans="1:8">
      <c r="A308" s="2">
        <v>307</v>
      </c>
      <c r="B308" s="2" t="s">
        <v>63</v>
      </c>
      <c r="C308" s="2" t="s">
        <v>16</v>
      </c>
      <c r="D308" s="2">
        <v>14</v>
      </c>
      <c r="E308" s="3">
        <v>63289</v>
      </c>
      <c r="F308" s="2" t="s">
        <v>13</v>
      </c>
      <c r="G308" s="2" t="s">
        <v>14</v>
      </c>
      <c r="H308">
        <f t="shared" si="4"/>
        <v>3164.4500000000003</v>
      </c>
    </row>
    <row r="309" spans="1:8">
      <c r="A309" s="2">
        <v>308</v>
      </c>
      <c r="B309" s="2" t="s">
        <v>57</v>
      </c>
      <c r="C309" s="2" t="s">
        <v>16</v>
      </c>
      <c r="D309" s="2">
        <v>31</v>
      </c>
      <c r="E309" s="3">
        <v>59479</v>
      </c>
      <c r="F309" s="2" t="s">
        <v>28</v>
      </c>
      <c r="G309" s="2" t="s">
        <v>23</v>
      </c>
      <c r="H309">
        <f t="shared" si="4"/>
        <v>2973.9500000000003</v>
      </c>
    </row>
    <row r="310" spans="1:8">
      <c r="A310" s="2">
        <v>309</v>
      </c>
      <c r="B310" s="2" t="s">
        <v>69</v>
      </c>
      <c r="C310" s="2" t="s">
        <v>8</v>
      </c>
      <c r="D310" s="2">
        <v>5</v>
      </c>
      <c r="E310" s="3">
        <v>88559</v>
      </c>
      <c r="F310" s="2" t="s">
        <v>32</v>
      </c>
      <c r="G310" s="2" t="s">
        <v>14</v>
      </c>
      <c r="H310">
        <f t="shared" si="4"/>
        <v>4427.95</v>
      </c>
    </row>
    <row r="311" spans="1:8">
      <c r="A311" s="2">
        <v>310</v>
      </c>
      <c r="B311" s="2" t="s">
        <v>44</v>
      </c>
      <c r="C311" s="2" t="s">
        <v>22</v>
      </c>
      <c r="D311" s="2">
        <v>9</v>
      </c>
      <c r="E311" s="3">
        <v>41225</v>
      </c>
      <c r="F311" s="2" t="s">
        <v>32</v>
      </c>
      <c r="G311" s="2" t="s">
        <v>26</v>
      </c>
      <c r="H311">
        <f t="shared" si="4"/>
        <v>2061.25</v>
      </c>
    </row>
    <row r="312" spans="1:8">
      <c r="A312" s="2">
        <v>311</v>
      </c>
      <c r="B312" s="2" t="s">
        <v>80</v>
      </c>
      <c r="C312" s="2" t="s">
        <v>22</v>
      </c>
      <c r="D312" s="2">
        <v>38</v>
      </c>
      <c r="E312" s="3">
        <v>52035</v>
      </c>
      <c r="F312" s="2" t="s">
        <v>28</v>
      </c>
      <c r="G312" s="2" t="s">
        <v>23</v>
      </c>
      <c r="H312">
        <f t="shared" si="4"/>
        <v>2601.75</v>
      </c>
    </row>
    <row r="313" spans="1:8">
      <c r="A313" s="2">
        <v>312</v>
      </c>
      <c r="B313" s="2" t="s">
        <v>67</v>
      </c>
      <c r="C313" s="2" t="s">
        <v>8</v>
      </c>
      <c r="D313" s="2">
        <v>15</v>
      </c>
      <c r="E313" s="3">
        <v>58604</v>
      </c>
      <c r="F313" s="2" t="s">
        <v>9</v>
      </c>
      <c r="G313" s="2" t="s">
        <v>10</v>
      </c>
      <c r="H313">
        <f t="shared" si="4"/>
        <v>2930.2000000000003</v>
      </c>
    </row>
    <row r="314" spans="1:8">
      <c r="A314" s="2">
        <v>313</v>
      </c>
      <c r="B314" s="2" t="s">
        <v>66</v>
      </c>
      <c r="C314" s="2" t="s">
        <v>12</v>
      </c>
      <c r="D314" s="2">
        <v>34</v>
      </c>
      <c r="E314" s="3">
        <v>26933</v>
      </c>
      <c r="F314" s="2" t="s">
        <v>25</v>
      </c>
      <c r="G314" s="2" t="s">
        <v>18</v>
      </c>
      <c r="H314">
        <f t="shared" si="4"/>
        <v>1346.65</v>
      </c>
    </row>
    <row r="315" spans="1:8">
      <c r="A315" s="2">
        <v>314</v>
      </c>
      <c r="B315" s="2" t="s">
        <v>70</v>
      </c>
      <c r="C315" s="2" t="s">
        <v>12</v>
      </c>
      <c r="D315" s="2">
        <v>44</v>
      </c>
      <c r="E315" s="3">
        <v>74163</v>
      </c>
      <c r="F315" s="2" t="s">
        <v>25</v>
      </c>
      <c r="G315" s="2" t="s">
        <v>10</v>
      </c>
      <c r="H315">
        <f t="shared" si="4"/>
        <v>3708.15</v>
      </c>
    </row>
    <row r="316" spans="1:8">
      <c r="A316" s="2">
        <v>315</v>
      </c>
      <c r="B316" s="2" t="s">
        <v>41</v>
      </c>
      <c r="C316" s="2" t="s">
        <v>8</v>
      </c>
      <c r="D316" s="2">
        <v>29</v>
      </c>
      <c r="E316" s="3">
        <v>48704</v>
      </c>
      <c r="F316" s="2" t="s">
        <v>25</v>
      </c>
      <c r="G316" s="2" t="s">
        <v>26</v>
      </c>
      <c r="H316">
        <f t="shared" si="4"/>
        <v>2435.2000000000003</v>
      </c>
    </row>
    <row r="317" spans="1:8">
      <c r="A317" s="2">
        <v>316</v>
      </c>
      <c r="B317" s="2" t="s">
        <v>68</v>
      </c>
      <c r="C317" s="2" t="s">
        <v>22</v>
      </c>
      <c r="D317" s="2">
        <v>1</v>
      </c>
      <c r="E317" s="3">
        <v>78133</v>
      </c>
      <c r="F317" s="2" t="s">
        <v>38</v>
      </c>
      <c r="G317" s="2" t="s">
        <v>26</v>
      </c>
      <c r="H317">
        <f t="shared" si="4"/>
        <v>3906.65</v>
      </c>
    </row>
    <row r="318" spans="1:8">
      <c r="A318" s="2">
        <v>317</v>
      </c>
      <c r="B318" s="2" t="s">
        <v>44</v>
      </c>
      <c r="C318" s="2" t="s">
        <v>22</v>
      </c>
      <c r="D318" s="2">
        <v>1</v>
      </c>
      <c r="E318" s="3">
        <v>27769</v>
      </c>
      <c r="F318" s="2" t="s">
        <v>38</v>
      </c>
      <c r="G318" s="2" t="s">
        <v>14</v>
      </c>
      <c r="H318">
        <f t="shared" si="4"/>
        <v>1388.45</v>
      </c>
    </row>
    <row r="319" spans="1:8">
      <c r="A319" s="2">
        <v>318</v>
      </c>
      <c r="B319" s="2" t="s">
        <v>84</v>
      </c>
      <c r="C319" s="2" t="s">
        <v>12</v>
      </c>
      <c r="D319" s="2">
        <v>45</v>
      </c>
      <c r="E319" s="3">
        <v>97804</v>
      </c>
      <c r="F319" s="2" t="s">
        <v>17</v>
      </c>
      <c r="G319" s="2" t="s">
        <v>14</v>
      </c>
      <c r="H319">
        <f t="shared" si="4"/>
        <v>4890.2</v>
      </c>
    </row>
    <row r="320" spans="1:8">
      <c r="A320" s="2">
        <v>319</v>
      </c>
      <c r="B320" s="2" t="s">
        <v>52</v>
      </c>
      <c r="C320" s="2" t="s">
        <v>16</v>
      </c>
      <c r="D320" s="2">
        <v>22</v>
      </c>
      <c r="E320" s="3">
        <v>34399</v>
      </c>
      <c r="F320" s="2" t="s">
        <v>17</v>
      </c>
      <c r="G320" s="2" t="s">
        <v>29</v>
      </c>
      <c r="H320">
        <f t="shared" si="4"/>
        <v>1719.95</v>
      </c>
    </row>
    <row r="321" spans="1:8">
      <c r="A321" s="2">
        <v>320</v>
      </c>
      <c r="B321" s="2" t="s">
        <v>27</v>
      </c>
      <c r="C321" s="2" t="s">
        <v>8</v>
      </c>
      <c r="D321" s="2">
        <v>8</v>
      </c>
      <c r="E321" s="3">
        <v>47286</v>
      </c>
      <c r="F321" s="2" t="s">
        <v>9</v>
      </c>
      <c r="G321" s="2" t="s">
        <v>29</v>
      </c>
      <c r="H321">
        <f t="shared" si="4"/>
        <v>2364.3000000000002</v>
      </c>
    </row>
    <row r="322" spans="1:8">
      <c r="A322" s="2">
        <v>321</v>
      </c>
      <c r="B322" s="2" t="s">
        <v>11</v>
      </c>
      <c r="C322" s="2" t="s">
        <v>8</v>
      </c>
      <c r="D322" s="2">
        <v>28</v>
      </c>
      <c r="E322" s="3">
        <v>56784</v>
      </c>
      <c r="F322" s="2" t="s">
        <v>9</v>
      </c>
      <c r="G322" s="2" t="s">
        <v>23</v>
      </c>
      <c r="H322">
        <f t="shared" si="4"/>
        <v>2839.2000000000003</v>
      </c>
    </row>
    <row r="323" spans="1:8">
      <c r="A323" s="2">
        <v>322</v>
      </c>
      <c r="B323" s="2" t="s">
        <v>88</v>
      </c>
      <c r="C323" s="2" t="s">
        <v>12</v>
      </c>
      <c r="D323" s="2">
        <v>45</v>
      </c>
      <c r="E323" s="3">
        <v>32096</v>
      </c>
      <c r="F323" s="2" t="s">
        <v>28</v>
      </c>
      <c r="G323" s="2" t="s">
        <v>26</v>
      </c>
      <c r="H323">
        <f t="shared" ref="H323:H386" si="5">E323*5%</f>
        <v>1604.8000000000002</v>
      </c>
    </row>
    <row r="324" spans="1:8">
      <c r="A324" s="2">
        <v>323</v>
      </c>
      <c r="B324" s="2" t="s">
        <v>71</v>
      </c>
      <c r="C324" s="2" t="s">
        <v>8</v>
      </c>
      <c r="D324" s="2">
        <v>9</v>
      </c>
      <c r="E324" s="3">
        <v>92471</v>
      </c>
      <c r="F324" s="2" t="s">
        <v>9</v>
      </c>
      <c r="G324" s="2" t="s">
        <v>14</v>
      </c>
      <c r="H324">
        <f t="shared" si="5"/>
        <v>4623.55</v>
      </c>
    </row>
    <row r="325" spans="1:8">
      <c r="A325" s="2">
        <v>324</v>
      </c>
      <c r="B325" s="2" t="s">
        <v>40</v>
      </c>
      <c r="C325" s="2" t="s">
        <v>22</v>
      </c>
      <c r="D325" s="2">
        <v>31</v>
      </c>
      <c r="E325" s="3">
        <v>47612</v>
      </c>
      <c r="F325" s="2" t="s">
        <v>25</v>
      </c>
      <c r="G325" s="2" t="s">
        <v>29</v>
      </c>
      <c r="H325">
        <f t="shared" si="5"/>
        <v>2380.6</v>
      </c>
    </row>
    <row r="326" spans="1:8">
      <c r="A326" s="2">
        <v>325</v>
      </c>
      <c r="B326" s="2" t="s">
        <v>27</v>
      </c>
      <c r="C326" s="2" t="s">
        <v>12</v>
      </c>
      <c r="D326" s="2">
        <v>5</v>
      </c>
      <c r="E326" s="3">
        <v>85181</v>
      </c>
      <c r="F326" s="2" t="s">
        <v>25</v>
      </c>
      <c r="G326" s="2" t="s">
        <v>26</v>
      </c>
      <c r="H326">
        <f t="shared" si="5"/>
        <v>4259.05</v>
      </c>
    </row>
    <row r="327" spans="1:8">
      <c r="A327" s="2">
        <v>326</v>
      </c>
      <c r="B327" s="2" t="s">
        <v>27</v>
      </c>
      <c r="C327" s="2" t="s">
        <v>22</v>
      </c>
      <c r="D327" s="2">
        <v>15</v>
      </c>
      <c r="E327" s="3">
        <v>79438</v>
      </c>
      <c r="F327" s="2" t="s">
        <v>9</v>
      </c>
      <c r="G327" s="2" t="s">
        <v>29</v>
      </c>
      <c r="H327">
        <f t="shared" si="5"/>
        <v>3971.9</v>
      </c>
    </row>
    <row r="328" spans="1:8">
      <c r="A328" s="2">
        <v>327</v>
      </c>
      <c r="B328" s="2" t="s">
        <v>87</v>
      </c>
      <c r="C328" s="2" t="s">
        <v>16</v>
      </c>
      <c r="D328" s="2">
        <v>25</v>
      </c>
      <c r="E328" s="3">
        <v>41749</v>
      </c>
      <c r="F328" s="2" t="s">
        <v>13</v>
      </c>
      <c r="G328" s="2" t="s">
        <v>10</v>
      </c>
      <c r="H328">
        <f t="shared" si="5"/>
        <v>2087.4500000000003</v>
      </c>
    </row>
    <row r="329" spans="1:8">
      <c r="A329" s="2">
        <v>328</v>
      </c>
      <c r="B329" s="2" t="s">
        <v>64</v>
      </c>
      <c r="C329" s="2" t="s">
        <v>8</v>
      </c>
      <c r="D329" s="2">
        <v>6</v>
      </c>
      <c r="E329" s="3">
        <v>35131</v>
      </c>
      <c r="F329" s="2" t="s">
        <v>28</v>
      </c>
      <c r="G329" s="2" t="s">
        <v>23</v>
      </c>
      <c r="H329">
        <f t="shared" si="5"/>
        <v>1756.5500000000002</v>
      </c>
    </row>
    <row r="330" spans="1:8">
      <c r="A330" s="2">
        <v>329</v>
      </c>
      <c r="B330" s="2" t="s">
        <v>81</v>
      </c>
      <c r="C330" s="2" t="s">
        <v>8</v>
      </c>
      <c r="D330" s="2">
        <v>47</v>
      </c>
      <c r="E330" s="3">
        <v>80272</v>
      </c>
      <c r="F330" s="2" t="s">
        <v>17</v>
      </c>
      <c r="G330" s="2" t="s">
        <v>18</v>
      </c>
      <c r="H330">
        <f t="shared" si="5"/>
        <v>4013.6000000000004</v>
      </c>
    </row>
    <row r="331" spans="1:8">
      <c r="A331" s="2">
        <v>330</v>
      </c>
      <c r="B331" s="2" t="s">
        <v>49</v>
      </c>
      <c r="C331" s="2" t="s">
        <v>22</v>
      </c>
      <c r="D331" s="2">
        <v>7</v>
      </c>
      <c r="E331" s="3">
        <v>77276</v>
      </c>
      <c r="F331" s="2" t="s">
        <v>9</v>
      </c>
      <c r="G331" s="2" t="s">
        <v>10</v>
      </c>
      <c r="H331">
        <f t="shared" si="5"/>
        <v>3863.8</v>
      </c>
    </row>
    <row r="332" spans="1:8">
      <c r="A332" s="2">
        <v>331</v>
      </c>
      <c r="B332" s="2" t="s">
        <v>46</v>
      </c>
      <c r="C332" s="2" t="s">
        <v>12</v>
      </c>
      <c r="D332" s="2">
        <v>7</v>
      </c>
      <c r="E332" s="3">
        <v>78586</v>
      </c>
      <c r="F332" s="2" t="s">
        <v>32</v>
      </c>
      <c r="G332" s="2" t="s">
        <v>23</v>
      </c>
      <c r="H332">
        <f t="shared" si="5"/>
        <v>3929.3</v>
      </c>
    </row>
    <row r="333" spans="1:8">
      <c r="A333" s="2">
        <v>332</v>
      </c>
      <c r="B333" s="2" t="s">
        <v>48</v>
      </c>
      <c r="C333" s="2" t="s">
        <v>12</v>
      </c>
      <c r="D333" s="2">
        <v>21</v>
      </c>
      <c r="E333" s="3">
        <v>33022</v>
      </c>
      <c r="F333" s="2" t="s">
        <v>20</v>
      </c>
      <c r="G333" s="2" t="s">
        <v>23</v>
      </c>
      <c r="H333">
        <f t="shared" si="5"/>
        <v>1651.1000000000001</v>
      </c>
    </row>
    <row r="334" spans="1:8">
      <c r="A334" s="2">
        <v>333</v>
      </c>
      <c r="B334" s="2" t="s">
        <v>60</v>
      </c>
      <c r="C334" s="2" t="s">
        <v>8</v>
      </c>
      <c r="D334" s="2">
        <v>24</v>
      </c>
      <c r="E334" s="3">
        <v>88936</v>
      </c>
      <c r="F334" s="2" t="s">
        <v>9</v>
      </c>
      <c r="G334" s="2" t="s">
        <v>10</v>
      </c>
      <c r="H334">
        <f t="shared" si="5"/>
        <v>4446.8</v>
      </c>
    </row>
    <row r="335" spans="1:8">
      <c r="A335" s="2">
        <v>334</v>
      </c>
      <c r="B335" s="2" t="s">
        <v>64</v>
      </c>
      <c r="C335" s="2" t="s">
        <v>22</v>
      </c>
      <c r="D335" s="2">
        <v>20</v>
      </c>
      <c r="E335" s="3">
        <v>87005</v>
      </c>
      <c r="F335" s="2" t="s">
        <v>28</v>
      </c>
      <c r="G335" s="2" t="s">
        <v>29</v>
      </c>
      <c r="H335">
        <f t="shared" si="5"/>
        <v>4350.25</v>
      </c>
    </row>
    <row r="336" spans="1:8">
      <c r="A336" s="2">
        <v>335</v>
      </c>
      <c r="B336" s="2" t="s">
        <v>69</v>
      </c>
      <c r="C336" s="2" t="s">
        <v>16</v>
      </c>
      <c r="D336" s="2">
        <v>9</v>
      </c>
      <c r="E336" s="3">
        <v>84993</v>
      </c>
      <c r="F336" s="2" t="s">
        <v>17</v>
      </c>
      <c r="G336" s="2" t="s">
        <v>29</v>
      </c>
      <c r="H336">
        <f t="shared" si="5"/>
        <v>4249.6500000000005</v>
      </c>
    </row>
    <row r="337" spans="1:8">
      <c r="A337" s="2">
        <v>336</v>
      </c>
      <c r="B337" s="2" t="s">
        <v>49</v>
      </c>
      <c r="C337" s="2" t="s">
        <v>22</v>
      </c>
      <c r="D337" s="2">
        <v>25</v>
      </c>
      <c r="E337" s="3">
        <v>64718</v>
      </c>
      <c r="F337" s="2" t="s">
        <v>13</v>
      </c>
      <c r="G337" s="2" t="s">
        <v>26</v>
      </c>
      <c r="H337">
        <f t="shared" si="5"/>
        <v>3235.9</v>
      </c>
    </row>
    <row r="338" spans="1:8">
      <c r="A338" s="2">
        <v>337</v>
      </c>
      <c r="B338" s="2" t="s">
        <v>72</v>
      </c>
      <c r="C338" s="2" t="s">
        <v>12</v>
      </c>
      <c r="D338" s="2">
        <v>50</v>
      </c>
      <c r="E338" s="3">
        <v>70095</v>
      </c>
      <c r="F338" s="2" t="s">
        <v>28</v>
      </c>
      <c r="G338" s="2" t="s">
        <v>18</v>
      </c>
      <c r="H338">
        <f t="shared" si="5"/>
        <v>3504.75</v>
      </c>
    </row>
    <row r="339" spans="1:8">
      <c r="A339" s="2">
        <v>338</v>
      </c>
      <c r="B339" s="2" t="s">
        <v>84</v>
      </c>
      <c r="C339" s="2" t="s">
        <v>8</v>
      </c>
      <c r="D339" s="2">
        <v>49</v>
      </c>
      <c r="E339" s="3">
        <v>37908</v>
      </c>
      <c r="F339" s="2" t="s">
        <v>25</v>
      </c>
      <c r="G339" s="2" t="s">
        <v>18</v>
      </c>
      <c r="H339">
        <f t="shared" si="5"/>
        <v>1895.4</v>
      </c>
    </row>
    <row r="340" spans="1:8">
      <c r="A340" s="2">
        <v>339</v>
      </c>
      <c r="B340" s="2" t="s">
        <v>87</v>
      </c>
      <c r="C340" s="2" t="s">
        <v>8</v>
      </c>
      <c r="D340" s="2">
        <v>9</v>
      </c>
      <c r="E340" s="3">
        <v>52114</v>
      </c>
      <c r="F340" s="2" t="s">
        <v>28</v>
      </c>
      <c r="G340" s="2" t="s">
        <v>23</v>
      </c>
      <c r="H340">
        <f t="shared" si="5"/>
        <v>2605.7000000000003</v>
      </c>
    </row>
    <row r="341" spans="1:8">
      <c r="A341" s="2">
        <v>340</v>
      </c>
      <c r="B341" s="2" t="s">
        <v>44</v>
      </c>
      <c r="C341" s="2" t="s">
        <v>8</v>
      </c>
      <c r="D341" s="2">
        <v>42</v>
      </c>
      <c r="E341" s="3">
        <v>77138</v>
      </c>
      <c r="F341" s="2" t="s">
        <v>38</v>
      </c>
      <c r="G341" s="2" t="s">
        <v>26</v>
      </c>
      <c r="H341">
        <f t="shared" si="5"/>
        <v>3856.9</v>
      </c>
    </row>
    <row r="342" spans="1:8">
      <c r="A342" s="2">
        <v>341</v>
      </c>
      <c r="B342" s="2" t="s">
        <v>71</v>
      </c>
      <c r="C342" s="2" t="s">
        <v>16</v>
      </c>
      <c r="D342" s="2">
        <v>44</v>
      </c>
      <c r="E342" s="3">
        <v>89640</v>
      </c>
      <c r="F342" s="2" t="s">
        <v>38</v>
      </c>
      <c r="G342" s="2" t="s">
        <v>18</v>
      </c>
      <c r="H342">
        <f t="shared" si="5"/>
        <v>4482</v>
      </c>
    </row>
    <row r="343" spans="1:8">
      <c r="A343" s="2">
        <v>342</v>
      </c>
      <c r="B343" s="2" t="s">
        <v>87</v>
      </c>
      <c r="C343" s="2" t="s">
        <v>16</v>
      </c>
      <c r="D343" s="2">
        <v>10</v>
      </c>
      <c r="E343" s="3">
        <v>80399</v>
      </c>
      <c r="F343" s="2" t="s">
        <v>25</v>
      </c>
      <c r="G343" s="2" t="s">
        <v>10</v>
      </c>
      <c r="H343">
        <f t="shared" si="5"/>
        <v>4019.9500000000003</v>
      </c>
    </row>
    <row r="344" spans="1:8">
      <c r="A344" s="2">
        <v>343</v>
      </c>
      <c r="B344" s="2" t="s">
        <v>76</v>
      </c>
      <c r="C344" s="2" t="s">
        <v>12</v>
      </c>
      <c r="D344" s="2">
        <v>5</v>
      </c>
      <c r="E344" s="3">
        <v>61371</v>
      </c>
      <c r="F344" s="2" t="s">
        <v>17</v>
      </c>
      <c r="G344" s="2" t="s">
        <v>26</v>
      </c>
      <c r="H344">
        <f t="shared" si="5"/>
        <v>3068.55</v>
      </c>
    </row>
    <row r="345" spans="1:8">
      <c r="A345" s="2">
        <v>344</v>
      </c>
      <c r="B345" s="2" t="s">
        <v>61</v>
      </c>
      <c r="C345" s="2" t="s">
        <v>22</v>
      </c>
      <c r="D345" s="2">
        <v>34</v>
      </c>
      <c r="E345" s="3">
        <v>64858</v>
      </c>
      <c r="F345" s="2" t="s">
        <v>28</v>
      </c>
      <c r="G345" s="2" t="s">
        <v>18</v>
      </c>
      <c r="H345">
        <f t="shared" si="5"/>
        <v>3242.9</v>
      </c>
    </row>
    <row r="346" spans="1:8">
      <c r="A346" s="2">
        <v>345</v>
      </c>
      <c r="B346" s="2" t="s">
        <v>49</v>
      </c>
      <c r="C346" s="2" t="s">
        <v>22</v>
      </c>
      <c r="D346" s="2">
        <v>37</v>
      </c>
      <c r="E346" s="3">
        <v>77253</v>
      </c>
      <c r="F346" s="2" t="s">
        <v>9</v>
      </c>
      <c r="G346" s="2" t="s">
        <v>14</v>
      </c>
      <c r="H346">
        <f t="shared" si="5"/>
        <v>3862.65</v>
      </c>
    </row>
    <row r="347" spans="1:8">
      <c r="A347" s="2">
        <v>346</v>
      </c>
      <c r="B347" s="2" t="s">
        <v>27</v>
      </c>
      <c r="C347" s="2" t="s">
        <v>22</v>
      </c>
      <c r="D347" s="2">
        <v>1</v>
      </c>
      <c r="E347" s="3">
        <v>91361</v>
      </c>
      <c r="F347" s="2" t="s">
        <v>38</v>
      </c>
      <c r="G347" s="2" t="s">
        <v>23</v>
      </c>
      <c r="H347">
        <f t="shared" si="5"/>
        <v>4568.05</v>
      </c>
    </row>
    <row r="348" spans="1:8">
      <c r="A348" s="2">
        <v>347</v>
      </c>
      <c r="B348" s="2" t="s">
        <v>50</v>
      </c>
      <c r="C348" s="2" t="s">
        <v>16</v>
      </c>
      <c r="D348" s="2">
        <v>40</v>
      </c>
      <c r="E348" s="3">
        <v>78669</v>
      </c>
      <c r="F348" s="2" t="s">
        <v>9</v>
      </c>
      <c r="G348" s="2" t="s">
        <v>14</v>
      </c>
      <c r="H348">
        <f t="shared" si="5"/>
        <v>3933.4500000000003</v>
      </c>
    </row>
    <row r="349" spans="1:8">
      <c r="A349" s="2">
        <v>348</v>
      </c>
      <c r="B349" s="2" t="s">
        <v>70</v>
      </c>
      <c r="C349" s="2" t="s">
        <v>8</v>
      </c>
      <c r="D349" s="2">
        <v>42</v>
      </c>
      <c r="E349" s="3">
        <v>97058</v>
      </c>
      <c r="F349" s="2" t="s">
        <v>9</v>
      </c>
      <c r="G349" s="2" t="s">
        <v>23</v>
      </c>
      <c r="H349">
        <f t="shared" si="5"/>
        <v>4852.9000000000005</v>
      </c>
    </row>
    <row r="350" spans="1:8">
      <c r="A350" s="2">
        <v>349</v>
      </c>
      <c r="B350" s="2" t="s">
        <v>27</v>
      </c>
      <c r="C350" s="2" t="s">
        <v>12</v>
      </c>
      <c r="D350" s="2">
        <v>11</v>
      </c>
      <c r="E350" s="3">
        <v>89720</v>
      </c>
      <c r="F350" s="2" t="s">
        <v>28</v>
      </c>
      <c r="G350" s="2" t="s">
        <v>23</v>
      </c>
      <c r="H350">
        <f t="shared" si="5"/>
        <v>4486</v>
      </c>
    </row>
    <row r="351" spans="1:8">
      <c r="A351" s="2">
        <v>350</v>
      </c>
      <c r="B351" s="2" t="s">
        <v>7</v>
      </c>
      <c r="C351" s="2" t="s">
        <v>12</v>
      </c>
      <c r="D351" s="2">
        <v>29</v>
      </c>
      <c r="E351" s="3">
        <v>35543</v>
      </c>
      <c r="F351" s="2" t="s">
        <v>38</v>
      </c>
      <c r="G351" s="2" t="s">
        <v>10</v>
      </c>
      <c r="H351">
        <f t="shared" si="5"/>
        <v>1777.15</v>
      </c>
    </row>
    <row r="352" spans="1:8">
      <c r="A352" s="2">
        <v>351</v>
      </c>
      <c r="B352" s="2" t="s">
        <v>57</v>
      </c>
      <c r="C352" s="2" t="s">
        <v>16</v>
      </c>
      <c r="D352" s="2">
        <v>23</v>
      </c>
      <c r="E352" s="3">
        <v>79700</v>
      </c>
      <c r="F352" s="2" t="s">
        <v>13</v>
      </c>
      <c r="G352" s="2" t="s">
        <v>29</v>
      </c>
      <c r="H352">
        <f t="shared" si="5"/>
        <v>3985</v>
      </c>
    </row>
    <row r="353" spans="1:8">
      <c r="A353" s="2">
        <v>352</v>
      </c>
      <c r="B353" s="2" t="s">
        <v>68</v>
      </c>
      <c r="C353" s="2" t="s">
        <v>16</v>
      </c>
      <c r="D353" s="2">
        <v>47</v>
      </c>
      <c r="E353" s="3">
        <v>33293</v>
      </c>
      <c r="F353" s="2" t="s">
        <v>28</v>
      </c>
      <c r="G353" s="2" t="s">
        <v>18</v>
      </c>
      <c r="H353">
        <f t="shared" si="5"/>
        <v>1664.65</v>
      </c>
    </row>
    <row r="354" spans="1:8">
      <c r="A354" s="2">
        <v>353</v>
      </c>
      <c r="B354" s="2" t="s">
        <v>15</v>
      </c>
      <c r="C354" s="2" t="s">
        <v>8</v>
      </c>
      <c r="D354" s="2">
        <v>14</v>
      </c>
      <c r="E354" s="3">
        <v>28308</v>
      </c>
      <c r="F354" s="2" t="s">
        <v>32</v>
      </c>
      <c r="G354" s="2" t="s">
        <v>14</v>
      </c>
      <c r="H354">
        <f t="shared" si="5"/>
        <v>1415.4</v>
      </c>
    </row>
    <row r="355" spans="1:8">
      <c r="A355" s="2">
        <v>354</v>
      </c>
      <c r="B355" s="2" t="s">
        <v>86</v>
      </c>
      <c r="C355" s="2" t="s">
        <v>8</v>
      </c>
      <c r="D355" s="2">
        <v>41</v>
      </c>
      <c r="E355" s="3">
        <v>70713</v>
      </c>
      <c r="F355" s="2" t="s">
        <v>38</v>
      </c>
      <c r="G355" s="2" t="s">
        <v>18</v>
      </c>
      <c r="H355">
        <f t="shared" si="5"/>
        <v>3535.65</v>
      </c>
    </row>
    <row r="356" spans="1:8">
      <c r="A356" s="2">
        <v>355</v>
      </c>
      <c r="B356" s="2" t="s">
        <v>63</v>
      </c>
      <c r="C356" s="2" t="s">
        <v>16</v>
      </c>
      <c r="D356" s="2">
        <v>48</v>
      </c>
      <c r="E356" s="3">
        <v>27849</v>
      </c>
      <c r="F356" s="2" t="s">
        <v>17</v>
      </c>
      <c r="G356" s="2" t="s">
        <v>23</v>
      </c>
      <c r="H356">
        <f t="shared" si="5"/>
        <v>1392.45</v>
      </c>
    </row>
    <row r="357" spans="1:8">
      <c r="A357" s="2">
        <v>356</v>
      </c>
      <c r="B357" s="2" t="s">
        <v>19</v>
      </c>
      <c r="C357" s="2" t="s">
        <v>12</v>
      </c>
      <c r="D357" s="2">
        <v>10</v>
      </c>
      <c r="E357" s="3">
        <v>92560</v>
      </c>
      <c r="F357" s="2" t="s">
        <v>32</v>
      </c>
      <c r="G357" s="2" t="s">
        <v>14</v>
      </c>
      <c r="H357">
        <f t="shared" si="5"/>
        <v>4628</v>
      </c>
    </row>
    <row r="358" spans="1:8">
      <c r="A358" s="2">
        <v>357</v>
      </c>
      <c r="B358" s="2" t="s">
        <v>53</v>
      </c>
      <c r="C358" s="2" t="s">
        <v>8</v>
      </c>
      <c r="D358" s="2">
        <v>27</v>
      </c>
      <c r="E358" s="3">
        <v>54768</v>
      </c>
      <c r="F358" s="2" t="s">
        <v>13</v>
      </c>
      <c r="G358" s="2" t="s">
        <v>14</v>
      </c>
      <c r="H358">
        <f t="shared" si="5"/>
        <v>2738.4</v>
      </c>
    </row>
    <row r="359" spans="1:8">
      <c r="A359" s="2">
        <v>358</v>
      </c>
      <c r="B359" s="2" t="s">
        <v>64</v>
      </c>
      <c r="C359" s="2" t="s">
        <v>8</v>
      </c>
      <c r="D359" s="2">
        <v>40</v>
      </c>
      <c r="E359" s="3">
        <v>57222</v>
      </c>
      <c r="F359" s="2" t="s">
        <v>13</v>
      </c>
      <c r="G359" s="2" t="s">
        <v>26</v>
      </c>
      <c r="H359">
        <f t="shared" si="5"/>
        <v>2861.1000000000004</v>
      </c>
    </row>
    <row r="360" spans="1:8">
      <c r="A360" s="2">
        <v>359</v>
      </c>
      <c r="B360" s="2" t="s">
        <v>49</v>
      </c>
      <c r="C360" s="2" t="s">
        <v>12</v>
      </c>
      <c r="D360" s="2">
        <v>44</v>
      </c>
      <c r="E360" s="3">
        <v>83028</v>
      </c>
      <c r="F360" s="2" t="s">
        <v>13</v>
      </c>
      <c r="G360" s="2" t="s">
        <v>23</v>
      </c>
      <c r="H360">
        <f t="shared" si="5"/>
        <v>4151.4000000000005</v>
      </c>
    </row>
    <row r="361" spans="1:8">
      <c r="A361" s="2">
        <v>360</v>
      </c>
      <c r="B361" s="2" t="s">
        <v>81</v>
      </c>
      <c r="C361" s="2" t="s">
        <v>8</v>
      </c>
      <c r="D361" s="2">
        <v>29</v>
      </c>
      <c r="E361" s="3">
        <v>97904</v>
      </c>
      <c r="F361" s="2" t="s">
        <v>32</v>
      </c>
      <c r="G361" s="2" t="s">
        <v>18</v>
      </c>
      <c r="H361">
        <f t="shared" si="5"/>
        <v>4895.2</v>
      </c>
    </row>
    <row r="362" spans="1:8">
      <c r="A362" s="2">
        <v>361</v>
      </c>
      <c r="B362" s="2" t="s">
        <v>43</v>
      </c>
      <c r="C362" s="2" t="s">
        <v>12</v>
      </c>
      <c r="D362" s="2">
        <v>14</v>
      </c>
      <c r="E362" s="3">
        <v>62030</v>
      </c>
      <c r="F362" s="2" t="s">
        <v>25</v>
      </c>
      <c r="G362" s="2" t="s">
        <v>14</v>
      </c>
      <c r="H362">
        <f t="shared" si="5"/>
        <v>3101.5</v>
      </c>
    </row>
    <row r="363" spans="1:8">
      <c r="A363" s="2">
        <v>362</v>
      </c>
      <c r="B363" s="2" t="s">
        <v>55</v>
      </c>
      <c r="C363" s="2" t="s">
        <v>22</v>
      </c>
      <c r="D363" s="2">
        <v>6</v>
      </c>
      <c r="E363" s="3">
        <v>95683</v>
      </c>
      <c r="F363" s="2" t="s">
        <v>13</v>
      </c>
      <c r="G363" s="2" t="s">
        <v>18</v>
      </c>
      <c r="H363">
        <f t="shared" si="5"/>
        <v>4784.1500000000005</v>
      </c>
    </row>
    <row r="364" spans="1:8">
      <c r="A364" s="2">
        <v>363</v>
      </c>
      <c r="B364" s="2" t="s">
        <v>11</v>
      </c>
      <c r="C364" s="2" t="s">
        <v>8</v>
      </c>
      <c r="D364" s="2">
        <v>7</v>
      </c>
      <c r="E364" s="3">
        <v>30307</v>
      </c>
      <c r="F364" s="2" t="s">
        <v>13</v>
      </c>
      <c r="G364" s="2" t="s">
        <v>14</v>
      </c>
      <c r="H364">
        <f t="shared" si="5"/>
        <v>1515.3500000000001</v>
      </c>
    </row>
    <row r="365" spans="1:8">
      <c r="A365" s="2">
        <v>364</v>
      </c>
      <c r="B365" s="2" t="s">
        <v>60</v>
      </c>
      <c r="C365" s="2" t="s">
        <v>8</v>
      </c>
      <c r="D365" s="2">
        <v>9</v>
      </c>
      <c r="E365" s="3">
        <v>42150</v>
      </c>
      <c r="F365" s="2" t="s">
        <v>32</v>
      </c>
      <c r="G365" s="2" t="s">
        <v>29</v>
      </c>
      <c r="H365">
        <f t="shared" si="5"/>
        <v>2107.5</v>
      </c>
    </row>
    <row r="366" spans="1:8">
      <c r="A366" s="2">
        <v>365</v>
      </c>
      <c r="B366" s="2" t="s">
        <v>82</v>
      </c>
      <c r="C366" s="2" t="s">
        <v>22</v>
      </c>
      <c r="D366" s="2">
        <v>49</v>
      </c>
      <c r="E366" s="3">
        <v>53841</v>
      </c>
      <c r="F366" s="2" t="s">
        <v>28</v>
      </c>
      <c r="G366" s="2" t="s">
        <v>10</v>
      </c>
      <c r="H366">
        <f t="shared" si="5"/>
        <v>2692.05</v>
      </c>
    </row>
    <row r="367" spans="1:8">
      <c r="A367" s="2">
        <v>366</v>
      </c>
      <c r="B367" s="2" t="s">
        <v>49</v>
      </c>
      <c r="C367" s="2" t="s">
        <v>12</v>
      </c>
      <c r="D367" s="2">
        <v>8</v>
      </c>
      <c r="E367" s="3">
        <v>40082</v>
      </c>
      <c r="F367" s="2" t="s">
        <v>20</v>
      </c>
      <c r="G367" s="2" t="s">
        <v>26</v>
      </c>
      <c r="H367">
        <f t="shared" si="5"/>
        <v>2004.1000000000001</v>
      </c>
    </row>
    <row r="368" spans="1:8">
      <c r="A368" s="2">
        <v>367</v>
      </c>
      <c r="B368" s="2" t="s">
        <v>76</v>
      </c>
      <c r="C368" s="2" t="s">
        <v>8</v>
      </c>
      <c r="D368" s="2">
        <v>38</v>
      </c>
      <c r="E368" s="3">
        <v>99499</v>
      </c>
      <c r="F368" s="2" t="s">
        <v>13</v>
      </c>
      <c r="G368" s="2" t="s">
        <v>23</v>
      </c>
      <c r="H368">
        <f t="shared" si="5"/>
        <v>4974.9500000000007</v>
      </c>
    </row>
    <row r="369" spans="1:8">
      <c r="A369" s="2">
        <v>368</v>
      </c>
      <c r="B369" s="2" t="s">
        <v>89</v>
      </c>
      <c r="C369" s="2" t="s">
        <v>22</v>
      </c>
      <c r="D369" s="2">
        <v>47</v>
      </c>
      <c r="E369" s="3">
        <v>43961</v>
      </c>
      <c r="F369" s="2" t="s">
        <v>32</v>
      </c>
      <c r="G369" s="2" t="s">
        <v>10</v>
      </c>
      <c r="H369">
        <f t="shared" si="5"/>
        <v>2198.0500000000002</v>
      </c>
    </row>
    <row r="370" spans="1:8">
      <c r="A370" s="2">
        <v>369</v>
      </c>
      <c r="B370" s="2" t="s">
        <v>77</v>
      </c>
      <c r="C370" s="2" t="s">
        <v>12</v>
      </c>
      <c r="D370" s="2">
        <v>25</v>
      </c>
      <c r="E370" s="3">
        <v>29616</v>
      </c>
      <c r="F370" s="2" t="s">
        <v>28</v>
      </c>
      <c r="G370" s="2" t="s">
        <v>26</v>
      </c>
      <c r="H370">
        <f t="shared" si="5"/>
        <v>1480.8000000000002</v>
      </c>
    </row>
    <row r="371" spans="1:8">
      <c r="A371" s="2">
        <v>370</v>
      </c>
      <c r="B371" s="2" t="s">
        <v>91</v>
      </c>
      <c r="C371" s="2" t="s">
        <v>8</v>
      </c>
      <c r="D371" s="2">
        <v>23</v>
      </c>
      <c r="E371" s="3">
        <v>31204</v>
      </c>
      <c r="F371" s="2" t="s">
        <v>28</v>
      </c>
      <c r="G371" s="2" t="s">
        <v>18</v>
      </c>
      <c r="H371">
        <f t="shared" si="5"/>
        <v>1560.2</v>
      </c>
    </row>
    <row r="372" spans="1:8">
      <c r="A372" s="2">
        <v>371</v>
      </c>
      <c r="B372" s="2" t="s">
        <v>62</v>
      </c>
      <c r="C372" s="2" t="s">
        <v>16</v>
      </c>
      <c r="D372" s="2">
        <v>28</v>
      </c>
      <c r="E372" s="3">
        <v>88797</v>
      </c>
      <c r="F372" s="2" t="s">
        <v>28</v>
      </c>
      <c r="G372" s="2" t="s">
        <v>26</v>
      </c>
      <c r="H372">
        <f t="shared" si="5"/>
        <v>4439.8500000000004</v>
      </c>
    </row>
    <row r="373" spans="1:8">
      <c r="A373" s="2">
        <v>372</v>
      </c>
      <c r="B373" s="2" t="s">
        <v>24</v>
      </c>
      <c r="C373" s="2" t="s">
        <v>22</v>
      </c>
      <c r="D373" s="2">
        <v>21</v>
      </c>
      <c r="E373" s="3">
        <v>49863</v>
      </c>
      <c r="F373" s="2" t="s">
        <v>13</v>
      </c>
      <c r="G373" s="2" t="s">
        <v>10</v>
      </c>
      <c r="H373">
        <f t="shared" si="5"/>
        <v>2493.15</v>
      </c>
    </row>
    <row r="374" spans="1:8">
      <c r="A374" s="2">
        <v>373</v>
      </c>
      <c r="B374" s="2" t="s">
        <v>43</v>
      </c>
      <c r="C374" s="2" t="s">
        <v>12</v>
      </c>
      <c r="D374" s="2">
        <v>9</v>
      </c>
      <c r="E374" s="3">
        <v>81053</v>
      </c>
      <c r="F374" s="2" t="s">
        <v>32</v>
      </c>
      <c r="G374" s="2" t="s">
        <v>10</v>
      </c>
      <c r="H374">
        <f t="shared" si="5"/>
        <v>4052.65</v>
      </c>
    </row>
    <row r="375" spans="1:8">
      <c r="A375" s="2">
        <v>374</v>
      </c>
      <c r="B375" s="2" t="s">
        <v>57</v>
      </c>
      <c r="C375" s="2" t="s">
        <v>16</v>
      </c>
      <c r="D375" s="2">
        <v>16</v>
      </c>
      <c r="E375" s="3">
        <v>63867</v>
      </c>
      <c r="F375" s="2" t="s">
        <v>20</v>
      </c>
      <c r="G375" s="2" t="s">
        <v>10</v>
      </c>
      <c r="H375">
        <f t="shared" si="5"/>
        <v>3193.3500000000004</v>
      </c>
    </row>
    <row r="376" spans="1:8">
      <c r="A376" s="2">
        <v>375</v>
      </c>
      <c r="B376" s="2" t="s">
        <v>47</v>
      </c>
      <c r="C376" s="2" t="s">
        <v>12</v>
      </c>
      <c r="D376" s="2">
        <v>18</v>
      </c>
      <c r="E376" s="3">
        <v>41748</v>
      </c>
      <c r="F376" s="2" t="s">
        <v>25</v>
      </c>
      <c r="G376" s="2" t="s">
        <v>10</v>
      </c>
      <c r="H376">
        <f t="shared" si="5"/>
        <v>2087.4</v>
      </c>
    </row>
    <row r="377" spans="1:8">
      <c r="A377" s="2">
        <v>376</v>
      </c>
      <c r="B377" s="2" t="s">
        <v>39</v>
      </c>
      <c r="C377" s="2" t="s">
        <v>16</v>
      </c>
      <c r="D377" s="2">
        <v>42</v>
      </c>
      <c r="E377" s="3">
        <v>61565</v>
      </c>
      <c r="F377" s="2" t="s">
        <v>25</v>
      </c>
      <c r="G377" s="2" t="s">
        <v>23</v>
      </c>
      <c r="H377">
        <f t="shared" si="5"/>
        <v>3078.25</v>
      </c>
    </row>
    <row r="378" spans="1:8">
      <c r="A378" s="2">
        <v>377</v>
      </c>
      <c r="B378" s="2" t="s">
        <v>35</v>
      </c>
      <c r="C378" s="2" t="s">
        <v>16</v>
      </c>
      <c r="D378" s="2">
        <v>6</v>
      </c>
      <c r="E378" s="3">
        <v>26782</v>
      </c>
      <c r="F378" s="2" t="s">
        <v>28</v>
      </c>
      <c r="G378" s="2" t="s">
        <v>29</v>
      </c>
      <c r="H378">
        <f t="shared" si="5"/>
        <v>1339.1000000000001</v>
      </c>
    </row>
    <row r="379" spans="1:8">
      <c r="A379" s="2">
        <v>378</v>
      </c>
      <c r="B379" s="2" t="s">
        <v>58</v>
      </c>
      <c r="C379" s="2" t="s">
        <v>22</v>
      </c>
      <c r="D379" s="2">
        <v>16</v>
      </c>
      <c r="E379" s="3">
        <v>85307</v>
      </c>
      <c r="F379" s="2" t="s">
        <v>20</v>
      </c>
      <c r="G379" s="2" t="s">
        <v>26</v>
      </c>
      <c r="H379">
        <f t="shared" si="5"/>
        <v>4265.3500000000004</v>
      </c>
    </row>
    <row r="380" spans="1:8">
      <c r="A380" s="2">
        <v>379</v>
      </c>
      <c r="B380" s="2" t="s">
        <v>60</v>
      </c>
      <c r="C380" s="2" t="s">
        <v>22</v>
      </c>
      <c r="D380" s="2">
        <v>36</v>
      </c>
      <c r="E380" s="3">
        <v>80828</v>
      </c>
      <c r="F380" s="2" t="s">
        <v>9</v>
      </c>
      <c r="G380" s="2" t="s">
        <v>29</v>
      </c>
      <c r="H380">
        <f t="shared" si="5"/>
        <v>4041.4</v>
      </c>
    </row>
    <row r="381" spans="1:8">
      <c r="A381" s="2">
        <v>380</v>
      </c>
      <c r="B381" s="2" t="s">
        <v>91</v>
      </c>
      <c r="C381" s="2" t="s">
        <v>16</v>
      </c>
      <c r="D381" s="2">
        <v>39</v>
      </c>
      <c r="E381" s="3">
        <v>37443</v>
      </c>
      <c r="F381" s="2" t="s">
        <v>9</v>
      </c>
      <c r="G381" s="2" t="s">
        <v>10</v>
      </c>
      <c r="H381">
        <f t="shared" si="5"/>
        <v>1872.15</v>
      </c>
    </row>
    <row r="382" spans="1:8">
      <c r="A382" s="2">
        <v>381</v>
      </c>
      <c r="B382" s="2" t="s">
        <v>39</v>
      </c>
      <c r="C382" s="2" t="s">
        <v>22</v>
      </c>
      <c r="D382" s="2">
        <v>39</v>
      </c>
      <c r="E382" s="3">
        <v>50416</v>
      </c>
      <c r="F382" s="2" t="s">
        <v>28</v>
      </c>
      <c r="G382" s="2" t="s">
        <v>29</v>
      </c>
      <c r="H382">
        <f t="shared" si="5"/>
        <v>2520.8000000000002</v>
      </c>
    </row>
    <row r="383" spans="1:8">
      <c r="A383" s="2">
        <v>382</v>
      </c>
      <c r="B383" s="2" t="s">
        <v>76</v>
      </c>
      <c r="C383" s="2" t="s">
        <v>12</v>
      </c>
      <c r="D383" s="2">
        <v>47</v>
      </c>
      <c r="E383" s="3">
        <v>72515</v>
      </c>
      <c r="F383" s="2" t="s">
        <v>9</v>
      </c>
      <c r="G383" s="2" t="s">
        <v>29</v>
      </c>
      <c r="H383">
        <f t="shared" si="5"/>
        <v>3625.75</v>
      </c>
    </row>
    <row r="384" spans="1:8">
      <c r="A384" s="2">
        <v>383</v>
      </c>
      <c r="B384" s="2" t="s">
        <v>77</v>
      </c>
      <c r="C384" s="2" t="s">
        <v>8</v>
      </c>
      <c r="D384" s="2">
        <v>39</v>
      </c>
      <c r="E384" s="3">
        <v>35200</v>
      </c>
      <c r="F384" s="2" t="s">
        <v>32</v>
      </c>
      <c r="G384" s="2" t="s">
        <v>23</v>
      </c>
      <c r="H384">
        <f t="shared" si="5"/>
        <v>1760</v>
      </c>
    </row>
    <row r="385" spans="1:8">
      <c r="A385" s="2">
        <v>384</v>
      </c>
      <c r="B385" s="2" t="s">
        <v>90</v>
      </c>
      <c r="C385" s="2" t="s">
        <v>12</v>
      </c>
      <c r="D385" s="2">
        <v>19</v>
      </c>
      <c r="E385" s="3">
        <v>81837</v>
      </c>
      <c r="F385" s="2" t="s">
        <v>17</v>
      </c>
      <c r="G385" s="2" t="s">
        <v>10</v>
      </c>
      <c r="H385">
        <f t="shared" si="5"/>
        <v>4091.8500000000004</v>
      </c>
    </row>
    <row r="386" spans="1:8">
      <c r="A386" s="2">
        <v>385</v>
      </c>
      <c r="B386" s="2" t="s">
        <v>39</v>
      </c>
      <c r="C386" s="2" t="s">
        <v>16</v>
      </c>
      <c r="D386" s="2">
        <v>50</v>
      </c>
      <c r="E386" s="3">
        <v>63289</v>
      </c>
      <c r="F386" s="2" t="s">
        <v>38</v>
      </c>
      <c r="G386" s="2" t="s">
        <v>18</v>
      </c>
      <c r="H386">
        <f t="shared" si="5"/>
        <v>3164.4500000000003</v>
      </c>
    </row>
    <row r="387" spans="1:8">
      <c r="A387" s="2">
        <v>386</v>
      </c>
      <c r="B387" s="2" t="s">
        <v>91</v>
      </c>
      <c r="C387" s="2" t="s">
        <v>12</v>
      </c>
      <c r="D387" s="2">
        <v>45</v>
      </c>
      <c r="E387" s="3">
        <v>99044</v>
      </c>
      <c r="F387" s="2" t="s">
        <v>25</v>
      </c>
      <c r="G387" s="2" t="s">
        <v>10</v>
      </c>
      <c r="H387">
        <f t="shared" ref="H387:H450" si="6">E387*5%</f>
        <v>4952.2000000000007</v>
      </c>
    </row>
    <row r="388" spans="1:8">
      <c r="A388" s="2">
        <v>387</v>
      </c>
      <c r="B388" s="2" t="s">
        <v>47</v>
      </c>
      <c r="C388" s="2" t="s">
        <v>16</v>
      </c>
      <c r="D388" s="2">
        <v>2</v>
      </c>
      <c r="E388" s="3">
        <v>94002</v>
      </c>
      <c r="F388" s="2" t="s">
        <v>38</v>
      </c>
      <c r="G388" s="2" t="s">
        <v>29</v>
      </c>
      <c r="H388">
        <f t="shared" si="6"/>
        <v>4700.1000000000004</v>
      </c>
    </row>
    <row r="389" spans="1:8">
      <c r="A389" s="2">
        <v>388</v>
      </c>
      <c r="B389" s="2" t="s">
        <v>24</v>
      </c>
      <c r="C389" s="2" t="s">
        <v>12</v>
      </c>
      <c r="D389" s="2">
        <v>43</v>
      </c>
      <c r="E389" s="3">
        <v>92482</v>
      </c>
      <c r="F389" s="2" t="s">
        <v>38</v>
      </c>
      <c r="G389" s="2" t="s">
        <v>18</v>
      </c>
      <c r="H389">
        <f t="shared" si="6"/>
        <v>4624.1000000000004</v>
      </c>
    </row>
    <row r="390" spans="1:8">
      <c r="A390" s="2">
        <v>389</v>
      </c>
      <c r="B390" s="2" t="s">
        <v>85</v>
      </c>
      <c r="C390" s="2" t="s">
        <v>12</v>
      </c>
      <c r="D390" s="2">
        <v>20</v>
      </c>
      <c r="E390" s="3">
        <v>26959</v>
      </c>
      <c r="F390" s="2" t="s">
        <v>25</v>
      </c>
      <c r="G390" s="2" t="s">
        <v>26</v>
      </c>
      <c r="H390">
        <f t="shared" si="6"/>
        <v>1347.95</v>
      </c>
    </row>
    <row r="391" spans="1:8">
      <c r="A391" s="2">
        <v>390</v>
      </c>
      <c r="B391" s="2" t="s">
        <v>15</v>
      </c>
      <c r="C391" s="2" t="s">
        <v>22</v>
      </c>
      <c r="D391" s="2">
        <v>14</v>
      </c>
      <c r="E391" s="3">
        <v>86081</v>
      </c>
      <c r="F391" s="2" t="s">
        <v>20</v>
      </c>
      <c r="G391" s="2" t="s">
        <v>29</v>
      </c>
      <c r="H391">
        <f t="shared" si="6"/>
        <v>4304.05</v>
      </c>
    </row>
    <row r="392" spans="1:8">
      <c r="A392" s="2">
        <v>391</v>
      </c>
      <c r="B392" s="2" t="s">
        <v>53</v>
      </c>
      <c r="C392" s="2" t="s">
        <v>16</v>
      </c>
      <c r="D392" s="2">
        <v>34</v>
      </c>
      <c r="E392" s="3">
        <v>92934</v>
      </c>
      <c r="F392" s="2" t="s">
        <v>28</v>
      </c>
      <c r="G392" s="2" t="s">
        <v>29</v>
      </c>
      <c r="H392">
        <f t="shared" si="6"/>
        <v>4646.7</v>
      </c>
    </row>
    <row r="393" spans="1:8">
      <c r="A393" s="2">
        <v>392</v>
      </c>
      <c r="B393" s="2" t="s">
        <v>45</v>
      </c>
      <c r="C393" s="2" t="s">
        <v>16</v>
      </c>
      <c r="D393" s="2">
        <v>39</v>
      </c>
      <c r="E393" s="3">
        <v>92845</v>
      </c>
      <c r="F393" s="2" t="s">
        <v>28</v>
      </c>
      <c r="G393" s="2" t="s">
        <v>14</v>
      </c>
      <c r="H393">
        <f t="shared" si="6"/>
        <v>4642.25</v>
      </c>
    </row>
    <row r="394" spans="1:8">
      <c r="A394" s="2">
        <v>393</v>
      </c>
      <c r="B394" s="2" t="s">
        <v>77</v>
      </c>
      <c r="C394" s="2" t="s">
        <v>8</v>
      </c>
      <c r="D394" s="2">
        <v>33</v>
      </c>
      <c r="E394" s="3">
        <v>91383</v>
      </c>
      <c r="F394" s="2" t="s">
        <v>25</v>
      </c>
      <c r="G394" s="2" t="s">
        <v>14</v>
      </c>
      <c r="H394">
        <f t="shared" si="6"/>
        <v>4569.1500000000005</v>
      </c>
    </row>
    <row r="395" spans="1:8">
      <c r="A395" s="2">
        <v>394</v>
      </c>
      <c r="B395" s="2" t="s">
        <v>21</v>
      </c>
      <c r="C395" s="2" t="s">
        <v>12</v>
      </c>
      <c r="D395" s="2">
        <v>13</v>
      </c>
      <c r="E395" s="3">
        <v>81592</v>
      </c>
      <c r="F395" s="2" t="s">
        <v>9</v>
      </c>
      <c r="G395" s="2" t="s">
        <v>26</v>
      </c>
      <c r="H395">
        <f t="shared" si="6"/>
        <v>4079.6000000000004</v>
      </c>
    </row>
    <row r="396" spans="1:8">
      <c r="A396" s="2">
        <v>395</v>
      </c>
      <c r="B396" s="2" t="s">
        <v>37</v>
      </c>
      <c r="C396" s="2" t="s">
        <v>12</v>
      </c>
      <c r="D396" s="2">
        <v>48</v>
      </c>
      <c r="E396" s="3">
        <v>58525</v>
      </c>
      <c r="F396" s="2" t="s">
        <v>38</v>
      </c>
      <c r="G396" s="2" t="s">
        <v>14</v>
      </c>
      <c r="H396">
        <f t="shared" si="6"/>
        <v>2926.25</v>
      </c>
    </row>
    <row r="397" spans="1:8">
      <c r="A397" s="2">
        <v>396</v>
      </c>
      <c r="B397" s="2" t="s">
        <v>31</v>
      </c>
      <c r="C397" s="2" t="s">
        <v>8</v>
      </c>
      <c r="D397" s="2">
        <v>26</v>
      </c>
      <c r="E397" s="3">
        <v>37903</v>
      </c>
      <c r="F397" s="2" t="s">
        <v>32</v>
      </c>
      <c r="G397" s="2" t="s">
        <v>29</v>
      </c>
      <c r="H397">
        <f t="shared" si="6"/>
        <v>1895.15</v>
      </c>
    </row>
    <row r="398" spans="1:8">
      <c r="A398" s="2">
        <v>397</v>
      </c>
      <c r="B398" s="2" t="s">
        <v>77</v>
      </c>
      <c r="C398" s="2" t="s">
        <v>16</v>
      </c>
      <c r="D398" s="2">
        <v>19</v>
      </c>
      <c r="E398" s="3">
        <v>44740</v>
      </c>
      <c r="F398" s="2" t="s">
        <v>20</v>
      </c>
      <c r="G398" s="2" t="s">
        <v>26</v>
      </c>
      <c r="H398">
        <f t="shared" si="6"/>
        <v>2237</v>
      </c>
    </row>
    <row r="399" spans="1:8">
      <c r="A399" s="2">
        <v>398</v>
      </c>
      <c r="B399" s="2" t="s">
        <v>57</v>
      </c>
      <c r="C399" s="2" t="s">
        <v>12</v>
      </c>
      <c r="D399" s="2">
        <v>42</v>
      </c>
      <c r="E399" s="3">
        <v>41499</v>
      </c>
      <c r="F399" s="2" t="s">
        <v>25</v>
      </c>
      <c r="G399" s="2" t="s">
        <v>10</v>
      </c>
      <c r="H399">
        <f t="shared" si="6"/>
        <v>2074.9500000000003</v>
      </c>
    </row>
    <row r="400" spans="1:8">
      <c r="A400" s="2">
        <v>399</v>
      </c>
      <c r="B400" s="2" t="s">
        <v>74</v>
      </c>
      <c r="C400" s="2" t="s">
        <v>8</v>
      </c>
      <c r="D400" s="2">
        <v>4</v>
      </c>
      <c r="E400" s="3">
        <v>55627</v>
      </c>
      <c r="F400" s="2" t="s">
        <v>38</v>
      </c>
      <c r="G400" s="2" t="s">
        <v>26</v>
      </c>
      <c r="H400">
        <f t="shared" si="6"/>
        <v>2781.3500000000004</v>
      </c>
    </row>
    <row r="401" spans="1:8">
      <c r="A401" s="2">
        <v>400</v>
      </c>
      <c r="B401" s="2" t="s">
        <v>54</v>
      </c>
      <c r="C401" s="2" t="s">
        <v>8</v>
      </c>
      <c r="D401" s="2">
        <v>16</v>
      </c>
      <c r="E401" s="3">
        <v>96569</v>
      </c>
      <c r="F401" s="2" t="s">
        <v>9</v>
      </c>
      <c r="G401" s="2" t="s">
        <v>10</v>
      </c>
      <c r="H401">
        <f t="shared" si="6"/>
        <v>4828.45</v>
      </c>
    </row>
    <row r="402" spans="1:8">
      <c r="A402" s="2">
        <v>401</v>
      </c>
      <c r="B402" s="2" t="s">
        <v>83</v>
      </c>
      <c r="C402" s="2" t="s">
        <v>8</v>
      </c>
      <c r="D402" s="2">
        <v>32</v>
      </c>
      <c r="E402" s="3">
        <v>35015</v>
      </c>
      <c r="F402" s="2" t="s">
        <v>32</v>
      </c>
      <c r="G402" s="2" t="s">
        <v>29</v>
      </c>
      <c r="H402">
        <f t="shared" si="6"/>
        <v>1750.75</v>
      </c>
    </row>
    <row r="403" spans="1:8">
      <c r="A403" s="2">
        <v>402</v>
      </c>
      <c r="B403" s="2" t="s">
        <v>66</v>
      </c>
      <c r="C403" s="2" t="s">
        <v>12</v>
      </c>
      <c r="D403" s="2">
        <v>25</v>
      </c>
      <c r="E403" s="3">
        <v>93880</v>
      </c>
      <c r="F403" s="2" t="s">
        <v>17</v>
      </c>
      <c r="G403" s="2" t="s">
        <v>14</v>
      </c>
      <c r="H403">
        <f t="shared" si="6"/>
        <v>4694</v>
      </c>
    </row>
    <row r="404" spans="1:8">
      <c r="A404" s="2">
        <v>403</v>
      </c>
      <c r="B404" s="2" t="s">
        <v>83</v>
      </c>
      <c r="C404" s="2" t="s">
        <v>16</v>
      </c>
      <c r="D404" s="2">
        <v>8</v>
      </c>
      <c r="E404" s="3">
        <v>78048</v>
      </c>
      <c r="F404" s="2" t="s">
        <v>13</v>
      </c>
      <c r="G404" s="2" t="s">
        <v>29</v>
      </c>
      <c r="H404">
        <f t="shared" si="6"/>
        <v>3902.4</v>
      </c>
    </row>
    <row r="405" spans="1:8">
      <c r="A405" s="2">
        <v>404</v>
      </c>
      <c r="B405" s="2" t="s">
        <v>50</v>
      </c>
      <c r="C405" s="2" t="s">
        <v>16</v>
      </c>
      <c r="D405" s="2">
        <v>16</v>
      </c>
      <c r="E405" s="3">
        <v>97254</v>
      </c>
      <c r="F405" s="2" t="s">
        <v>28</v>
      </c>
      <c r="G405" s="2" t="s">
        <v>26</v>
      </c>
      <c r="H405">
        <f t="shared" si="6"/>
        <v>4862.7</v>
      </c>
    </row>
    <row r="406" spans="1:8">
      <c r="A406" s="2">
        <v>405</v>
      </c>
      <c r="B406" s="2" t="s">
        <v>47</v>
      </c>
      <c r="C406" s="2" t="s">
        <v>8</v>
      </c>
      <c r="D406" s="2">
        <v>32</v>
      </c>
      <c r="E406" s="3">
        <v>55035</v>
      </c>
      <c r="F406" s="2" t="s">
        <v>9</v>
      </c>
      <c r="G406" s="2" t="s">
        <v>10</v>
      </c>
      <c r="H406">
        <f t="shared" si="6"/>
        <v>2751.75</v>
      </c>
    </row>
    <row r="407" spans="1:8">
      <c r="A407" s="2">
        <v>406</v>
      </c>
      <c r="B407" s="2" t="s">
        <v>76</v>
      </c>
      <c r="C407" s="2" t="s">
        <v>8</v>
      </c>
      <c r="D407" s="2">
        <v>41</v>
      </c>
      <c r="E407" s="3">
        <v>74886</v>
      </c>
      <c r="F407" s="2" t="s">
        <v>17</v>
      </c>
      <c r="G407" s="2" t="s">
        <v>10</v>
      </c>
      <c r="H407">
        <f t="shared" si="6"/>
        <v>3744.3</v>
      </c>
    </row>
    <row r="408" spans="1:8">
      <c r="A408" s="2">
        <v>407</v>
      </c>
      <c r="B408" s="2" t="s">
        <v>91</v>
      </c>
      <c r="C408" s="2" t="s">
        <v>16</v>
      </c>
      <c r="D408" s="2">
        <v>39</v>
      </c>
      <c r="E408" s="3">
        <v>89524</v>
      </c>
      <c r="F408" s="2" t="s">
        <v>9</v>
      </c>
      <c r="G408" s="2" t="s">
        <v>26</v>
      </c>
      <c r="H408">
        <f t="shared" si="6"/>
        <v>4476.2</v>
      </c>
    </row>
    <row r="409" spans="1:8">
      <c r="A409" s="2">
        <v>408</v>
      </c>
      <c r="B409" s="2" t="s">
        <v>92</v>
      </c>
      <c r="C409" s="2" t="s">
        <v>8</v>
      </c>
      <c r="D409" s="2">
        <v>5</v>
      </c>
      <c r="E409" s="3">
        <v>83231</v>
      </c>
      <c r="F409" s="2" t="s">
        <v>38</v>
      </c>
      <c r="G409" s="2" t="s">
        <v>23</v>
      </c>
      <c r="H409">
        <f t="shared" si="6"/>
        <v>4161.55</v>
      </c>
    </row>
    <row r="410" spans="1:8">
      <c r="A410" s="2">
        <v>409</v>
      </c>
      <c r="B410" s="2" t="s">
        <v>79</v>
      </c>
      <c r="C410" s="2" t="s">
        <v>8</v>
      </c>
      <c r="D410" s="2">
        <v>34</v>
      </c>
      <c r="E410" s="3">
        <v>35004</v>
      </c>
      <c r="F410" s="2" t="s">
        <v>17</v>
      </c>
      <c r="G410" s="2" t="s">
        <v>10</v>
      </c>
      <c r="H410">
        <f t="shared" si="6"/>
        <v>1750.2</v>
      </c>
    </row>
    <row r="411" spans="1:8">
      <c r="A411" s="2">
        <v>410</v>
      </c>
      <c r="B411" s="2" t="s">
        <v>80</v>
      </c>
      <c r="C411" s="2" t="s">
        <v>16</v>
      </c>
      <c r="D411" s="2">
        <v>1</v>
      </c>
      <c r="E411" s="3">
        <v>65911</v>
      </c>
      <c r="F411" s="2" t="s">
        <v>20</v>
      </c>
      <c r="G411" s="2" t="s">
        <v>23</v>
      </c>
      <c r="H411">
        <f t="shared" si="6"/>
        <v>3295.55</v>
      </c>
    </row>
    <row r="412" spans="1:8">
      <c r="A412" s="2">
        <v>411</v>
      </c>
      <c r="B412" s="2" t="s">
        <v>86</v>
      </c>
      <c r="C412" s="2" t="s">
        <v>12</v>
      </c>
      <c r="D412" s="2">
        <v>24</v>
      </c>
      <c r="E412" s="3">
        <v>27932</v>
      </c>
      <c r="F412" s="2" t="s">
        <v>25</v>
      </c>
      <c r="G412" s="2" t="s">
        <v>29</v>
      </c>
      <c r="H412">
        <f t="shared" si="6"/>
        <v>1396.6000000000001</v>
      </c>
    </row>
    <row r="413" spans="1:8">
      <c r="A413" s="2">
        <v>412</v>
      </c>
      <c r="B413" s="2" t="s">
        <v>50</v>
      </c>
      <c r="C413" s="2" t="s">
        <v>8</v>
      </c>
      <c r="D413" s="2">
        <v>21</v>
      </c>
      <c r="E413" s="3">
        <v>56435</v>
      </c>
      <c r="F413" s="2" t="s">
        <v>38</v>
      </c>
      <c r="G413" s="2" t="s">
        <v>10</v>
      </c>
      <c r="H413">
        <f t="shared" si="6"/>
        <v>2821.75</v>
      </c>
    </row>
    <row r="414" spans="1:8">
      <c r="A414" s="2">
        <v>413</v>
      </c>
      <c r="B414" s="2" t="s">
        <v>65</v>
      </c>
      <c r="C414" s="2" t="s">
        <v>12</v>
      </c>
      <c r="D414" s="2">
        <v>9</v>
      </c>
      <c r="E414" s="3">
        <v>46535</v>
      </c>
      <c r="F414" s="2" t="s">
        <v>28</v>
      </c>
      <c r="G414" s="2" t="s">
        <v>23</v>
      </c>
      <c r="H414">
        <f t="shared" si="6"/>
        <v>2326.75</v>
      </c>
    </row>
    <row r="415" spans="1:8">
      <c r="A415" s="2">
        <v>414</v>
      </c>
      <c r="B415" s="2" t="s">
        <v>41</v>
      </c>
      <c r="C415" s="2" t="s">
        <v>8</v>
      </c>
      <c r="D415" s="2">
        <v>25</v>
      </c>
      <c r="E415" s="3">
        <v>28513</v>
      </c>
      <c r="F415" s="2" t="s">
        <v>13</v>
      </c>
      <c r="G415" s="2" t="s">
        <v>10</v>
      </c>
      <c r="H415">
        <f t="shared" si="6"/>
        <v>1425.65</v>
      </c>
    </row>
    <row r="416" spans="1:8">
      <c r="A416" s="2">
        <v>415</v>
      </c>
      <c r="B416" s="2" t="s">
        <v>11</v>
      </c>
      <c r="C416" s="2" t="s">
        <v>8</v>
      </c>
      <c r="D416" s="2">
        <v>37</v>
      </c>
      <c r="E416" s="3">
        <v>68384</v>
      </c>
      <c r="F416" s="2" t="s">
        <v>20</v>
      </c>
      <c r="G416" s="2" t="s">
        <v>23</v>
      </c>
      <c r="H416">
        <f t="shared" si="6"/>
        <v>3419.2000000000003</v>
      </c>
    </row>
    <row r="417" spans="1:8">
      <c r="A417" s="2">
        <v>416</v>
      </c>
      <c r="B417" s="2" t="s">
        <v>56</v>
      </c>
      <c r="C417" s="2" t="s">
        <v>8</v>
      </c>
      <c r="D417" s="2">
        <v>27</v>
      </c>
      <c r="E417" s="3">
        <v>39640</v>
      </c>
      <c r="F417" s="2" t="s">
        <v>9</v>
      </c>
      <c r="G417" s="2" t="s">
        <v>10</v>
      </c>
      <c r="H417">
        <f t="shared" si="6"/>
        <v>1982</v>
      </c>
    </row>
    <row r="418" spans="1:8">
      <c r="A418" s="2">
        <v>417</v>
      </c>
      <c r="B418" s="2" t="s">
        <v>21</v>
      </c>
      <c r="C418" s="2" t="s">
        <v>22</v>
      </c>
      <c r="D418" s="2">
        <v>24</v>
      </c>
      <c r="E418" s="3">
        <v>42916</v>
      </c>
      <c r="F418" s="2" t="s">
        <v>25</v>
      </c>
      <c r="G418" s="2" t="s">
        <v>10</v>
      </c>
      <c r="H418">
        <f t="shared" si="6"/>
        <v>2145.8000000000002</v>
      </c>
    </row>
    <row r="419" spans="1:8">
      <c r="A419" s="2">
        <v>418</v>
      </c>
      <c r="B419" s="2" t="s">
        <v>80</v>
      </c>
      <c r="C419" s="2" t="s">
        <v>12</v>
      </c>
      <c r="D419" s="2">
        <v>35</v>
      </c>
      <c r="E419" s="3">
        <v>91893</v>
      </c>
      <c r="F419" s="2" t="s">
        <v>32</v>
      </c>
      <c r="G419" s="2" t="s">
        <v>18</v>
      </c>
      <c r="H419">
        <f t="shared" si="6"/>
        <v>4594.6500000000005</v>
      </c>
    </row>
    <row r="420" spans="1:8">
      <c r="A420" s="2">
        <v>419</v>
      </c>
      <c r="B420" s="2" t="s">
        <v>78</v>
      </c>
      <c r="C420" s="2" t="s">
        <v>12</v>
      </c>
      <c r="D420" s="2">
        <v>44</v>
      </c>
      <c r="E420" s="3">
        <v>40884</v>
      </c>
      <c r="F420" s="2" t="s">
        <v>28</v>
      </c>
      <c r="G420" s="2" t="s">
        <v>29</v>
      </c>
      <c r="H420">
        <f t="shared" si="6"/>
        <v>2044.2</v>
      </c>
    </row>
    <row r="421" spans="1:8">
      <c r="A421" s="2">
        <v>420</v>
      </c>
      <c r="B421" s="2" t="s">
        <v>67</v>
      </c>
      <c r="C421" s="2" t="s">
        <v>8</v>
      </c>
      <c r="D421" s="2">
        <v>12</v>
      </c>
      <c r="E421" s="3">
        <v>37323</v>
      </c>
      <c r="F421" s="2" t="s">
        <v>13</v>
      </c>
      <c r="G421" s="2" t="s">
        <v>29</v>
      </c>
      <c r="H421">
        <f t="shared" si="6"/>
        <v>1866.15</v>
      </c>
    </row>
    <row r="422" spans="1:8">
      <c r="A422" s="2">
        <v>421</v>
      </c>
      <c r="B422" s="2" t="s">
        <v>44</v>
      </c>
      <c r="C422" s="2" t="s">
        <v>16</v>
      </c>
      <c r="D422" s="2">
        <v>49</v>
      </c>
      <c r="E422" s="3">
        <v>48486</v>
      </c>
      <c r="F422" s="2" t="s">
        <v>38</v>
      </c>
      <c r="G422" s="2" t="s">
        <v>10</v>
      </c>
      <c r="H422">
        <f t="shared" si="6"/>
        <v>2424.3000000000002</v>
      </c>
    </row>
    <row r="423" spans="1:8">
      <c r="A423" s="2">
        <v>422</v>
      </c>
      <c r="B423" s="2" t="s">
        <v>64</v>
      </c>
      <c r="C423" s="2" t="s">
        <v>8</v>
      </c>
      <c r="D423" s="2">
        <v>31</v>
      </c>
      <c r="E423" s="3">
        <v>88846</v>
      </c>
      <c r="F423" s="2" t="s">
        <v>20</v>
      </c>
      <c r="G423" s="2" t="s">
        <v>23</v>
      </c>
      <c r="H423">
        <f t="shared" si="6"/>
        <v>4442.3</v>
      </c>
    </row>
    <row r="424" spans="1:8">
      <c r="A424" s="2">
        <v>423</v>
      </c>
      <c r="B424" s="2" t="s">
        <v>19</v>
      </c>
      <c r="C424" s="2" t="s">
        <v>22</v>
      </c>
      <c r="D424" s="2">
        <v>50</v>
      </c>
      <c r="E424" s="3">
        <v>92657</v>
      </c>
      <c r="F424" s="2" t="s">
        <v>32</v>
      </c>
      <c r="G424" s="2" t="s">
        <v>14</v>
      </c>
      <c r="H424">
        <f t="shared" si="6"/>
        <v>4632.8500000000004</v>
      </c>
    </row>
    <row r="425" spans="1:8">
      <c r="A425" s="2">
        <v>424</v>
      </c>
      <c r="B425" s="2" t="s">
        <v>89</v>
      </c>
      <c r="C425" s="2" t="s">
        <v>8</v>
      </c>
      <c r="D425" s="2">
        <v>5</v>
      </c>
      <c r="E425" s="3">
        <v>98105</v>
      </c>
      <c r="F425" s="2" t="s">
        <v>13</v>
      </c>
      <c r="G425" s="2" t="s">
        <v>23</v>
      </c>
      <c r="H425">
        <f t="shared" si="6"/>
        <v>4905.25</v>
      </c>
    </row>
    <row r="426" spans="1:8">
      <c r="A426" s="2">
        <v>425</v>
      </c>
      <c r="B426" s="2" t="s">
        <v>21</v>
      </c>
      <c r="C426" s="2" t="s">
        <v>22</v>
      </c>
      <c r="D426" s="2">
        <v>2</v>
      </c>
      <c r="E426" s="3">
        <v>35304</v>
      </c>
      <c r="F426" s="2" t="s">
        <v>9</v>
      </c>
      <c r="G426" s="2" t="s">
        <v>10</v>
      </c>
      <c r="H426">
        <f t="shared" si="6"/>
        <v>1765.2</v>
      </c>
    </row>
    <row r="427" spans="1:8">
      <c r="A427" s="2">
        <v>426</v>
      </c>
      <c r="B427" s="2" t="s">
        <v>59</v>
      </c>
      <c r="C427" s="2" t="s">
        <v>8</v>
      </c>
      <c r="D427" s="2">
        <v>38</v>
      </c>
      <c r="E427" s="3">
        <v>43780</v>
      </c>
      <c r="F427" s="2" t="s">
        <v>32</v>
      </c>
      <c r="G427" s="2" t="s">
        <v>26</v>
      </c>
      <c r="H427">
        <f t="shared" si="6"/>
        <v>2189</v>
      </c>
    </row>
    <row r="428" spans="1:8">
      <c r="A428" s="2">
        <v>427</v>
      </c>
      <c r="B428" s="2" t="s">
        <v>67</v>
      </c>
      <c r="C428" s="2" t="s">
        <v>12</v>
      </c>
      <c r="D428" s="2">
        <v>5</v>
      </c>
      <c r="E428" s="3">
        <v>54415</v>
      </c>
      <c r="F428" s="2" t="s">
        <v>38</v>
      </c>
      <c r="G428" s="2" t="s">
        <v>29</v>
      </c>
      <c r="H428">
        <f t="shared" si="6"/>
        <v>2720.75</v>
      </c>
    </row>
    <row r="429" spans="1:8">
      <c r="A429" s="2">
        <v>428</v>
      </c>
      <c r="B429" s="2" t="s">
        <v>44</v>
      </c>
      <c r="C429" s="2" t="s">
        <v>8</v>
      </c>
      <c r="D429" s="2">
        <v>1</v>
      </c>
      <c r="E429" s="3">
        <v>99323</v>
      </c>
      <c r="F429" s="2" t="s">
        <v>32</v>
      </c>
      <c r="G429" s="2" t="s">
        <v>26</v>
      </c>
      <c r="H429">
        <f t="shared" si="6"/>
        <v>4966.1500000000005</v>
      </c>
    </row>
    <row r="430" spans="1:8">
      <c r="A430" s="2">
        <v>429</v>
      </c>
      <c r="B430" s="2" t="s">
        <v>60</v>
      </c>
      <c r="C430" s="2" t="s">
        <v>12</v>
      </c>
      <c r="D430" s="2">
        <v>17</v>
      </c>
      <c r="E430" s="3">
        <v>50205</v>
      </c>
      <c r="F430" s="2" t="s">
        <v>9</v>
      </c>
      <c r="G430" s="2" t="s">
        <v>23</v>
      </c>
      <c r="H430">
        <f t="shared" si="6"/>
        <v>2510.25</v>
      </c>
    </row>
    <row r="431" spans="1:8">
      <c r="A431" s="2">
        <v>430</v>
      </c>
      <c r="B431" s="2" t="s">
        <v>86</v>
      </c>
      <c r="C431" s="2" t="s">
        <v>16</v>
      </c>
      <c r="D431" s="2">
        <v>14</v>
      </c>
      <c r="E431" s="3">
        <v>55673</v>
      </c>
      <c r="F431" s="2" t="s">
        <v>20</v>
      </c>
      <c r="G431" s="2" t="s">
        <v>18</v>
      </c>
      <c r="H431">
        <f t="shared" si="6"/>
        <v>2783.65</v>
      </c>
    </row>
    <row r="432" spans="1:8">
      <c r="A432" s="2">
        <v>431</v>
      </c>
      <c r="B432" s="2" t="s">
        <v>92</v>
      </c>
      <c r="C432" s="2" t="s">
        <v>16</v>
      </c>
      <c r="D432" s="2">
        <v>3</v>
      </c>
      <c r="E432" s="3">
        <v>53100</v>
      </c>
      <c r="F432" s="2" t="s">
        <v>32</v>
      </c>
      <c r="G432" s="2" t="s">
        <v>10</v>
      </c>
      <c r="H432">
        <f t="shared" si="6"/>
        <v>2655</v>
      </c>
    </row>
    <row r="433" spans="1:8">
      <c r="A433" s="2">
        <v>432</v>
      </c>
      <c r="B433" s="2" t="s">
        <v>57</v>
      </c>
      <c r="C433" s="2" t="s">
        <v>8</v>
      </c>
      <c r="D433" s="2">
        <v>4</v>
      </c>
      <c r="E433" s="3">
        <v>48399</v>
      </c>
      <c r="F433" s="2" t="s">
        <v>9</v>
      </c>
      <c r="G433" s="2" t="s">
        <v>23</v>
      </c>
      <c r="H433">
        <f t="shared" si="6"/>
        <v>2419.9500000000003</v>
      </c>
    </row>
    <row r="434" spans="1:8">
      <c r="A434" s="2">
        <v>433</v>
      </c>
      <c r="B434" s="2" t="s">
        <v>74</v>
      </c>
      <c r="C434" s="2" t="s">
        <v>8</v>
      </c>
      <c r="D434" s="2">
        <v>26</v>
      </c>
      <c r="E434" s="3">
        <v>64039</v>
      </c>
      <c r="F434" s="2" t="s">
        <v>13</v>
      </c>
      <c r="G434" s="2" t="s">
        <v>23</v>
      </c>
      <c r="H434">
        <f t="shared" si="6"/>
        <v>3201.9500000000003</v>
      </c>
    </row>
    <row r="435" spans="1:8">
      <c r="A435" s="2">
        <v>434</v>
      </c>
      <c r="B435" s="2" t="s">
        <v>39</v>
      </c>
      <c r="C435" s="2" t="s">
        <v>16</v>
      </c>
      <c r="D435" s="2">
        <v>33</v>
      </c>
      <c r="E435" s="3">
        <v>88348</v>
      </c>
      <c r="F435" s="2" t="s">
        <v>28</v>
      </c>
      <c r="G435" s="2" t="s">
        <v>18</v>
      </c>
      <c r="H435">
        <f t="shared" si="6"/>
        <v>4417.4000000000005</v>
      </c>
    </row>
    <row r="436" spans="1:8">
      <c r="A436" s="2">
        <v>435</v>
      </c>
      <c r="B436" s="2" t="s">
        <v>53</v>
      </c>
      <c r="C436" s="2" t="s">
        <v>22</v>
      </c>
      <c r="D436" s="2">
        <v>19</v>
      </c>
      <c r="E436" s="3">
        <v>40355</v>
      </c>
      <c r="F436" s="2" t="s">
        <v>17</v>
      </c>
      <c r="G436" s="2" t="s">
        <v>14</v>
      </c>
      <c r="H436">
        <f t="shared" si="6"/>
        <v>2017.75</v>
      </c>
    </row>
    <row r="437" spans="1:8">
      <c r="A437" s="2">
        <v>436</v>
      </c>
      <c r="B437" s="2" t="s">
        <v>11</v>
      </c>
      <c r="C437" s="2" t="s">
        <v>16</v>
      </c>
      <c r="D437" s="2">
        <v>41</v>
      </c>
      <c r="E437" s="3">
        <v>73243</v>
      </c>
      <c r="F437" s="2" t="s">
        <v>25</v>
      </c>
      <c r="G437" s="2" t="s">
        <v>14</v>
      </c>
      <c r="H437">
        <f t="shared" si="6"/>
        <v>3662.15</v>
      </c>
    </row>
    <row r="438" spans="1:8">
      <c r="A438" s="2">
        <v>437</v>
      </c>
      <c r="B438" s="2" t="s">
        <v>60</v>
      </c>
      <c r="C438" s="2" t="s">
        <v>16</v>
      </c>
      <c r="D438" s="2">
        <v>46</v>
      </c>
      <c r="E438" s="3">
        <v>75413</v>
      </c>
      <c r="F438" s="2" t="s">
        <v>38</v>
      </c>
      <c r="G438" s="2" t="s">
        <v>23</v>
      </c>
      <c r="H438">
        <f t="shared" si="6"/>
        <v>3770.65</v>
      </c>
    </row>
    <row r="439" spans="1:8">
      <c r="A439" s="2">
        <v>438</v>
      </c>
      <c r="B439" s="2" t="s">
        <v>15</v>
      </c>
      <c r="C439" s="2" t="s">
        <v>22</v>
      </c>
      <c r="D439" s="2">
        <v>33</v>
      </c>
      <c r="E439" s="3">
        <v>88713</v>
      </c>
      <c r="F439" s="2" t="s">
        <v>20</v>
      </c>
      <c r="G439" s="2" t="s">
        <v>10</v>
      </c>
      <c r="H439">
        <f t="shared" si="6"/>
        <v>4435.6500000000005</v>
      </c>
    </row>
    <row r="440" spans="1:8">
      <c r="A440" s="2">
        <v>439</v>
      </c>
      <c r="B440" s="2" t="s">
        <v>68</v>
      </c>
      <c r="C440" s="2" t="s">
        <v>16</v>
      </c>
      <c r="D440" s="2">
        <v>50</v>
      </c>
      <c r="E440" s="3">
        <v>66204</v>
      </c>
      <c r="F440" s="2" t="s">
        <v>28</v>
      </c>
      <c r="G440" s="2" t="s">
        <v>26</v>
      </c>
      <c r="H440">
        <f t="shared" si="6"/>
        <v>3310.2000000000003</v>
      </c>
    </row>
    <row r="441" spans="1:8">
      <c r="A441" s="2">
        <v>440</v>
      </c>
      <c r="B441" s="2" t="s">
        <v>93</v>
      </c>
      <c r="C441" s="2" t="s">
        <v>16</v>
      </c>
      <c r="D441" s="2">
        <v>27</v>
      </c>
      <c r="E441" s="3">
        <v>53711</v>
      </c>
      <c r="F441" s="2" t="s">
        <v>9</v>
      </c>
      <c r="G441" s="2" t="s">
        <v>18</v>
      </c>
      <c r="H441">
        <f t="shared" si="6"/>
        <v>2685.55</v>
      </c>
    </row>
    <row r="442" spans="1:8">
      <c r="A442" s="2">
        <v>441</v>
      </c>
      <c r="B442" s="2" t="s">
        <v>49</v>
      </c>
      <c r="C442" s="2" t="s">
        <v>22</v>
      </c>
      <c r="D442" s="2">
        <v>28</v>
      </c>
      <c r="E442" s="3">
        <v>86359</v>
      </c>
      <c r="F442" s="2" t="s">
        <v>28</v>
      </c>
      <c r="G442" s="2" t="s">
        <v>14</v>
      </c>
      <c r="H442">
        <f t="shared" si="6"/>
        <v>4317.95</v>
      </c>
    </row>
    <row r="443" spans="1:8">
      <c r="A443" s="2">
        <v>442</v>
      </c>
      <c r="B443" s="2" t="s">
        <v>85</v>
      </c>
      <c r="C443" s="2" t="s">
        <v>22</v>
      </c>
      <c r="D443" s="2">
        <v>45</v>
      </c>
      <c r="E443" s="3">
        <v>82906</v>
      </c>
      <c r="F443" s="2" t="s">
        <v>32</v>
      </c>
      <c r="G443" s="2" t="s">
        <v>23</v>
      </c>
      <c r="H443">
        <f t="shared" si="6"/>
        <v>4145.3</v>
      </c>
    </row>
    <row r="444" spans="1:8">
      <c r="A444" s="2">
        <v>443</v>
      </c>
      <c r="B444" s="2" t="s">
        <v>51</v>
      </c>
      <c r="C444" s="2" t="s">
        <v>12</v>
      </c>
      <c r="D444" s="2">
        <v>26</v>
      </c>
      <c r="E444" s="3">
        <v>89097</v>
      </c>
      <c r="F444" s="2" t="s">
        <v>17</v>
      </c>
      <c r="G444" s="2" t="s">
        <v>10</v>
      </c>
      <c r="H444">
        <f t="shared" si="6"/>
        <v>4454.8500000000004</v>
      </c>
    </row>
    <row r="445" spans="1:8">
      <c r="A445" s="2">
        <v>444</v>
      </c>
      <c r="B445" s="2" t="s">
        <v>54</v>
      </c>
      <c r="C445" s="2" t="s">
        <v>8</v>
      </c>
      <c r="D445" s="2">
        <v>6</v>
      </c>
      <c r="E445" s="3">
        <v>69155</v>
      </c>
      <c r="F445" s="2" t="s">
        <v>38</v>
      </c>
      <c r="G445" s="2" t="s">
        <v>26</v>
      </c>
      <c r="H445">
        <f t="shared" si="6"/>
        <v>3457.75</v>
      </c>
    </row>
    <row r="446" spans="1:8">
      <c r="A446" s="2">
        <v>445</v>
      </c>
      <c r="B446" s="2" t="s">
        <v>34</v>
      </c>
      <c r="C446" s="2" t="s">
        <v>12</v>
      </c>
      <c r="D446" s="2">
        <v>41</v>
      </c>
      <c r="E446" s="3">
        <v>52110</v>
      </c>
      <c r="F446" s="2" t="s">
        <v>32</v>
      </c>
      <c r="G446" s="2" t="s">
        <v>14</v>
      </c>
      <c r="H446">
        <f t="shared" si="6"/>
        <v>2605.5</v>
      </c>
    </row>
    <row r="447" spans="1:8">
      <c r="A447" s="2">
        <v>446</v>
      </c>
      <c r="B447" s="2" t="s">
        <v>48</v>
      </c>
      <c r="C447" s="2" t="s">
        <v>22</v>
      </c>
      <c r="D447" s="2">
        <v>35</v>
      </c>
      <c r="E447" s="3">
        <v>98600</v>
      </c>
      <c r="F447" s="2" t="s">
        <v>20</v>
      </c>
      <c r="G447" s="2" t="s">
        <v>29</v>
      </c>
      <c r="H447">
        <f t="shared" si="6"/>
        <v>4930</v>
      </c>
    </row>
    <row r="448" spans="1:8">
      <c r="A448" s="2">
        <v>447</v>
      </c>
      <c r="B448" s="2" t="s">
        <v>52</v>
      </c>
      <c r="C448" s="2" t="s">
        <v>16</v>
      </c>
      <c r="D448" s="2">
        <v>35</v>
      </c>
      <c r="E448" s="3">
        <v>97491</v>
      </c>
      <c r="F448" s="2" t="s">
        <v>32</v>
      </c>
      <c r="G448" s="2" t="s">
        <v>26</v>
      </c>
      <c r="H448">
        <f t="shared" si="6"/>
        <v>4874.55</v>
      </c>
    </row>
    <row r="449" spans="1:8">
      <c r="A449" s="2">
        <v>448</v>
      </c>
      <c r="B449" s="2" t="s">
        <v>82</v>
      </c>
      <c r="C449" s="2" t="s">
        <v>22</v>
      </c>
      <c r="D449" s="2">
        <v>40</v>
      </c>
      <c r="E449" s="3">
        <v>31273</v>
      </c>
      <c r="F449" s="2" t="s">
        <v>13</v>
      </c>
      <c r="G449" s="2" t="s">
        <v>26</v>
      </c>
      <c r="H449">
        <f t="shared" si="6"/>
        <v>1563.65</v>
      </c>
    </row>
    <row r="450" spans="1:8">
      <c r="A450" s="2">
        <v>449</v>
      </c>
      <c r="B450" s="2" t="s">
        <v>71</v>
      </c>
      <c r="C450" s="2" t="s">
        <v>16</v>
      </c>
      <c r="D450" s="2">
        <v>10</v>
      </c>
      <c r="E450" s="3">
        <v>85460</v>
      </c>
      <c r="F450" s="2" t="s">
        <v>17</v>
      </c>
      <c r="G450" s="2" t="s">
        <v>23</v>
      </c>
      <c r="H450">
        <f t="shared" si="6"/>
        <v>4273</v>
      </c>
    </row>
    <row r="451" spans="1:8">
      <c r="A451" s="2">
        <v>450</v>
      </c>
      <c r="B451" s="2" t="s">
        <v>81</v>
      </c>
      <c r="C451" s="2" t="s">
        <v>12</v>
      </c>
      <c r="D451" s="2">
        <v>18</v>
      </c>
      <c r="E451" s="3">
        <v>73333</v>
      </c>
      <c r="F451" s="2" t="s">
        <v>38</v>
      </c>
      <c r="G451" s="2" t="s">
        <v>18</v>
      </c>
      <c r="H451">
        <f t="shared" ref="H451:H514" si="7">E451*5%</f>
        <v>3666.65</v>
      </c>
    </row>
    <row r="452" spans="1:8">
      <c r="A452" s="2">
        <v>451</v>
      </c>
      <c r="B452" s="2" t="s">
        <v>51</v>
      </c>
      <c r="C452" s="2" t="s">
        <v>12</v>
      </c>
      <c r="D452" s="2">
        <v>6</v>
      </c>
      <c r="E452" s="3">
        <v>63561</v>
      </c>
      <c r="F452" s="2" t="s">
        <v>25</v>
      </c>
      <c r="G452" s="2" t="s">
        <v>10</v>
      </c>
      <c r="H452">
        <f t="shared" si="7"/>
        <v>3178.05</v>
      </c>
    </row>
    <row r="453" spans="1:8">
      <c r="A453" s="2">
        <v>452</v>
      </c>
      <c r="B453" s="2" t="s">
        <v>82</v>
      </c>
      <c r="C453" s="2" t="s">
        <v>12</v>
      </c>
      <c r="D453" s="2">
        <v>20</v>
      </c>
      <c r="E453" s="3">
        <v>33829</v>
      </c>
      <c r="F453" s="2" t="s">
        <v>28</v>
      </c>
      <c r="G453" s="2" t="s">
        <v>23</v>
      </c>
      <c r="H453">
        <f t="shared" si="7"/>
        <v>1691.45</v>
      </c>
    </row>
    <row r="454" spans="1:8">
      <c r="A454" s="2">
        <v>453</v>
      </c>
      <c r="B454" s="2" t="s">
        <v>63</v>
      </c>
      <c r="C454" s="2" t="s">
        <v>16</v>
      </c>
      <c r="D454" s="2">
        <v>6</v>
      </c>
      <c r="E454" s="3">
        <v>70949</v>
      </c>
      <c r="F454" s="2" t="s">
        <v>20</v>
      </c>
      <c r="G454" s="2" t="s">
        <v>14</v>
      </c>
      <c r="H454">
        <f t="shared" si="7"/>
        <v>3547.4500000000003</v>
      </c>
    </row>
    <row r="455" spans="1:8">
      <c r="A455" s="2">
        <v>454</v>
      </c>
      <c r="B455" s="2" t="s">
        <v>37</v>
      </c>
      <c r="C455" s="2" t="s">
        <v>8</v>
      </c>
      <c r="D455" s="2">
        <v>33</v>
      </c>
      <c r="E455" s="3">
        <v>78485</v>
      </c>
      <c r="F455" s="2" t="s">
        <v>13</v>
      </c>
      <c r="G455" s="2" t="s">
        <v>23</v>
      </c>
      <c r="H455">
        <f t="shared" si="7"/>
        <v>3924.25</v>
      </c>
    </row>
    <row r="456" spans="1:8">
      <c r="A456" s="2">
        <v>455</v>
      </c>
      <c r="B456" s="2" t="s">
        <v>70</v>
      </c>
      <c r="C456" s="2" t="s">
        <v>8</v>
      </c>
      <c r="D456" s="2">
        <v>14</v>
      </c>
      <c r="E456" s="3">
        <v>97650</v>
      </c>
      <c r="F456" s="2" t="s">
        <v>32</v>
      </c>
      <c r="G456" s="2" t="s">
        <v>23</v>
      </c>
      <c r="H456">
        <f t="shared" si="7"/>
        <v>4882.5</v>
      </c>
    </row>
    <row r="457" spans="1:8">
      <c r="A457" s="2">
        <v>456</v>
      </c>
      <c r="B457" s="2" t="s">
        <v>45</v>
      </c>
      <c r="C457" s="2" t="s">
        <v>8</v>
      </c>
      <c r="D457" s="2">
        <v>10</v>
      </c>
      <c r="E457" s="3">
        <v>50720</v>
      </c>
      <c r="F457" s="2" t="s">
        <v>38</v>
      </c>
      <c r="G457" s="2" t="s">
        <v>14</v>
      </c>
      <c r="H457">
        <f t="shared" si="7"/>
        <v>2536</v>
      </c>
    </row>
    <row r="458" spans="1:8">
      <c r="A458" s="2">
        <v>457</v>
      </c>
      <c r="B458" s="2" t="s">
        <v>82</v>
      </c>
      <c r="C458" s="2" t="s">
        <v>22</v>
      </c>
      <c r="D458" s="2">
        <v>35</v>
      </c>
      <c r="E458" s="3">
        <v>95569</v>
      </c>
      <c r="F458" s="2" t="s">
        <v>38</v>
      </c>
      <c r="G458" s="2" t="s">
        <v>29</v>
      </c>
      <c r="H458">
        <f t="shared" si="7"/>
        <v>4778.45</v>
      </c>
    </row>
    <row r="459" spans="1:8">
      <c r="A459" s="2">
        <v>458</v>
      </c>
      <c r="B459" s="2" t="s">
        <v>45</v>
      </c>
      <c r="C459" s="2" t="s">
        <v>22</v>
      </c>
      <c r="D459" s="2">
        <v>21</v>
      </c>
      <c r="E459" s="3">
        <v>84529</v>
      </c>
      <c r="F459" s="2" t="s">
        <v>9</v>
      </c>
      <c r="G459" s="2" t="s">
        <v>10</v>
      </c>
      <c r="H459">
        <f t="shared" si="7"/>
        <v>4226.45</v>
      </c>
    </row>
    <row r="460" spans="1:8">
      <c r="A460" s="2">
        <v>459</v>
      </c>
      <c r="B460" s="2" t="s">
        <v>61</v>
      </c>
      <c r="C460" s="2" t="s">
        <v>16</v>
      </c>
      <c r="D460" s="2">
        <v>26</v>
      </c>
      <c r="E460" s="3">
        <v>78201</v>
      </c>
      <c r="F460" s="2" t="s">
        <v>25</v>
      </c>
      <c r="G460" s="2" t="s">
        <v>26</v>
      </c>
      <c r="H460">
        <f t="shared" si="7"/>
        <v>3910.05</v>
      </c>
    </row>
    <row r="461" spans="1:8">
      <c r="A461" s="2">
        <v>460</v>
      </c>
      <c r="B461" s="2" t="s">
        <v>75</v>
      </c>
      <c r="C461" s="2" t="s">
        <v>22</v>
      </c>
      <c r="D461" s="2">
        <v>38</v>
      </c>
      <c r="E461" s="3">
        <v>50819</v>
      </c>
      <c r="F461" s="2" t="s">
        <v>17</v>
      </c>
      <c r="G461" s="2" t="s">
        <v>26</v>
      </c>
      <c r="H461">
        <f t="shared" si="7"/>
        <v>2540.9500000000003</v>
      </c>
    </row>
    <row r="462" spans="1:8">
      <c r="A462" s="2">
        <v>461</v>
      </c>
      <c r="B462" s="2" t="s">
        <v>42</v>
      </c>
      <c r="C462" s="2" t="s">
        <v>16</v>
      </c>
      <c r="D462" s="2">
        <v>41</v>
      </c>
      <c r="E462" s="3">
        <v>93297</v>
      </c>
      <c r="F462" s="2" t="s">
        <v>20</v>
      </c>
      <c r="G462" s="2" t="s">
        <v>26</v>
      </c>
      <c r="H462">
        <f t="shared" si="7"/>
        <v>4664.8500000000004</v>
      </c>
    </row>
    <row r="463" spans="1:8">
      <c r="A463" s="2">
        <v>462</v>
      </c>
      <c r="B463" s="2" t="s">
        <v>92</v>
      </c>
      <c r="C463" s="2" t="s">
        <v>12</v>
      </c>
      <c r="D463" s="2">
        <v>49</v>
      </c>
      <c r="E463" s="3">
        <v>96216</v>
      </c>
      <c r="F463" s="2" t="s">
        <v>32</v>
      </c>
      <c r="G463" s="2" t="s">
        <v>26</v>
      </c>
      <c r="H463">
        <f t="shared" si="7"/>
        <v>4810.8</v>
      </c>
    </row>
    <row r="464" spans="1:8">
      <c r="A464" s="2">
        <v>463</v>
      </c>
      <c r="B464" s="2" t="s">
        <v>59</v>
      </c>
      <c r="C464" s="2" t="s">
        <v>16</v>
      </c>
      <c r="D464" s="2">
        <v>42</v>
      </c>
      <c r="E464" s="3">
        <v>64077</v>
      </c>
      <c r="F464" s="2" t="s">
        <v>25</v>
      </c>
      <c r="G464" s="2" t="s">
        <v>14</v>
      </c>
      <c r="H464">
        <f t="shared" si="7"/>
        <v>3203.8500000000004</v>
      </c>
    </row>
    <row r="465" spans="1:8">
      <c r="A465" s="2">
        <v>464</v>
      </c>
      <c r="B465" s="2" t="s">
        <v>27</v>
      </c>
      <c r="C465" s="2" t="s">
        <v>22</v>
      </c>
      <c r="D465" s="2">
        <v>44</v>
      </c>
      <c r="E465" s="3">
        <v>45167</v>
      </c>
      <c r="F465" s="2" t="s">
        <v>9</v>
      </c>
      <c r="G465" s="2" t="s">
        <v>26</v>
      </c>
      <c r="H465">
        <f t="shared" si="7"/>
        <v>2258.35</v>
      </c>
    </row>
    <row r="466" spans="1:8">
      <c r="A466" s="2">
        <v>465</v>
      </c>
      <c r="B466" s="2" t="s">
        <v>69</v>
      </c>
      <c r="C466" s="2" t="s">
        <v>12</v>
      </c>
      <c r="D466" s="2">
        <v>42</v>
      </c>
      <c r="E466" s="3">
        <v>72003</v>
      </c>
      <c r="F466" s="2" t="s">
        <v>20</v>
      </c>
      <c r="G466" s="2" t="s">
        <v>26</v>
      </c>
      <c r="H466">
        <f t="shared" si="7"/>
        <v>3600.15</v>
      </c>
    </row>
    <row r="467" spans="1:8">
      <c r="A467" s="2">
        <v>466</v>
      </c>
      <c r="B467" s="2" t="s">
        <v>71</v>
      </c>
      <c r="C467" s="2" t="s">
        <v>12</v>
      </c>
      <c r="D467" s="2">
        <v>5</v>
      </c>
      <c r="E467" s="3">
        <v>67099</v>
      </c>
      <c r="F467" s="2" t="s">
        <v>17</v>
      </c>
      <c r="G467" s="2" t="s">
        <v>23</v>
      </c>
      <c r="H467">
        <f t="shared" si="7"/>
        <v>3354.9500000000003</v>
      </c>
    </row>
    <row r="468" spans="1:8">
      <c r="A468" s="2">
        <v>467</v>
      </c>
      <c r="B468" s="2" t="s">
        <v>92</v>
      </c>
      <c r="C468" s="2" t="s">
        <v>16</v>
      </c>
      <c r="D468" s="2">
        <v>20</v>
      </c>
      <c r="E468" s="3">
        <v>93154</v>
      </c>
      <c r="F468" s="2" t="s">
        <v>38</v>
      </c>
      <c r="G468" s="2" t="s">
        <v>23</v>
      </c>
      <c r="H468">
        <f t="shared" si="7"/>
        <v>4657.7</v>
      </c>
    </row>
    <row r="469" spans="1:8">
      <c r="A469" s="2">
        <v>468</v>
      </c>
      <c r="B469" s="2" t="s">
        <v>60</v>
      </c>
      <c r="C469" s="2" t="s">
        <v>8</v>
      </c>
      <c r="D469" s="2">
        <v>45</v>
      </c>
      <c r="E469" s="3">
        <v>46737</v>
      </c>
      <c r="F469" s="2" t="s">
        <v>38</v>
      </c>
      <c r="G469" s="2" t="s">
        <v>18</v>
      </c>
      <c r="H469">
        <f t="shared" si="7"/>
        <v>2336.85</v>
      </c>
    </row>
    <row r="470" spans="1:8">
      <c r="A470" s="2">
        <v>469</v>
      </c>
      <c r="B470" s="2" t="s">
        <v>15</v>
      </c>
      <c r="C470" s="2" t="s">
        <v>22</v>
      </c>
      <c r="D470" s="2">
        <v>28</v>
      </c>
      <c r="E470" s="3">
        <v>72184</v>
      </c>
      <c r="F470" s="2" t="s">
        <v>17</v>
      </c>
      <c r="G470" s="2" t="s">
        <v>23</v>
      </c>
      <c r="H470">
        <f t="shared" si="7"/>
        <v>3609.2000000000003</v>
      </c>
    </row>
    <row r="471" spans="1:8">
      <c r="A471" s="2">
        <v>470</v>
      </c>
      <c r="B471" s="2" t="s">
        <v>30</v>
      </c>
      <c r="C471" s="2" t="s">
        <v>22</v>
      </c>
      <c r="D471" s="2">
        <v>47</v>
      </c>
      <c r="E471" s="3">
        <v>58552</v>
      </c>
      <c r="F471" s="2" t="s">
        <v>25</v>
      </c>
      <c r="G471" s="2" t="s">
        <v>14</v>
      </c>
      <c r="H471">
        <f t="shared" si="7"/>
        <v>2927.6000000000004</v>
      </c>
    </row>
    <row r="472" spans="1:8">
      <c r="A472" s="2">
        <v>471</v>
      </c>
      <c r="B472" s="2" t="s">
        <v>70</v>
      </c>
      <c r="C472" s="2" t="s">
        <v>8</v>
      </c>
      <c r="D472" s="2">
        <v>16</v>
      </c>
      <c r="E472" s="3">
        <v>81553</v>
      </c>
      <c r="F472" s="2" t="s">
        <v>20</v>
      </c>
      <c r="G472" s="2" t="s">
        <v>18</v>
      </c>
      <c r="H472">
        <f t="shared" si="7"/>
        <v>4077.65</v>
      </c>
    </row>
    <row r="473" spans="1:8">
      <c r="A473" s="2">
        <v>472</v>
      </c>
      <c r="B473" s="2" t="s">
        <v>59</v>
      </c>
      <c r="C473" s="2" t="s">
        <v>22</v>
      </c>
      <c r="D473" s="2">
        <v>4</v>
      </c>
      <c r="E473" s="3">
        <v>42440</v>
      </c>
      <c r="F473" s="2" t="s">
        <v>25</v>
      </c>
      <c r="G473" s="2" t="s">
        <v>23</v>
      </c>
      <c r="H473">
        <f t="shared" si="7"/>
        <v>2122</v>
      </c>
    </row>
    <row r="474" spans="1:8">
      <c r="A474" s="2">
        <v>473</v>
      </c>
      <c r="B474" s="2" t="s">
        <v>48</v>
      </c>
      <c r="C474" s="2" t="s">
        <v>8</v>
      </c>
      <c r="D474" s="2">
        <v>16</v>
      </c>
      <c r="E474" s="3">
        <v>97209</v>
      </c>
      <c r="F474" s="2" t="s">
        <v>9</v>
      </c>
      <c r="G474" s="2" t="s">
        <v>14</v>
      </c>
      <c r="H474">
        <f t="shared" si="7"/>
        <v>4860.45</v>
      </c>
    </row>
    <row r="475" spans="1:8">
      <c r="A475" s="2">
        <v>474</v>
      </c>
      <c r="B475" s="2" t="s">
        <v>82</v>
      </c>
      <c r="C475" s="2" t="s">
        <v>8</v>
      </c>
      <c r="D475" s="2">
        <v>6</v>
      </c>
      <c r="E475" s="3">
        <v>69936</v>
      </c>
      <c r="F475" s="2" t="s">
        <v>32</v>
      </c>
      <c r="G475" s="2" t="s">
        <v>10</v>
      </c>
      <c r="H475">
        <f t="shared" si="7"/>
        <v>3496.8</v>
      </c>
    </row>
    <row r="476" spans="1:8">
      <c r="A476" s="2">
        <v>475</v>
      </c>
      <c r="B476" s="2" t="s">
        <v>62</v>
      </c>
      <c r="C476" s="2" t="s">
        <v>12</v>
      </c>
      <c r="D476" s="2">
        <v>28</v>
      </c>
      <c r="E476" s="3">
        <v>63744</v>
      </c>
      <c r="F476" s="2" t="s">
        <v>17</v>
      </c>
      <c r="G476" s="2" t="s">
        <v>10</v>
      </c>
      <c r="H476">
        <f t="shared" si="7"/>
        <v>3187.2000000000003</v>
      </c>
    </row>
    <row r="477" spans="1:8">
      <c r="A477" s="2">
        <v>476</v>
      </c>
      <c r="B477" s="2" t="s">
        <v>81</v>
      </c>
      <c r="C477" s="2" t="s">
        <v>12</v>
      </c>
      <c r="D477" s="2">
        <v>8</v>
      </c>
      <c r="E477" s="3">
        <v>62880</v>
      </c>
      <c r="F477" s="2" t="s">
        <v>17</v>
      </c>
      <c r="G477" s="2" t="s">
        <v>23</v>
      </c>
      <c r="H477">
        <f t="shared" si="7"/>
        <v>3144</v>
      </c>
    </row>
    <row r="478" spans="1:8">
      <c r="A478" s="2">
        <v>477</v>
      </c>
      <c r="B478" s="2" t="s">
        <v>83</v>
      </c>
      <c r="C478" s="2" t="s">
        <v>16</v>
      </c>
      <c r="D478" s="2">
        <v>30</v>
      </c>
      <c r="E478" s="3">
        <v>83128</v>
      </c>
      <c r="F478" s="2" t="s">
        <v>9</v>
      </c>
      <c r="G478" s="2" t="s">
        <v>10</v>
      </c>
      <c r="H478">
        <f t="shared" si="7"/>
        <v>4156.4000000000005</v>
      </c>
    </row>
    <row r="479" spans="1:8">
      <c r="A479" s="2">
        <v>478</v>
      </c>
      <c r="B479" s="2" t="s">
        <v>19</v>
      </c>
      <c r="C479" s="2" t="s">
        <v>12</v>
      </c>
      <c r="D479" s="2">
        <v>40</v>
      </c>
      <c r="E479" s="3">
        <v>54214</v>
      </c>
      <c r="F479" s="2" t="s">
        <v>32</v>
      </c>
      <c r="G479" s="2" t="s">
        <v>23</v>
      </c>
      <c r="H479">
        <f t="shared" si="7"/>
        <v>2710.7000000000003</v>
      </c>
    </row>
    <row r="480" spans="1:8">
      <c r="A480" s="2">
        <v>479</v>
      </c>
      <c r="B480" s="2" t="s">
        <v>74</v>
      </c>
      <c r="C480" s="2" t="s">
        <v>8</v>
      </c>
      <c r="D480" s="2">
        <v>39</v>
      </c>
      <c r="E480" s="3">
        <v>57872</v>
      </c>
      <c r="F480" s="2" t="s">
        <v>38</v>
      </c>
      <c r="G480" s="2" t="s">
        <v>26</v>
      </c>
      <c r="H480">
        <f t="shared" si="7"/>
        <v>2893.6000000000004</v>
      </c>
    </row>
    <row r="481" spans="1:8">
      <c r="A481" s="2">
        <v>480</v>
      </c>
      <c r="B481" s="2" t="s">
        <v>74</v>
      </c>
      <c r="C481" s="2" t="s">
        <v>16</v>
      </c>
      <c r="D481" s="2">
        <v>4</v>
      </c>
      <c r="E481" s="3">
        <v>87755</v>
      </c>
      <c r="F481" s="2" t="s">
        <v>13</v>
      </c>
      <c r="G481" s="2" t="s">
        <v>18</v>
      </c>
      <c r="H481">
        <f t="shared" si="7"/>
        <v>4387.75</v>
      </c>
    </row>
    <row r="482" spans="1:8">
      <c r="A482" s="2">
        <v>481</v>
      </c>
      <c r="B482" s="2" t="s">
        <v>46</v>
      </c>
      <c r="C482" s="2" t="s">
        <v>22</v>
      </c>
      <c r="D482" s="2">
        <v>20</v>
      </c>
      <c r="E482" s="3">
        <v>35824</v>
      </c>
      <c r="F482" s="2" t="s">
        <v>17</v>
      </c>
      <c r="G482" s="2" t="s">
        <v>10</v>
      </c>
      <c r="H482">
        <f t="shared" si="7"/>
        <v>1791.2</v>
      </c>
    </row>
    <row r="483" spans="1:8">
      <c r="A483" s="2">
        <v>482</v>
      </c>
      <c r="B483" s="2" t="s">
        <v>40</v>
      </c>
      <c r="C483" s="2" t="s">
        <v>8</v>
      </c>
      <c r="D483" s="2">
        <v>43</v>
      </c>
      <c r="E483" s="3">
        <v>37135</v>
      </c>
      <c r="F483" s="2" t="s">
        <v>25</v>
      </c>
      <c r="G483" s="2" t="s">
        <v>18</v>
      </c>
      <c r="H483">
        <f t="shared" si="7"/>
        <v>1856.75</v>
      </c>
    </row>
    <row r="484" spans="1:8">
      <c r="A484" s="2">
        <v>483</v>
      </c>
      <c r="B484" s="2" t="s">
        <v>93</v>
      </c>
      <c r="C484" s="2" t="s">
        <v>16</v>
      </c>
      <c r="D484" s="2">
        <v>48</v>
      </c>
      <c r="E484" s="3">
        <v>49670</v>
      </c>
      <c r="F484" s="2" t="s">
        <v>28</v>
      </c>
      <c r="G484" s="2" t="s">
        <v>18</v>
      </c>
      <c r="H484">
        <f t="shared" si="7"/>
        <v>2483.5</v>
      </c>
    </row>
    <row r="485" spans="1:8">
      <c r="A485" s="2">
        <v>484</v>
      </c>
      <c r="B485" s="2" t="s">
        <v>62</v>
      </c>
      <c r="C485" s="2" t="s">
        <v>12</v>
      </c>
      <c r="D485" s="2">
        <v>43</v>
      </c>
      <c r="E485" s="3">
        <v>38249</v>
      </c>
      <c r="F485" s="2" t="s">
        <v>38</v>
      </c>
      <c r="G485" s="2" t="s">
        <v>18</v>
      </c>
      <c r="H485">
        <f t="shared" si="7"/>
        <v>1912.45</v>
      </c>
    </row>
    <row r="486" spans="1:8">
      <c r="A486" s="2">
        <v>485</v>
      </c>
      <c r="B486" s="2" t="s">
        <v>41</v>
      </c>
      <c r="C486" s="2" t="s">
        <v>8</v>
      </c>
      <c r="D486" s="2">
        <v>48</v>
      </c>
      <c r="E486" s="3">
        <v>59413</v>
      </c>
      <c r="F486" s="2" t="s">
        <v>9</v>
      </c>
      <c r="G486" s="2" t="s">
        <v>29</v>
      </c>
      <c r="H486">
        <f t="shared" si="7"/>
        <v>2970.65</v>
      </c>
    </row>
    <row r="487" spans="1:8">
      <c r="A487" s="2">
        <v>486</v>
      </c>
      <c r="B487" s="2" t="s">
        <v>30</v>
      </c>
      <c r="C487" s="2" t="s">
        <v>16</v>
      </c>
      <c r="D487" s="2">
        <v>12</v>
      </c>
      <c r="E487" s="3">
        <v>39730</v>
      </c>
      <c r="F487" s="2" t="s">
        <v>9</v>
      </c>
      <c r="G487" s="2" t="s">
        <v>14</v>
      </c>
      <c r="H487">
        <f t="shared" si="7"/>
        <v>1986.5</v>
      </c>
    </row>
    <row r="488" spans="1:8">
      <c r="A488" s="2">
        <v>487</v>
      </c>
      <c r="B488" s="2" t="s">
        <v>36</v>
      </c>
      <c r="C488" s="2" t="s">
        <v>22</v>
      </c>
      <c r="D488" s="2">
        <v>8</v>
      </c>
      <c r="E488" s="3">
        <v>67023</v>
      </c>
      <c r="F488" s="2" t="s">
        <v>28</v>
      </c>
      <c r="G488" s="2" t="s">
        <v>26</v>
      </c>
      <c r="H488">
        <f t="shared" si="7"/>
        <v>3351.15</v>
      </c>
    </row>
    <row r="489" spans="1:8">
      <c r="A489" s="2">
        <v>488</v>
      </c>
      <c r="B489" s="2" t="s">
        <v>86</v>
      </c>
      <c r="C489" s="2" t="s">
        <v>8</v>
      </c>
      <c r="D489" s="2">
        <v>1</v>
      </c>
      <c r="E489" s="3">
        <v>58118</v>
      </c>
      <c r="F489" s="2" t="s">
        <v>9</v>
      </c>
      <c r="G489" s="2" t="s">
        <v>23</v>
      </c>
      <c r="H489">
        <f t="shared" si="7"/>
        <v>2905.9</v>
      </c>
    </row>
    <row r="490" spans="1:8">
      <c r="A490" s="2">
        <v>489</v>
      </c>
      <c r="B490" s="2" t="s">
        <v>44</v>
      </c>
      <c r="C490" s="2" t="s">
        <v>8</v>
      </c>
      <c r="D490" s="2">
        <v>46</v>
      </c>
      <c r="E490" s="3">
        <v>49307</v>
      </c>
      <c r="F490" s="2" t="s">
        <v>32</v>
      </c>
      <c r="G490" s="2" t="s">
        <v>26</v>
      </c>
      <c r="H490">
        <f t="shared" si="7"/>
        <v>2465.3500000000004</v>
      </c>
    </row>
    <row r="491" spans="1:8">
      <c r="A491" s="2">
        <v>490</v>
      </c>
      <c r="B491" s="2" t="s">
        <v>37</v>
      </c>
      <c r="C491" s="2" t="s">
        <v>16</v>
      </c>
      <c r="D491" s="2">
        <v>9</v>
      </c>
      <c r="E491" s="3">
        <v>41183</v>
      </c>
      <c r="F491" s="2" t="s">
        <v>25</v>
      </c>
      <c r="G491" s="2" t="s">
        <v>18</v>
      </c>
      <c r="H491">
        <f t="shared" si="7"/>
        <v>2059.15</v>
      </c>
    </row>
    <row r="492" spans="1:8">
      <c r="A492" s="2">
        <v>491</v>
      </c>
      <c r="B492" s="2" t="s">
        <v>47</v>
      </c>
      <c r="C492" s="2" t="s">
        <v>16</v>
      </c>
      <c r="D492" s="2">
        <v>45</v>
      </c>
      <c r="E492" s="3">
        <v>95807</v>
      </c>
      <c r="F492" s="2" t="s">
        <v>17</v>
      </c>
      <c r="G492" s="2" t="s">
        <v>26</v>
      </c>
      <c r="H492">
        <f t="shared" si="7"/>
        <v>4790.3500000000004</v>
      </c>
    </row>
    <row r="493" spans="1:8">
      <c r="A493" s="2">
        <v>492</v>
      </c>
      <c r="B493" s="2" t="s">
        <v>71</v>
      </c>
      <c r="C493" s="2" t="s">
        <v>12</v>
      </c>
      <c r="D493" s="2">
        <v>1</v>
      </c>
      <c r="E493" s="3">
        <v>61615</v>
      </c>
      <c r="F493" s="2" t="s">
        <v>17</v>
      </c>
      <c r="G493" s="2" t="s">
        <v>23</v>
      </c>
      <c r="H493">
        <f t="shared" si="7"/>
        <v>3080.75</v>
      </c>
    </row>
    <row r="494" spans="1:8">
      <c r="A494" s="2">
        <v>493</v>
      </c>
      <c r="B494" s="2" t="s">
        <v>71</v>
      </c>
      <c r="C494" s="2" t="s">
        <v>12</v>
      </c>
      <c r="D494" s="2">
        <v>11</v>
      </c>
      <c r="E494" s="3">
        <v>66950</v>
      </c>
      <c r="F494" s="2" t="s">
        <v>9</v>
      </c>
      <c r="G494" s="2" t="s">
        <v>18</v>
      </c>
      <c r="H494">
        <f t="shared" si="7"/>
        <v>3347.5</v>
      </c>
    </row>
    <row r="495" spans="1:8">
      <c r="A495" s="2">
        <v>494</v>
      </c>
      <c r="B495" s="2" t="s">
        <v>48</v>
      </c>
      <c r="C495" s="2" t="s">
        <v>8</v>
      </c>
      <c r="D495" s="2">
        <v>32</v>
      </c>
      <c r="E495" s="3">
        <v>35248</v>
      </c>
      <c r="F495" s="2" t="s">
        <v>28</v>
      </c>
      <c r="G495" s="2" t="s">
        <v>14</v>
      </c>
      <c r="H495">
        <f t="shared" si="7"/>
        <v>1762.4</v>
      </c>
    </row>
    <row r="496" spans="1:8">
      <c r="A496" s="2">
        <v>495</v>
      </c>
      <c r="B496" s="2" t="s">
        <v>78</v>
      </c>
      <c r="C496" s="2" t="s">
        <v>22</v>
      </c>
      <c r="D496" s="2">
        <v>23</v>
      </c>
      <c r="E496" s="3">
        <v>69732</v>
      </c>
      <c r="F496" s="2" t="s">
        <v>25</v>
      </c>
      <c r="G496" s="2" t="s">
        <v>26</v>
      </c>
      <c r="H496">
        <f t="shared" si="7"/>
        <v>3486.6000000000004</v>
      </c>
    </row>
    <row r="497" spans="1:8">
      <c r="A497" s="2">
        <v>496</v>
      </c>
      <c r="B497" s="2" t="s">
        <v>94</v>
      </c>
      <c r="C497" s="2" t="s">
        <v>12</v>
      </c>
      <c r="D497" s="2">
        <v>34</v>
      </c>
      <c r="E497" s="3">
        <v>83703</v>
      </c>
      <c r="F497" s="2" t="s">
        <v>20</v>
      </c>
      <c r="G497" s="2" t="s">
        <v>10</v>
      </c>
      <c r="H497">
        <f t="shared" si="7"/>
        <v>4185.1500000000005</v>
      </c>
    </row>
    <row r="498" spans="1:8">
      <c r="A498" s="2">
        <v>497</v>
      </c>
      <c r="B498" s="2" t="s">
        <v>84</v>
      </c>
      <c r="C498" s="2" t="s">
        <v>22</v>
      </c>
      <c r="D498" s="2">
        <v>34</v>
      </c>
      <c r="E498" s="3">
        <v>68735</v>
      </c>
      <c r="F498" s="2" t="s">
        <v>25</v>
      </c>
      <c r="G498" s="2" t="s">
        <v>23</v>
      </c>
      <c r="H498">
        <f t="shared" si="7"/>
        <v>3436.75</v>
      </c>
    </row>
    <row r="499" spans="1:8">
      <c r="A499" s="2">
        <v>498</v>
      </c>
      <c r="B499" s="2" t="s">
        <v>64</v>
      </c>
      <c r="C499" s="2" t="s">
        <v>16</v>
      </c>
      <c r="D499" s="2">
        <v>47</v>
      </c>
      <c r="E499" s="3">
        <v>52918</v>
      </c>
      <c r="F499" s="2" t="s">
        <v>9</v>
      </c>
      <c r="G499" s="2" t="s">
        <v>29</v>
      </c>
      <c r="H499">
        <f t="shared" si="7"/>
        <v>2645.9</v>
      </c>
    </row>
    <row r="500" spans="1:8">
      <c r="A500" s="2">
        <v>499</v>
      </c>
      <c r="B500" s="2" t="s">
        <v>61</v>
      </c>
      <c r="C500" s="2" t="s">
        <v>16</v>
      </c>
      <c r="D500" s="2">
        <v>17</v>
      </c>
      <c r="E500" s="3">
        <v>90219</v>
      </c>
      <c r="F500" s="2" t="s">
        <v>28</v>
      </c>
      <c r="G500" s="2" t="s">
        <v>23</v>
      </c>
      <c r="H500">
        <f t="shared" si="7"/>
        <v>4510.95</v>
      </c>
    </row>
    <row r="501" spans="1:8">
      <c r="A501" s="2">
        <v>500</v>
      </c>
      <c r="B501" s="2" t="s">
        <v>78</v>
      </c>
      <c r="C501" s="2" t="s">
        <v>12</v>
      </c>
      <c r="D501" s="2">
        <v>11</v>
      </c>
      <c r="E501" s="3">
        <v>84408</v>
      </c>
      <c r="F501" s="2" t="s">
        <v>28</v>
      </c>
      <c r="G501" s="2" t="s">
        <v>14</v>
      </c>
      <c r="H501">
        <f t="shared" si="7"/>
        <v>4220.4000000000005</v>
      </c>
    </row>
    <row r="502" spans="1:8">
      <c r="A502" s="2">
        <v>501</v>
      </c>
      <c r="B502" s="2" t="s">
        <v>50</v>
      </c>
      <c r="C502" s="2" t="s">
        <v>8</v>
      </c>
      <c r="D502" s="2">
        <v>24</v>
      </c>
      <c r="E502" s="3">
        <v>45425</v>
      </c>
      <c r="F502" s="2" t="s">
        <v>17</v>
      </c>
      <c r="G502" s="2" t="s">
        <v>26</v>
      </c>
      <c r="H502">
        <f t="shared" si="7"/>
        <v>2271.25</v>
      </c>
    </row>
    <row r="503" spans="1:8">
      <c r="A503" s="2">
        <v>502</v>
      </c>
      <c r="B503" s="2" t="s">
        <v>7</v>
      </c>
      <c r="C503" s="2" t="s">
        <v>16</v>
      </c>
      <c r="D503" s="2">
        <v>9</v>
      </c>
      <c r="E503" s="3">
        <v>49359</v>
      </c>
      <c r="F503" s="2" t="s">
        <v>9</v>
      </c>
      <c r="G503" s="2" t="s">
        <v>18</v>
      </c>
      <c r="H503">
        <f t="shared" si="7"/>
        <v>2467.9500000000003</v>
      </c>
    </row>
    <row r="504" spans="1:8">
      <c r="A504" s="2">
        <v>503</v>
      </c>
      <c r="B504" s="2" t="s">
        <v>86</v>
      </c>
      <c r="C504" s="2" t="s">
        <v>22</v>
      </c>
      <c r="D504" s="2">
        <v>48</v>
      </c>
      <c r="E504" s="3">
        <v>77253</v>
      </c>
      <c r="F504" s="2" t="s">
        <v>38</v>
      </c>
      <c r="G504" s="2" t="s">
        <v>26</v>
      </c>
      <c r="H504">
        <f t="shared" si="7"/>
        <v>3862.65</v>
      </c>
    </row>
    <row r="505" spans="1:8">
      <c r="A505" s="2">
        <v>504</v>
      </c>
      <c r="B505" s="2" t="s">
        <v>81</v>
      </c>
      <c r="C505" s="2" t="s">
        <v>8</v>
      </c>
      <c r="D505" s="2">
        <v>50</v>
      </c>
      <c r="E505" s="3">
        <v>85693</v>
      </c>
      <c r="F505" s="2" t="s">
        <v>13</v>
      </c>
      <c r="G505" s="2" t="s">
        <v>23</v>
      </c>
      <c r="H505">
        <f t="shared" si="7"/>
        <v>4284.6500000000005</v>
      </c>
    </row>
    <row r="506" spans="1:8">
      <c r="A506" s="2">
        <v>505</v>
      </c>
      <c r="B506" s="2" t="s">
        <v>71</v>
      </c>
      <c r="C506" s="2" t="s">
        <v>12</v>
      </c>
      <c r="D506" s="2">
        <v>18</v>
      </c>
      <c r="E506" s="3">
        <v>65093</v>
      </c>
      <c r="F506" s="2" t="s">
        <v>25</v>
      </c>
      <c r="G506" s="2" t="s">
        <v>14</v>
      </c>
      <c r="H506">
        <f t="shared" si="7"/>
        <v>3254.65</v>
      </c>
    </row>
    <row r="507" spans="1:8">
      <c r="A507" s="2">
        <v>506</v>
      </c>
      <c r="B507" s="2" t="s">
        <v>67</v>
      </c>
      <c r="C507" s="2" t="s">
        <v>16</v>
      </c>
      <c r="D507" s="2">
        <v>47</v>
      </c>
      <c r="E507" s="3">
        <v>91759</v>
      </c>
      <c r="F507" s="2" t="s">
        <v>38</v>
      </c>
      <c r="G507" s="2" t="s">
        <v>18</v>
      </c>
      <c r="H507">
        <f t="shared" si="7"/>
        <v>4587.95</v>
      </c>
    </row>
    <row r="508" spans="1:8">
      <c r="A508" s="2">
        <v>507</v>
      </c>
      <c r="B508" s="2" t="s">
        <v>65</v>
      </c>
      <c r="C508" s="2" t="s">
        <v>12</v>
      </c>
      <c r="D508" s="2">
        <v>8</v>
      </c>
      <c r="E508" s="3">
        <v>56812</v>
      </c>
      <c r="F508" s="2" t="s">
        <v>17</v>
      </c>
      <c r="G508" s="2" t="s">
        <v>10</v>
      </c>
      <c r="H508">
        <f t="shared" si="7"/>
        <v>2840.6000000000004</v>
      </c>
    </row>
    <row r="509" spans="1:8">
      <c r="A509" s="2">
        <v>508</v>
      </c>
      <c r="B509" s="2" t="s">
        <v>19</v>
      </c>
      <c r="C509" s="2" t="s">
        <v>8</v>
      </c>
      <c r="D509" s="2">
        <v>50</v>
      </c>
      <c r="E509" s="3">
        <v>77603</v>
      </c>
      <c r="F509" s="2" t="s">
        <v>32</v>
      </c>
      <c r="G509" s="2" t="s">
        <v>14</v>
      </c>
      <c r="H509">
        <f t="shared" si="7"/>
        <v>3880.15</v>
      </c>
    </row>
    <row r="510" spans="1:8">
      <c r="A510" s="2">
        <v>509</v>
      </c>
      <c r="B510" s="2" t="s">
        <v>49</v>
      </c>
      <c r="C510" s="2" t="s">
        <v>8</v>
      </c>
      <c r="D510" s="2">
        <v>2</v>
      </c>
      <c r="E510" s="3">
        <v>75496</v>
      </c>
      <c r="F510" s="2" t="s">
        <v>17</v>
      </c>
      <c r="G510" s="2" t="s">
        <v>29</v>
      </c>
      <c r="H510">
        <f t="shared" si="7"/>
        <v>3774.8</v>
      </c>
    </row>
    <row r="511" spans="1:8">
      <c r="A511" s="2">
        <v>510</v>
      </c>
      <c r="B511" s="2" t="s">
        <v>80</v>
      </c>
      <c r="C511" s="2" t="s">
        <v>8</v>
      </c>
      <c r="D511" s="2">
        <v>22</v>
      </c>
      <c r="E511" s="3">
        <v>75882</v>
      </c>
      <c r="F511" s="2" t="s">
        <v>20</v>
      </c>
      <c r="G511" s="2" t="s">
        <v>23</v>
      </c>
      <c r="H511">
        <f t="shared" si="7"/>
        <v>3794.1000000000004</v>
      </c>
    </row>
    <row r="512" spans="1:8">
      <c r="A512" s="2">
        <v>511</v>
      </c>
      <c r="B512" s="2" t="s">
        <v>64</v>
      </c>
      <c r="C512" s="2" t="s">
        <v>22</v>
      </c>
      <c r="D512" s="2">
        <v>28</v>
      </c>
      <c r="E512" s="3">
        <v>91179</v>
      </c>
      <c r="F512" s="2" t="s">
        <v>13</v>
      </c>
      <c r="G512" s="2" t="s">
        <v>14</v>
      </c>
      <c r="H512">
        <f t="shared" si="7"/>
        <v>4558.95</v>
      </c>
    </row>
    <row r="513" spans="1:8">
      <c r="A513" s="2">
        <v>512</v>
      </c>
      <c r="B513" s="2" t="s">
        <v>83</v>
      </c>
      <c r="C513" s="2" t="s">
        <v>8</v>
      </c>
      <c r="D513" s="2">
        <v>18</v>
      </c>
      <c r="E513" s="3">
        <v>84959</v>
      </c>
      <c r="F513" s="2" t="s">
        <v>32</v>
      </c>
      <c r="G513" s="2" t="s">
        <v>18</v>
      </c>
      <c r="H513">
        <f t="shared" si="7"/>
        <v>4247.95</v>
      </c>
    </row>
    <row r="514" spans="1:8">
      <c r="A514" s="2">
        <v>513</v>
      </c>
      <c r="B514" s="2" t="s">
        <v>11</v>
      </c>
      <c r="C514" s="2" t="s">
        <v>8</v>
      </c>
      <c r="D514" s="2">
        <v>34</v>
      </c>
      <c r="E514" s="3">
        <v>76373</v>
      </c>
      <c r="F514" s="2" t="s">
        <v>9</v>
      </c>
      <c r="G514" s="2" t="s">
        <v>18</v>
      </c>
      <c r="H514">
        <f t="shared" si="7"/>
        <v>3818.65</v>
      </c>
    </row>
    <row r="515" spans="1:8">
      <c r="A515" s="2">
        <v>514</v>
      </c>
      <c r="B515" s="2" t="s">
        <v>11</v>
      </c>
      <c r="C515" s="2" t="s">
        <v>16</v>
      </c>
      <c r="D515" s="2">
        <v>5</v>
      </c>
      <c r="E515" s="3">
        <v>57822</v>
      </c>
      <c r="F515" s="2" t="s">
        <v>25</v>
      </c>
      <c r="G515" s="2" t="s">
        <v>29</v>
      </c>
      <c r="H515">
        <f t="shared" ref="H515:H578" si="8">E515*5%</f>
        <v>2891.1000000000004</v>
      </c>
    </row>
    <row r="516" spans="1:8">
      <c r="A516" s="2">
        <v>515</v>
      </c>
      <c r="B516" s="2" t="s">
        <v>37</v>
      </c>
      <c r="C516" s="2" t="s">
        <v>22</v>
      </c>
      <c r="D516" s="2">
        <v>17</v>
      </c>
      <c r="E516" s="3">
        <v>74791</v>
      </c>
      <c r="F516" s="2" t="s">
        <v>28</v>
      </c>
      <c r="G516" s="2" t="s">
        <v>23</v>
      </c>
      <c r="H516">
        <f t="shared" si="8"/>
        <v>3739.55</v>
      </c>
    </row>
    <row r="517" spans="1:8">
      <c r="A517" s="2">
        <v>516</v>
      </c>
      <c r="B517" s="2" t="s">
        <v>73</v>
      </c>
      <c r="C517" s="2" t="s">
        <v>22</v>
      </c>
      <c r="D517" s="2">
        <v>46</v>
      </c>
      <c r="E517" s="3">
        <v>68651</v>
      </c>
      <c r="F517" s="2" t="s">
        <v>17</v>
      </c>
      <c r="G517" s="2" t="s">
        <v>18</v>
      </c>
      <c r="H517">
        <f t="shared" si="8"/>
        <v>3432.55</v>
      </c>
    </row>
    <row r="518" spans="1:8">
      <c r="A518" s="2">
        <v>517</v>
      </c>
      <c r="B518" s="2" t="s">
        <v>33</v>
      </c>
      <c r="C518" s="2" t="s">
        <v>12</v>
      </c>
      <c r="D518" s="2">
        <v>37</v>
      </c>
      <c r="E518" s="3">
        <v>55349</v>
      </c>
      <c r="F518" s="2" t="s">
        <v>13</v>
      </c>
      <c r="G518" s="2" t="s">
        <v>18</v>
      </c>
      <c r="H518">
        <f t="shared" si="8"/>
        <v>2767.4500000000003</v>
      </c>
    </row>
    <row r="519" spans="1:8">
      <c r="A519" s="2">
        <v>518</v>
      </c>
      <c r="B519" s="2" t="s">
        <v>60</v>
      </c>
      <c r="C519" s="2" t="s">
        <v>8</v>
      </c>
      <c r="D519" s="2">
        <v>41</v>
      </c>
      <c r="E519" s="3">
        <v>90580</v>
      </c>
      <c r="F519" s="2" t="s">
        <v>17</v>
      </c>
      <c r="G519" s="2" t="s">
        <v>18</v>
      </c>
      <c r="H519">
        <f t="shared" si="8"/>
        <v>4529</v>
      </c>
    </row>
    <row r="520" spans="1:8">
      <c r="A520" s="2">
        <v>519</v>
      </c>
      <c r="B520" s="2" t="s">
        <v>94</v>
      </c>
      <c r="C520" s="2" t="s">
        <v>16</v>
      </c>
      <c r="D520" s="2">
        <v>5</v>
      </c>
      <c r="E520" s="3">
        <v>85240</v>
      </c>
      <c r="F520" s="2" t="s">
        <v>20</v>
      </c>
      <c r="G520" s="2" t="s">
        <v>14</v>
      </c>
      <c r="H520">
        <f t="shared" si="8"/>
        <v>4262</v>
      </c>
    </row>
    <row r="521" spans="1:8">
      <c r="A521" s="2">
        <v>520</v>
      </c>
      <c r="B521" s="2" t="s">
        <v>59</v>
      </c>
      <c r="C521" s="2" t="s">
        <v>12</v>
      </c>
      <c r="D521" s="2">
        <v>32</v>
      </c>
      <c r="E521" s="3">
        <v>80364</v>
      </c>
      <c r="F521" s="2" t="s">
        <v>20</v>
      </c>
      <c r="G521" s="2" t="s">
        <v>26</v>
      </c>
      <c r="H521">
        <f t="shared" si="8"/>
        <v>4018.2000000000003</v>
      </c>
    </row>
    <row r="522" spans="1:8">
      <c r="A522" s="2">
        <v>521</v>
      </c>
      <c r="B522" s="2" t="s">
        <v>40</v>
      </c>
      <c r="C522" s="2" t="s">
        <v>8</v>
      </c>
      <c r="D522" s="2">
        <v>30</v>
      </c>
      <c r="E522" s="3">
        <v>59766</v>
      </c>
      <c r="F522" s="2" t="s">
        <v>20</v>
      </c>
      <c r="G522" s="2" t="s">
        <v>14</v>
      </c>
      <c r="H522">
        <f t="shared" si="8"/>
        <v>2988.3</v>
      </c>
    </row>
    <row r="523" spans="1:8">
      <c r="A523" s="2">
        <v>522</v>
      </c>
      <c r="B523" s="2" t="s">
        <v>21</v>
      </c>
      <c r="C523" s="2" t="s">
        <v>22</v>
      </c>
      <c r="D523" s="2">
        <v>33</v>
      </c>
      <c r="E523" s="3">
        <v>37650</v>
      </c>
      <c r="F523" s="2" t="s">
        <v>38</v>
      </c>
      <c r="G523" s="2" t="s">
        <v>23</v>
      </c>
      <c r="H523">
        <f t="shared" si="8"/>
        <v>1882.5</v>
      </c>
    </row>
    <row r="524" spans="1:8">
      <c r="A524" s="2">
        <v>523</v>
      </c>
      <c r="B524" s="2" t="s">
        <v>79</v>
      </c>
      <c r="C524" s="2" t="s">
        <v>8</v>
      </c>
      <c r="D524" s="2">
        <v>24</v>
      </c>
      <c r="E524" s="3">
        <v>92025</v>
      </c>
      <c r="F524" s="2" t="s">
        <v>25</v>
      </c>
      <c r="G524" s="2" t="s">
        <v>29</v>
      </c>
      <c r="H524">
        <f t="shared" si="8"/>
        <v>4601.25</v>
      </c>
    </row>
    <row r="525" spans="1:8">
      <c r="A525" s="2">
        <v>524</v>
      </c>
      <c r="B525" s="2" t="s">
        <v>78</v>
      </c>
      <c r="C525" s="2" t="s">
        <v>8</v>
      </c>
      <c r="D525" s="2">
        <v>4</v>
      </c>
      <c r="E525" s="3">
        <v>26303</v>
      </c>
      <c r="F525" s="2" t="s">
        <v>25</v>
      </c>
      <c r="G525" s="2" t="s">
        <v>23</v>
      </c>
      <c r="H525">
        <f t="shared" si="8"/>
        <v>1315.15</v>
      </c>
    </row>
    <row r="526" spans="1:8">
      <c r="A526" s="2">
        <v>525</v>
      </c>
      <c r="B526" s="2" t="s">
        <v>82</v>
      </c>
      <c r="C526" s="2" t="s">
        <v>16</v>
      </c>
      <c r="D526" s="2">
        <v>32</v>
      </c>
      <c r="E526" s="3">
        <v>55668</v>
      </c>
      <c r="F526" s="2" t="s">
        <v>38</v>
      </c>
      <c r="G526" s="2" t="s">
        <v>26</v>
      </c>
      <c r="H526">
        <f t="shared" si="8"/>
        <v>2783.4</v>
      </c>
    </row>
    <row r="527" spans="1:8">
      <c r="A527" s="2">
        <v>526</v>
      </c>
      <c r="B527" s="2" t="s">
        <v>64</v>
      </c>
      <c r="C527" s="2" t="s">
        <v>16</v>
      </c>
      <c r="D527" s="2">
        <v>37</v>
      </c>
      <c r="E527" s="3">
        <v>79334</v>
      </c>
      <c r="F527" s="2" t="s">
        <v>32</v>
      </c>
      <c r="G527" s="2" t="s">
        <v>29</v>
      </c>
      <c r="H527">
        <f t="shared" si="8"/>
        <v>3966.7000000000003</v>
      </c>
    </row>
    <row r="528" spans="1:8">
      <c r="A528" s="2">
        <v>527</v>
      </c>
      <c r="B528" s="2" t="s">
        <v>50</v>
      </c>
      <c r="C528" s="2" t="s">
        <v>16</v>
      </c>
      <c r="D528" s="2">
        <v>11</v>
      </c>
      <c r="E528" s="3">
        <v>38842</v>
      </c>
      <c r="F528" s="2" t="s">
        <v>20</v>
      </c>
      <c r="G528" s="2" t="s">
        <v>26</v>
      </c>
      <c r="H528">
        <f t="shared" si="8"/>
        <v>1942.1000000000001</v>
      </c>
    </row>
    <row r="529" spans="1:8">
      <c r="A529" s="2">
        <v>528</v>
      </c>
      <c r="B529" s="2" t="s">
        <v>76</v>
      </c>
      <c r="C529" s="2" t="s">
        <v>12</v>
      </c>
      <c r="D529" s="2">
        <v>24</v>
      </c>
      <c r="E529" s="3">
        <v>36596</v>
      </c>
      <c r="F529" s="2" t="s">
        <v>9</v>
      </c>
      <c r="G529" s="2" t="s">
        <v>10</v>
      </c>
      <c r="H529">
        <f t="shared" si="8"/>
        <v>1829.8000000000002</v>
      </c>
    </row>
    <row r="530" spans="1:8">
      <c r="A530" s="2">
        <v>529</v>
      </c>
      <c r="B530" s="2" t="s">
        <v>27</v>
      </c>
      <c r="C530" s="2" t="s">
        <v>16</v>
      </c>
      <c r="D530" s="2">
        <v>11</v>
      </c>
      <c r="E530" s="3">
        <v>29286</v>
      </c>
      <c r="F530" s="2" t="s">
        <v>32</v>
      </c>
      <c r="G530" s="2" t="s">
        <v>18</v>
      </c>
      <c r="H530">
        <f t="shared" si="8"/>
        <v>1464.3000000000002</v>
      </c>
    </row>
    <row r="531" spans="1:8">
      <c r="A531" s="2">
        <v>530</v>
      </c>
      <c r="B531" s="2" t="s">
        <v>47</v>
      </c>
      <c r="C531" s="2" t="s">
        <v>12</v>
      </c>
      <c r="D531" s="2">
        <v>17</v>
      </c>
      <c r="E531" s="3">
        <v>61575</v>
      </c>
      <c r="F531" s="2" t="s">
        <v>20</v>
      </c>
      <c r="G531" s="2" t="s">
        <v>29</v>
      </c>
      <c r="H531">
        <f t="shared" si="8"/>
        <v>3078.75</v>
      </c>
    </row>
    <row r="532" spans="1:8">
      <c r="A532" s="2">
        <v>531</v>
      </c>
      <c r="B532" s="2" t="s">
        <v>64</v>
      </c>
      <c r="C532" s="2" t="s">
        <v>8</v>
      </c>
      <c r="D532" s="2">
        <v>50</v>
      </c>
      <c r="E532" s="3">
        <v>98320</v>
      </c>
      <c r="F532" s="2" t="s">
        <v>38</v>
      </c>
      <c r="G532" s="2" t="s">
        <v>18</v>
      </c>
      <c r="H532">
        <f t="shared" si="8"/>
        <v>4916</v>
      </c>
    </row>
    <row r="533" spans="1:8">
      <c r="A533" s="2">
        <v>532</v>
      </c>
      <c r="B533" s="2" t="s">
        <v>46</v>
      </c>
      <c r="C533" s="2" t="s">
        <v>12</v>
      </c>
      <c r="D533" s="2">
        <v>7</v>
      </c>
      <c r="E533" s="3">
        <v>36375</v>
      </c>
      <c r="F533" s="2" t="s">
        <v>13</v>
      </c>
      <c r="G533" s="2" t="s">
        <v>26</v>
      </c>
      <c r="H533">
        <f t="shared" si="8"/>
        <v>1818.75</v>
      </c>
    </row>
    <row r="534" spans="1:8">
      <c r="A534" s="2">
        <v>533</v>
      </c>
      <c r="B534" s="2" t="s">
        <v>81</v>
      </c>
      <c r="C534" s="2" t="s">
        <v>12</v>
      </c>
      <c r="D534" s="2">
        <v>37</v>
      </c>
      <c r="E534" s="3">
        <v>90916</v>
      </c>
      <c r="F534" s="2" t="s">
        <v>9</v>
      </c>
      <c r="G534" s="2" t="s">
        <v>29</v>
      </c>
      <c r="H534">
        <f t="shared" si="8"/>
        <v>4545.8</v>
      </c>
    </row>
    <row r="535" spans="1:8">
      <c r="A535" s="2">
        <v>534</v>
      </c>
      <c r="B535" s="2" t="s">
        <v>94</v>
      </c>
      <c r="C535" s="2" t="s">
        <v>16</v>
      </c>
      <c r="D535" s="2">
        <v>44</v>
      </c>
      <c r="E535" s="3">
        <v>29614</v>
      </c>
      <c r="F535" s="2" t="s">
        <v>28</v>
      </c>
      <c r="G535" s="2" t="s">
        <v>10</v>
      </c>
      <c r="H535">
        <f t="shared" si="8"/>
        <v>1480.7</v>
      </c>
    </row>
    <row r="536" spans="1:8">
      <c r="A536" s="2">
        <v>535</v>
      </c>
      <c r="B536" s="2" t="s">
        <v>89</v>
      </c>
      <c r="C536" s="2" t="s">
        <v>16</v>
      </c>
      <c r="D536" s="2">
        <v>47</v>
      </c>
      <c r="E536" s="3">
        <v>30280</v>
      </c>
      <c r="F536" s="2" t="s">
        <v>38</v>
      </c>
      <c r="G536" s="2" t="s">
        <v>29</v>
      </c>
      <c r="H536">
        <f t="shared" si="8"/>
        <v>1514</v>
      </c>
    </row>
    <row r="537" spans="1:8">
      <c r="A537" s="2">
        <v>536</v>
      </c>
      <c r="B537" s="2" t="s">
        <v>75</v>
      </c>
      <c r="C537" s="2" t="s">
        <v>22</v>
      </c>
      <c r="D537" s="2">
        <v>8</v>
      </c>
      <c r="E537" s="3">
        <v>40452</v>
      </c>
      <c r="F537" s="2" t="s">
        <v>17</v>
      </c>
      <c r="G537" s="2" t="s">
        <v>23</v>
      </c>
      <c r="H537">
        <f t="shared" si="8"/>
        <v>2022.6000000000001</v>
      </c>
    </row>
    <row r="538" spans="1:8">
      <c r="A538" s="2">
        <v>537</v>
      </c>
      <c r="B538" s="2" t="s">
        <v>37</v>
      </c>
      <c r="C538" s="2" t="s">
        <v>12</v>
      </c>
      <c r="D538" s="2">
        <v>15</v>
      </c>
      <c r="E538" s="3">
        <v>73087</v>
      </c>
      <c r="F538" s="2" t="s">
        <v>32</v>
      </c>
      <c r="G538" s="2" t="s">
        <v>14</v>
      </c>
      <c r="H538">
        <f t="shared" si="8"/>
        <v>3654.3500000000004</v>
      </c>
    </row>
    <row r="539" spans="1:8">
      <c r="A539" s="2">
        <v>538</v>
      </c>
      <c r="B539" s="2" t="s">
        <v>7</v>
      </c>
      <c r="C539" s="2" t="s">
        <v>8</v>
      </c>
      <c r="D539" s="2">
        <v>48</v>
      </c>
      <c r="E539" s="3">
        <v>41300</v>
      </c>
      <c r="F539" s="2" t="s">
        <v>20</v>
      </c>
      <c r="G539" s="2" t="s">
        <v>18</v>
      </c>
      <c r="H539">
        <f t="shared" si="8"/>
        <v>2065</v>
      </c>
    </row>
    <row r="540" spans="1:8">
      <c r="A540" s="2">
        <v>539</v>
      </c>
      <c r="B540" s="2" t="s">
        <v>94</v>
      </c>
      <c r="C540" s="2" t="s">
        <v>22</v>
      </c>
      <c r="D540" s="2">
        <v>33</v>
      </c>
      <c r="E540" s="3">
        <v>36819</v>
      </c>
      <c r="F540" s="2" t="s">
        <v>38</v>
      </c>
      <c r="G540" s="2" t="s">
        <v>14</v>
      </c>
      <c r="H540">
        <f t="shared" si="8"/>
        <v>1840.95</v>
      </c>
    </row>
    <row r="541" spans="1:8">
      <c r="A541" s="2">
        <v>540</v>
      </c>
      <c r="B541" s="2" t="s">
        <v>24</v>
      </c>
      <c r="C541" s="2" t="s">
        <v>22</v>
      </c>
      <c r="D541" s="2">
        <v>1</v>
      </c>
      <c r="E541" s="3">
        <v>97304</v>
      </c>
      <c r="F541" s="2" t="s">
        <v>32</v>
      </c>
      <c r="G541" s="2" t="s">
        <v>29</v>
      </c>
      <c r="H541">
        <f t="shared" si="8"/>
        <v>4865.2</v>
      </c>
    </row>
    <row r="542" spans="1:8">
      <c r="A542" s="2">
        <v>541</v>
      </c>
      <c r="B542" s="2" t="s">
        <v>88</v>
      </c>
      <c r="C542" s="2" t="s">
        <v>22</v>
      </c>
      <c r="D542" s="2">
        <v>3</v>
      </c>
      <c r="E542" s="3">
        <v>76299</v>
      </c>
      <c r="F542" s="2" t="s">
        <v>9</v>
      </c>
      <c r="G542" s="2" t="s">
        <v>23</v>
      </c>
      <c r="H542">
        <f t="shared" si="8"/>
        <v>3814.9500000000003</v>
      </c>
    </row>
    <row r="543" spans="1:8">
      <c r="A543" s="2">
        <v>542</v>
      </c>
      <c r="B543" s="2" t="s">
        <v>87</v>
      </c>
      <c r="C543" s="2" t="s">
        <v>16</v>
      </c>
      <c r="D543" s="2">
        <v>1</v>
      </c>
      <c r="E543" s="3">
        <v>32137</v>
      </c>
      <c r="F543" s="2" t="s">
        <v>20</v>
      </c>
      <c r="G543" s="2" t="s">
        <v>29</v>
      </c>
      <c r="H543">
        <f t="shared" si="8"/>
        <v>1606.8500000000001</v>
      </c>
    </row>
    <row r="544" spans="1:8">
      <c r="A544" s="2">
        <v>543</v>
      </c>
      <c r="B544" s="2" t="s">
        <v>87</v>
      </c>
      <c r="C544" s="2" t="s">
        <v>16</v>
      </c>
      <c r="D544" s="2">
        <v>16</v>
      </c>
      <c r="E544" s="3">
        <v>85083</v>
      </c>
      <c r="F544" s="2" t="s">
        <v>9</v>
      </c>
      <c r="G544" s="2" t="s">
        <v>10</v>
      </c>
      <c r="H544">
        <f t="shared" si="8"/>
        <v>4254.1500000000005</v>
      </c>
    </row>
    <row r="545" spans="1:8">
      <c r="A545" s="2">
        <v>544</v>
      </c>
      <c r="B545" s="2" t="s">
        <v>93</v>
      </c>
      <c r="C545" s="2" t="s">
        <v>16</v>
      </c>
      <c r="D545" s="2">
        <v>3</v>
      </c>
      <c r="E545" s="3">
        <v>93655</v>
      </c>
      <c r="F545" s="2" t="s">
        <v>38</v>
      </c>
      <c r="G545" s="2" t="s">
        <v>10</v>
      </c>
      <c r="H545">
        <f t="shared" si="8"/>
        <v>4682.75</v>
      </c>
    </row>
    <row r="546" spans="1:8">
      <c r="A546" s="2">
        <v>545</v>
      </c>
      <c r="B546" s="2" t="s">
        <v>48</v>
      </c>
      <c r="C546" s="2" t="s">
        <v>8</v>
      </c>
      <c r="D546" s="2">
        <v>31</v>
      </c>
      <c r="E546" s="3">
        <v>90693</v>
      </c>
      <c r="F546" s="2" t="s">
        <v>17</v>
      </c>
      <c r="G546" s="2" t="s">
        <v>10</v>
      </c>
      <c r="H546">
        <f t="shared" si="8"/>
        <v>4534.6500000000005</v>
      </c>
    </row>
    <row r="547" spans="1:8">
      <c r="A547" s="2">
        <v>546</v>
      </c>
      <c r="B547" s="2" t="s">
        <v>43</v>
      </c>
      <c r="C547" s="2" t="s">
        <v>12</v>
      </c>
      <c r="D547" s="2">
        <v>24</v>
      </c>
      <c r="E547" s="3">
        <v>39973</v>
      </c>
      <c r="F547" s="2" t="s">
        <v>13</v>
      </c>
      <c r="G547" s="2" t="s">
        <v>29</v>
      </c>
      <c r="H547">
        <f t="shared" si="8"/>
        <v>1998.65</v>
      </c>
    </row>
    <row r="548" spans="1:8">
      <c r="A548" s="2">
        <v>547</v>
      </c>
      <c r="B548" s="2" t="s">
        <v>54</v>
      </c>
      <c r="C548" s="2" t="s">
        <v>22</v>
      </c>
      <c r="D548" s="2">
        <v>25</v>
      </c>
      <c r="E548" s="3">
        <v>89748</v>
      </c>
      <c r="F548" s="2" t="s">
        <v>17</v>
      </c>
      <c r="G548" s="2" t="s">
        <v>26</v>
      </c>
      <c r="H548">
        <f t="shared" si="8"/>
        <v>4487.4000000000005</v>
      </c>
    </row>
    <row r="549" spans="1:8">
      <c r="A549" s="2">
        <v>548</v>
      </c>
      <c r="B549" s="2" t="s">
        <v>57</v>
      </c>
      <c r="C549" s="2" t="s">
        <v>16</v>
      </c>
      <c r="D549" s="2">
        <v>10</v>
      </c>
      <c r="E549" s="3">
        <v>64646</v>
      </c>
      <c r="F549" s="2" t="s">
        <v>38</v>
      </c>
      <c r="G549" s="2" t="s">
        <v>10</v>
      </c>
      <c r="H549">
        <f t="shared" si="8"/>
        <v>3232.3</v>
      </c>
    </row>
    <row r="550" spans="1:8">
      <c r="A550" s="2">
        <v>549</v>
      </c>
      <c r="B550" s="2" t="s">
        <v>79</v>
      </c>
      <c r="C550" s="2" t="s">
        <v>12</v>
      </c>
      <c r="D550" s="2">
        <v>12</v>
      </c>
      <c r="E550" s="3">
        <v>76522</v>
      </c>
      <c r="F550" s="2" t="s">
        <v>28</v>
      </c>
      <c r="G550" s="2" t="s">
        <v>26</v>
      </c>
      <c r="H550">
        <f t="shared" si="8"/>
        <v>3826.1000000000004</v>
      </c>
    </row>
    <row r="551" spans="1:8">
      <c r="A551" s="2">
        <v>550</v>
      </c>
      <c r="B551" s="2" t="s">
        <v>39</v>
      </c>
      <c r="C551" s="2" t="s">
        <v>22</v>
      </c>
      <c r="D551" s="2">
        <v>3</v>
      </c>
      <c r="E551" s="3">
        <v>99360</v>
      </c>
      <c r="F551" s="2" t="s">
        <v>38</v>
      </c>
      <c r="G551" s="2" t="s">
        <v>26</v>
      </c>
      <c r="H551">
        <f t="shared" si="8"/>
        <v>4968</v>
      </c>
    </row>
    <row r="552" spans="1:8">
      <c r="A552" s="2">
        <v>551</v>
      </c>
      <c r="B552" s="2" t="s">
        <v>88</v>
      </c>
      <c r="C552" s="2" t="s">
        <v>12</v>
      </c>
      <c r="D552" s="2">
        <v>36</v>
      </c>
      <c r="E552" s="3">
        <v>36497</v>
      </c>
      <c r="F552" s="2" t="s">
        <v>20</v>
      </c>
      <c r="G552" s="2" t="s">
        <v>29</v>
      </c>
      <c r="H552">
        <f t="shared" si="8"/>
        <v>1824.8500000000001</v>
      </c>
    </row>
    <row r="553" spans="1:8">
      <c r="A553" s="2">
        <v>552</v>
      </c>
      <c r="B553" s="2" t="s">
        <v>50</v>
      </c>
      <c r="C553" s="2" t="s">
        <v>22</v>
      </c>
      <c r="D553" s="2">
        <v>46</v>
      </c>
      <c r="E553" s="3">
        <v>91104</v>
      </c>
      <c r="F553" s="2" t="s">
        <v>28</v>
      </c>
      <c r="G553" s="2" t="s">
        <v>29</v>
      </c>
      <c r="H553">
        <f t="shared" si="8"/>
        <v>4555.2</v>
      </c>
    </row>
    <row r="554" spans="1:8">
      <c r="A554" s="2">
        <v>553</v>
      </c>
      <c r="B554" s="2" t="s">
        <v>94</v>
      </c>
      <c r="C554" s="2" t="s">
        <v>12</v>
      </c>
      <c r="D554" s="2">
        <v>48</v>
      </c>
      <c r="E554" s="3">
        <v>43921</v>
      </c>
      <c r="F554" s="2" t="s">
        <v>20</v>
      </c>
      <c r="G554" s="2" t="s">
        <v>23</v>
      </c>
      <c r="H554">
        <f t="shared" si="8"/>
        <v>2196.0500000000002</v>
      </c>
    </row>
    <row r="555" spans="1:8">
      <c r="A555" s="2">
        <v>554</v>
      </c>
      <c r="B555" s="2" t="s">
        <v>73</v>
      </c>
      <c r="C555" s="2" t="s">
        <v>16</v>
      </c>
      <c r="D555" s="2">
        <v>42</v>
      </c>
      <c r="E555" s="3">
        <v>93215</v>
      </c>
      <c r="F555" s="2" t="s">
        <v>32</v>
      </c>
      <c r="G555" s="2" t="s">
        <v>26</v>
      </c>
      <c r="H555">
        <f t="shared" si="8"/>
        <v>4660.75</v>
      </c>
    </row>
    <row r="556" spans="1:8">
      <c r="A556" s="2">
        <v>555</v>
      </c>
      <c r="B556" s="2" t="s">
        <v>15</v>
      </c>
      <c r="C556" s="2" t="s">
        <v>12</v>
      </c>
      <c r="D556" s="2">
        <v>27</v>
      </c>
      <c r="E556" s="3">
        <v>72467</v>
      </c>
      <c r="F556" s="2" t="s">
        <v>20</v>
      </c>
      <c r="G556" s="2" t="s">
        <v>18</v>
      </c>
      <c r="H556">
        <f t="shared" si="8"/>
        <v>3623.3500000000004</v>
      </c>
    </row>
    <row r="557" spans="1:8">
      <c r="A557" s="2">
        <v>556</v>
      </c>
      <c r="B557" s="2" t="s">
        <v>21</v>
      </c>
      <c r="C557" s="2" t="s">
        <v>12</v>
      </c>
      <c r="D557" s="2">
        <v>15</v>
      </c>
      <c r="E557" s="3">
        <v>73063</v>
      </c>
      <c r="F557" s="2" t="s">
        <v>20</v>
      </c>
      <c r="G557" s="2" t="s">
        <v>14</v>
      </c>
      <c r="H557">
        <f t="shared" si="8"/>
        <v>3653.15</v>
      </c>
    </row>
    <row r="558" spans="1:8">
      <c r="A558" s="2">
        <v>557</v>
      </c>
      <c r="B558" s="2" t="s">
        <v>86</v>
      </c>
      <c r="C558" s="2" t="s">
        <v>22</v>
      </c>
      <c r="D558" s="2">
        <v>21</v>
      </c>
      <c r="E558" s="3">
        <v>66942</v>
      </c>
      <c r="F558" s="2" t="s">
        <v>32</v>
      </c>
      <c r="G558" s="2" t="s">
        <v>26</v>
      </c>
      <c r="H558">
        <f t="shared" si="8"/>
        <v>3347.1000000000004</v>
      </c>
    </row>
    <row r="559" spans="1:8">
      <c r="A559" s="2">
        <v>558</v>
      </c>
      <c r="B559" s="2" t="s">
        <v>39</v>
      </c>
      <c r="C559" s="2" t="s">
        <v>12</v>
      </c>
      <c r="D559" s="2">
        <v>16</v>
      </c>
      <c r="E559" s="3">
        <v>35441</v>
      </c>
      <c r="F559" s="2" t="s">
        <v>13</v>
      </c>
      <c r="G559" s="2" t="s">
        <v>18</v>
      </c>
      <c r="H559">
        <f t="shared" si="8"/>
        <v>1772.0500000000002</v>
      </c>
    </row>
    <row r="560" spans="1:8">
      <c r="A560" s="2">
        <v>559</v>
      </c>
      <c r="B560" s="2" t="s">
        <v>56</v>
      </c>
      <c r="C560" s="2" t="s">
        <v>8</v>
      </c>
      <c r="D560" s="2">
        <v>27</v>
      </c>
      <c r="E560" s="3">
        <v>74626</v>
      </c>
      <c r="F560" s="2" t="s">
        <v>32</v>
      </c>
      <c r="G560" s="2" t="s">
        <v>14</v>
      </c>
      <c r="H560">
        <f t="shared" si="8"/>
        <v>3731.3</v>
      </c>
    </row>
    <row r="561" spans="1:8">
      <c r="A561" s="2">
        <v>560</v>
      </c>
      <c r="B561" s="2" t="s">
        <v>19</v>
      </c>
      <c r="C561" s="2" t="s">
        <v>22</v>
      </c>
      <c r="D561" s="2">
        <v>47</v>
      </c>
      <c r="E561" s="3">
        <v>28491</v>
      </c>
      <c r="F561" s="2" t="s">
        <v>32</v>
      </c>
      <c r="G561" s="2" t="s">
        <v>14</v>
      </c>
      <c r="H561">
        <f t="shared" si="8"/>
        <v>1424.5500000000002</v>
      </c>
    </row>
    <row r="562" spans="1:8">
      <c r="A562" s="2">
        <v>561</v>
      </c>
      <c r="B562" s="2" t="s">
        <v>70</v>
      </c>
      <c r="C562" s="2" t="s">
        <v>12</v>
      </c>
      <c r="D562" s="2">
        <v>21</v>
      </c>
      <c r="E562" s="3">
        <v>33673</v>
      </c>
      <c r="F562" s="2" t="s">
        <v>32</v>
      </c>
      <c r="G562" s="2" t="s">
        <v>29</v>
      </c>
      <c r="H562">
        <f t="shared" si="8"/>
        <v>1683.65</v>
      </c>
    </row>
    <row r="563" spans="1:8">
      <c r="A563" s="2">
        <v>562</v>
      </c>
      <c r="B563" s="2" t="s">
        <v>73</v>
      </c>
      <c r="C563" s="2" t="s">
        <v>8</v>
      </c>
      <c r="D563" s="2">
        <v>18</v>
      </c>
      <c r="E563" s="3">
        <v>48239</v>
      </c>
      <c r="F563" s="2" t="s">
        <v>25</v>
      </c>
      <c r="G563" s="2" t="s">
        <v>10</v>
      </c>
      <c r="H563">
        <f t="shared" si="8"/>
        <v>2411.9500000000003</v>
      </c>
    </row>
    <row r="564" spans="1:8">
      <c r="A564" s="2">
        <v>563</v>
      </c>
      <c r="B564" s="2" t="s">
        <v>31</v>
      </c>
      <c r="C564" s="2" t="s">
        <v>22</v>
      </c>
      <c r="D564" s="2">
        <v>5</v>
      </c>
      <c r="E564" s="3">
        <v>34831</v>
      </c>
      <c r="F564" s="2" t="s">
        <v>13</v>
      </c>
      <c r="G564" s="2" t="s">
        <v>10</v>
      </c>
      <c r="H564">
        <f t="shared" si="8"/>
        <v>1741.5500000000002</v>
      </c>
    </row>
    <row r="565" spans="1:8">
      <c r="A565" s="2">
        <v>564</v>
      </c>
      <c r="B565" s="2" t="s">
        <v>70</v>
      </c>
      <c r="C565" s="2" t="s">
        <v>16</v>
      </c>
      <c r="D565" s="2">
        <v>37</v>
      </c>
      <c r="E565" s="3">
        <v>57389</v>
      </c>
      <c r="F565" s="2" t="s">
        <v>20</v>
      </c>
      <c r="G565" s="2" t="s">
        <v>10</v>
      </c>
      <c r="H565">
        <f t="shared" si="8"/>
        <v>2869.4500000000003</v>
      </c>
    </row>
    <row r="566" spans="1:8">
      <c r="A566" s="2">
        <v>565</v>
      </c>
      <c r="B566" s="2" t="s">
        <v>21</v>
      </c>
      <c r="C566" s="2" t="s">
        <v>22</v>
      </c>
      <c r="D566" s="2">
        <v>24</v>
      </c>
      <c r="E566" s="3">
        <v>71636</v>
      </c>
      <c r="F566" s="2" t="s">
        <v>17</v>
      </c>
      <c r="G566" s="2" t="s">
        <v>18</v>
      </c>
      <c r="H566">
        <f t="shared" si="8"/>
        <v>3581.8</v>
      </c>
    </row>
    <row r="567" spans="1:8">
      <c r="A567" s="2">
        <v>566</v>
      </c>
      <c r="B567" s="2" t="s">
        <v>55</v>
      </c>
      <c r="C567" s="2" t="s">
        <v>22</v>
      </c>
      <c r="D567" s="2">
        <v>8</v>
      </c>
      <c r="E567" s="3">
        <v>81508</v>
      </c>
      <c r="F567" s="2" t="s">
        <v>9</v>
      </c>
      <c r="G567" s="2" t="s">
        <v>10</v>
      </c>
      <c r="H567">
        <f t="shared" si="8"/>
        <v>4075.4</v>
      </c>
    </row>
    <row r="568" spans="1:8">
      <c r="A568" s="2">
        <v>567</v>
      </c>
      <c r="B568" s="2" t="s">
        <v>52</v>
      </c>
      <c r="C568" s="2" t="s">
        <v>12</v>
      </c>
      <c r="D568" s="2">
        <v>33</v>
      </c>
      <c r="E568" s="3">
        <v>42911</v>
      </c>
      <c r="F568" s="2" t="s">
        <v>13</v>
      </c>
      <c r="G568" s="2" t="s">
        <v>26</v>
      </c>
      <c r="H568">
        <f t="shared" si="8"/>
        <v>2145.5500000000002</v>
      </c>
    </row>
    <row r="569" spans="1:8">
      <c r="A569" s="2">
        <v>568</v>
      </c>
      <c r="B569" s="2" t="s">
        <v>92</v>
      </c>
      <c r="C569" s="2" t="s">
        <v>8</v>
      </c>
      <c r="D569" s="2">
        <v>44</v>
      </c>
      <c r="E569" s="3">
        <v>37120</v>
      </c>
      <c r="F569" s="2" t="s">
        <v>20</v>
      </c>
      <c r="G569" s="2" t="s">
        <v>23</v>
      </c>
      <c r="H569">
        <f t="shared" si="8"/>
        <v>1856</v>
      </c>
    </row>
    <row r="570" spans="1:8">
      <c r="A570" s="2">
        <v>569</v>
      </c>
      <c r="B570" s="2" t="s">
        <v>57</v>
      </c>
      <c r="C570" s="2" t="s">
        <v>22</v>
      </c>
      <c r="D570" s="2">
        <v>4</v>
      </c>
      <c r="E570" s="3">
        <v>60164</v>
      </c>
      <c r="F570" s="2" t="s">
        <v>25</v>
      </c>
      <c r="G570" s="2" t="s">
        <v>29</v>
      </c>
      <c r="H570">
        <f t="shared" si="8"/>
        <v>3008.2000000000003</v>
      </c>
    </row>
    <row r="571" spans="1:8">
      <c r="A571" s="2">
        <v>570</v>
      </c>
      <c r="B571" s="2" t="s">
        <v>60</v>
      </c>
      <c r="C571" s="2" t="s">
        <v>22</v>
      </c>
      <c r="D571" s="2">
        <v>12</v>
      </c>
      <c r="E571" s="3">
        <v>43911</v>
      </c>
      <c r="F571" s="2" t="s">
        <v>25</v>
      </c>
      <c r="G571" s="2" t="s">
        <v>10</v>
      </c>
      <c r="H571">
        <f t="shared" si="8"/>
        <v>2195.5500000000002</v>
      </c>
    </row>
    <row r="572" spans="1:8">
      <c r="A572" s="2">
        <v>571</v>
      </c>
      <c r="B572" s="2" t="s">
        <v>72</v>
      </c>
      <c r="C572" s="2" t="s">
        <v>22</v>
      </c>
      <c r="D572" s="2">
        <v>15</v>
      </c>
      <c r="E572" s="3">
        <v>25829</v>
      </c>
      <c r="F572" s="2" t="s">
        <v>13</v>
      </c>
      <c r="G572" s="2" t="s">
        <v>26</v>
      </c>
      <c r="H572">
        <f t="shared" si="8"/>
        <v>1291.45</v>
      </c>
    </row>
    <row r="573" spans="1:8">
      <c r="A573" s="2">
        <v>572</v>
      </c>
      <c r="B573" s="2" t="s">
        <v>46</v>
      </c>
      <c r="C573" s="2" t="s">
        <v>12</v>
      </c>
      <c r="D573" s="2">
        <v>34</v>
      </c>
      <c r="E573" s="3">
        <v>60216</v>
      </c>
      <c r="F573" s="2" t="s">
        <v>17</v>
      </c>
      <c r="G573" s="2" t="s">
        <v>26</v>
      </c>
      <c r="H573">
        <f t="shared" si="8"/>
        <v>3010.8</v>
      </c>
    </row>
    <row r="574" spans="1:8">
      <c r="A574" s="2">
        <v>573</v>
      </c>
      <c r="B574" s="2" t="s">
        <v>42</v>
      </c>
      <c r="C574" s="2" t="s">
        <v>22</v>
      </c>
      <c r="D574" s="2">
        <v>3</v>
      </c>
      <c r="E574" s="3">
        <v>82999</v>
      </c>
      <c r="F574" s="2" t="s">
        <v>25</v>
      </c>
      <c r="G574" s="2" t="s">
        <v>10</v>
      </c>
      <c r="H574">
        <f t="shared" si="8"/>
        <v>4149.95</v>
      </c>
    </row>
    <row r="575" spans="1:8">
      <c r="A575" s="2">
        <v>574</v>
      </c>
      <c r="B575" s="2" t="s">
        <v>79</v>
      </c>
      <c r="C575" s="2" t="s">
        <v>8</v>
      </c>
      <c r="D575" s="2">
        <v>26</v>
      </c>
      <c r="E575" s="3">
        <v>99562</v>
      </c>
      <c r="F575" s="2" t="s">
        <v>9</v>
      </c>
      <c r="G575" s="2" t="s">
        <v>10</v>
      </c>
      <c r="H575">
        <f t="shared" si="8"/>
        <v>4978.1000000000004</v>
      </c>
    </row>
    <row r="576" spans="1:8">
      <c r="A576" s="2">
        <v>575</v>
      </c>
      <c r="B576" s="2" t="s">
        <v>83</v>
      </c>
      <c r="C576" s="2" t="s">
        <v>12</v>
      </c>
      <c r="D576" s="2">
        <v>5</v>
      </c>
      <c r="E576" s="3">
        <v>81867</v>
      </c>
      <c r="F576" s="2" t="s">
        <v>17</v>
      </c>
      <c r="G576" s="2" t="s">
        <v>18</v>
      </c>
      <c r="H576">
        <f t="shared" si="8"/>
        <v>4093.3500000000004</v>
      </c>
    </row>
    <row r="577" spans="1:8">
      <c r="A577" s="2">
        <v>576</v>
      </c>
      <c r="B577" s="2" t="s">
        <v>66</v>
      </c>
      <c r="C577" s="2" t="s">
        <v>16</v>
      </c>
      <c r="D577" s="2">
        <v>30</v>
      </c>
      <c r="E577" s="3">
        <v>50802</v>
      </c>
      <c r="F577" s="2" t="s">
        <v>17</v>
      </c>
      <c r="G577" s="2" t="s">
        <v>29</v>
      </c>
      <c r="H577">
        <f t="shared" si="8"/>
        <v>2540.1000000000004</v>
      </c>
    </row>
    <row r="578" spans="1:8">
      <c r="A578" s="2">
        <v>577</v>
      </c>
      <c r="B578" s="2" t="s">
        <v>7</v>
      </c>
      <c r="C578" s="2" t="s">
        <v>16</v>
      </c>
      <c r="D578" s="2">
        <v>19</v>
      </c>
      <c r="E578" s="3">
        <v>70947</v>
      </c>
      <c r="F578" s="2" t="s">
        <v>17</v>
      </c>
      <c r="G578" s="2" t="s">
        <v>23</v>
      </c>
      <c r="H578">
        <f t="shared" si="8"/>
        <v>3547.3500000000004</v>
      </c>
    </row>
    <row r="579" spans="1:8">
      <c r="A579" s="2">
        <v>578</v>
      </c>
      <c r="B579" s="2" t="s">
        <v>74</v>
      </c>
      <c r="C579" s="2" t="s">
        <v>12</v>
      </c>
      <c r="D579" s="2">
        <v>50</v>
      </c>
      <c r="E579" s="3">
        <v>46825</v>
      </c>
      <c r="F579" s="2" t="s">
        <v>17</v>
      </c>
      <c r="G579" s="2" t="s">
        <v>10</v>
      </c>
      <c r="H579">
        <f t="shared" ref="H579:H642" si="9">E579*5%</f>
        <v>2341.25</v>
      </c>
    </row>
    <row r="580" spans="1:8">
      <c r="A580" s="2">
        <v>579</v>
      </c>
      <c r="B580" s="2" t="s">
        <v>47</v>
      </c>
      <c r="C580" s="2" t="s">
        <v>8</v>
      </c>
      <c r="D580" s="2">
        <v>20</v>
      </c>
      <c r="E580" s="3">
        <v>95044</v>
      </c>
      <c r="F580" s="2" t="s">
        <v>13</v>
      </c>
      <c r="G580" s="2" t="s">
        <v>14</v>
      </c>
      <c r="H580">
        <f t="shared" si="9"/>
        <v>4752.2</v>
      </c>
    </row>
    <row r="581" spans="1:8">
      <c r="A581" s="2">
        <v>580</v>
      </c>
      <c r="B581" s="2" t="s">
        <v>69</v>
      </c>
      <c r="C581" s="2" t="s">
        <v>12</v>
      </c>
      <c r="D581" s="2">
        <v>21</v>
      </c>
      <c r="E581" s="3">
        <v>91142</v>
      </c>
      <c r="F581" s="2" t="s">
        <v>13</v>
      </c>
      <c r="G581" s="2" t="s">
        <v>18</v>
      </c>
      <c r="H581">
        <f t="shared" si="9"/>
        <v>4557.1000000000004</v>
      </c>
    </row>
    <row r="582" spans="1:8">
      <c r="A582" s="2">
        <v>581</v>
      </c>
      <c r="B582" s="2" t="s">
        <v>61</v>
      </c>
      <c r="C582" s="2" t="s">
        <v>12</v>
      </c>
      <c r="D582" s="2">
        <v>6</v>
      </c>
      <c r="E582" s="3">
        <v>64988</v>
      </c>
      <c r="F582" s="2" t="s">
        <v>17</v>
      </c>
      <c r="G582" s="2" t="s">
        <v>10</v>
      </c>
      <c r="H582">
        <f t="shared" si="9"/>
        <v>3249.4</v>
      </c>
    </row>
    <row r="583" spans="1:8">
      <c r="A583" s="2">
        <v>582</v>
      </c>
      <c r="B583" s="2" t="s">
        <v>84</v>
      </c>
      <c r="C583" s="2" t="s">
        <v>12</v>
      </c>
      <c r="D583" s="2">
        <v>36</v>
      </c>
      <c r="E583" s="3">
        <v>71250</v>
      </c>
      <c r="F583" s="2" t="s">
        <v>32</v>
      </c>
      <c r="G583" s="2" t="s">
        <v>10</v>
      </c>
      <c r="H583">
        <f t="shared" si="9"/>
        <v>3562.5</v>
      </c>
    </row>
    <row r="584" spans="1:8">
      <c r="A584" s="2">
        <v>583</v>
      </c>
      <c r="B584" s="2" t="s">
        <v>82</v>
      </c>
      <c r="C584" s="2" t="s">
        <v>12</v>
      </c>
      <c r="D584" s="2">
        <v>30</v>
      </c>
      <c r="E584" s="3">
        <v>36853</v>
      </c>
      <c r="F584" s="2" t="s">
        <v>32</v>
      </c>
      <c r="G584" s="2" t="s">
        <v>26</v>
      </c>
      <c r="H584">
        <f t="shared" si="9"/>
        <v>1842.65</v>
      </c>
    </row>
    <row r="585" spans="1:8">
      <c r="A585" s="2">
        <v>584</v>
      </c>
      <c r="B585" s="2" t="s">
        <v>45</v>
      </c>
      <c r="C585" s="2" t="s">
        <v>22</v>
      </c>
      <c r="D585" s="2">
        <v>1</v>
      </c>
      <c r="E585" s="3">
        <v>95347</v>
      </c>
      <c r="F585" s="2" t="s">
        <v>13</v>
      </c>
      <c r="G585" s="2" t="s">
        <v>18</v>
      </c>
      <c r="H585">
        <f t="shared" si="9"/>
        <v>4767.3500000000004</v>
      </c>
    </row>
    <row r="586" spans="1:8">
      <c r="A586" s="2">
        <v>585</v>
      </c>
      <c r="B586" s="2" t="s">
        <v>19</v>
      </c>
      <c r="C586" s="2" t="s">
        <v>16</v>
      </c>
      <c r="D586" s="2">
        <v>24</v>
      </c>
      <c r="E586" s="3">
        <v>83598</v>
      </c>
      <c r="F586" s="2" t="s">
        <v>28</v>
      </c>
      <c r="G586" s="2" t="s">
        <v>23</v>
      </c>
      <c r="H586">
        <f t="shared" si="9"/>
        <v>4179.9000000000005</v>
      </c>
    </row>
    <row r="587" spans="1:8">
      <c r="A587" s="2">
        <v>586</v>
      </c>
      <c r="B587" s="2" t="s">
        <v>41</v>
      </c>
      <c r="C587" s="2" t="s">
        <v>8</v>
      </c>
      <c r="D587" s="2">
        <v>13</v>
      </c>
      <c r="E587" s="3">
        <v>91231</v>
      </c>
      <c r="F587" s="2" t="s">
        <v>17</v>
      </c>
      <c r="G587" s="2" t="s">
        <v>26</v>
      </c>
      <c r="H587">
        <f t="shared" si="9"/>
        <v>4561.55</v>
      </c>
    </row>
    <row r="588" spans="1:8">
      <c r="A588" s="2">
        <v>587</v>
      </c>
      <c r="B588" s="2" t="s">
        <v>59</v>
      </c>
      <c r="C588" s="2" t="s">
        <v>22</v>
      </c>
      <c r="D588" s="2">
        <v>19</v>
      </c>
      <c r="E588" s="3">
        <v>62001</v>
      </c>
      <c r="F588" s="2" t="s">
        <v>9</v>
      </c>
      <c r="G588" s="2" t="s">
        <v>14</v>
      </c>
      <c r="H588">
        <f t="shared" si="9"/>
        <v>3100.05</v>
      </c>
    </row>
    <row r="589" spans="1:8">
      <c r="A589" s="2">
        <v>588</v>
      </c>
      <c r="B589" s="2" t="s">
        <v>93</v>
      </c>
      <c r="C589" s="2" t="s">
        <v>16</v>
      </c>
      <c r="D589" s="2">
        <v>37</v>
      </c>
      <c r="E589" s="3">
        <v>84428</v>
      </c>
      <c r="F589" s="2" t="s">
        <v>9</v>
      </c>
      <c r="G589" s="2" t="s">
        <v>14</v>
      </c>
      <c r="H589">
        <f t="shared" si="9"/>
        <v>4221.4000000000005</v>
      </c>
    </row>
    <row r="590" spans="1:8">
      <c r="A590" s="2">
        <v>589</v>
      </c>
      <c r="B590" s="2" t="s">
        <v>36</v>
      </c>
      <c r="C590" s="2" t="s">
        <v>12</v>
      </c>
      <c r="D590" s="2">
        <v>20</v>
      </c>
      <c r="E590" s="3">
        <v>42380</v>
      </c>
      <c r="F590" s="2" t="s">
        <v>13</v>
      </c>
      <c r="G590" s="2" t="s">
        <v>23</v>
      </c>
      <c r="H590">
        <f t="shared" si="9"/>
        <v>2119</v>
      </c>
    </row>
    <row r="591" spans="1:8">
      <c r="A591" s="2">
        <v>590</v>
      </c>
      <c r="B591" s="2" t="s">
        <v>63</v>
      </c>
      <c r="C591" s="2" t="s">
        <v>16</v>
      </c>
      <c r="D591" s="2">
        <v>48</v>
      </c>
      <c r="E591" s="3">
        <v>98201</v>
      </c>
      <c r="F591" s="2" t="s">
        <v>38</v>
      </c>
      <c r="G591" s="2" t="s">
        <v>26</v>
      </c>
      <c r="H591">
        <f t="shared" si="9"/>
        <v>4910.05</v>
      </c>
    </row>
    <row r="592" spans="1:8">
      <c r="A592" s="2">
        <v>591</v>
      </c>
      <c r="B592" s="2" t="s">
        <v>41</v>
      </c>
      <c r="C592" s="2" t="s">
        <v>16</v>
      </c>
      <c r="D592" s="2">
        <v>40</v>
      </c>
      <c r="E592" s="3">
        <v>67108</v>
      </c>
      <c r="F592" s="2" t="s">
        <v>38</v>
      </c>
      <c r="G592" s="2" t="s">
        <v>18</v>
      </c>
      <c r="H592">
        <f t="shared" si="9"/>
        <v>3355.4</v>
      </c>
    </row>
    <row r="593" spans="1:8">
      <c r="A593" s="2">
        <v>592</v>
      </c>
      <c r="B593" s="2" t="s">
        <v>78</v>
      </c>
      <c r="C593" s="2" t="s">
        <v>22</v>
      </c>
      <c r="D593" s="2">
        <v>16</v>
      </c>
      <c r="E593" s="3">
        <v>45986</v>
      </c>
      <c r="F593" s="2" t="s">
        <v>28</v>
      </c>
      <c r="G593" s="2" t="s">
        <v>10</v>
      </c>
      <c r="H593">
        <f t="shared" si="9"/>
        <v>2299.3000000000002</v>
      </c>
    </row>
    <row r="594" spans="1:8">
      <c r="A594" s="2">
        <v>593</v>
      </c>
      <c r="B594" s="2" t="s">
        <v>11</v>
      </c>
      <c r="C594" s="2" t="s">
        <v>22</v>
      </c>
      <c r="D594" s="2">
        <v>30</v>
      </c>
      <c r="E594" s="3">
        <v>80023</v>
      </c>
      <c r="F594" s="2" t="s">
        <v>38</v>
      </c>
      <c r="G594" s="2" t="s">
        <v>23</v>
      </c>
      <c r="H594">
        <f t="shared" si="9"/>
        <v>4001.15</v>
      </c>
    </row>
    <row r="595" spans="1:8">
      <c r="A595" s="2">
        <v>594</v>
      </c>
      <c r="B595" s="2" t="s">
        <v>67</v>
      </c>
      <c r="C595" s="2" t="s">
        <v>8</v>
      </c>
      <c r="D595" s="2">
        <v>24</v>
      </c>
      <c r="E595" s="3">
        <v>76205</v>
      </c>
      <c r="F595" s="2" t="s">
        <v>25</v>
      </c>
      <c r="G595" s="2" t="s">
        <v>26</v>
      </c>
      <c r="H595">
        <f t="shared" si="9"/>
        <v>3810.25</v>
      </c>
    </row>
    <row r="596" spans="1:8">
      <c r="A596" s="2">
        <v>595</v>
      </c>
      <c r="B596" s="2" t="s">
        <v>49</v>
      </c>
      <c r="C596" s="2" t="s">
        <v>12</v>
      </c>
      <c r="D596" s="2">
        <v>38</v>
      </c>
      <c r="E596" s="3">
        <v>79130</v>
      </c>
      <c r="F596" s="2" t="s">
        <v>28</v>
      </c>
      <c r="G596" s="2" t="s">
        <v>18</v>
      </c>
      <c r="H596">
        <f t="shared" si="9"/>
        <v>3956.5</v>
      </c>
    </row>
    <row r="597" spans="1:8">
      <c r="A597" s="2">
        <v>596</v>
      </c>
      <c r="B597" s="2" t="s">
        <v>74</v>
      </c>
      <c r="C597" s="2" t="s">
        <v>12</v>
      </c>
      <c r="D597" s="2">
        <v>32</v>
      </c>
      <c r="E597" s="3">
        <v>58279</v>
      </c>
      <c r="F597" s="2" t="s">
        <v>38</v>
      </c>
      <c r="G597" s="2" t="s">
        <v>18</v>
      </c>
      <c r="H597">
        <f t="shared" si="9"/>
        <v>2913.9500000000003</v>
      </c>
    </row>
    <row r="598" spans="1:8">
      <c r="A598" s="2">
        <v>597</v>
      </c>
      <c r="B598" s="2" t="s">
        <v>59</v>
      </c>
      <c r="C598" s="2" t="s">
        <v>12</v>
      </c>
      <c r="D598" s="2">
        <v>50</v>
      </c>
      <c r="E598" s="3">
        <v>76277</v>
      </c>
      <c r="F598" s="2" t="s">
        <v>28</v>
      </c>
      <c r="G598" s="2" t="s">
        <v>18</v>
      </c>
      <c r="H598">
        <f t="shared" si="9"/>
        <v>3813.8500000000004</v>
      </c>
    </row>
    <row r="599" spans="1:8">
      <c r="A599" s="2">
        <v>598</v>
      </c>
      <c r="B599" s="2" t="s">
        <v>87</v>
      </c>
      <c r="C599" s="2" t="s">
        <v>16</v>
      </c>
      <c r="D599" s="2">
        <v>50</v>
      </c>
      <c r="E599" s="3">
        <v>67774</v>
      </c>
      <c r="F599" s="2" t="s">
        <v>32</v>
      </c>
      <c r="G599" s="2" t="s">
        <v>18</v>
      </c>
      <c r="H599">
        <f t="shared" si="9"/>
        <v>3388.7000000000003</v>
      </c>
    </row>
    <row r="600" spans="1:8">
      <c r="A600" s="2">
        <v>599</v>
      </c>
      <c r="B600" s="2" t="s">
        <v>30</v>
      </c>
      <c r="C600" s="2" t="s">
        <v>16</v>
      </c>
      <c r="D600" s="2">
        <v>13</v>
      </c>
      <c r="E600" s="3">
        <v>87684</v>
      </c>
      <c r="F600" s="2" t="s">
        <v>32</v>
      </c>
      <c r="G600" s="2" t="s">
        <v>14</v>
      </c>
      <c r="H600">
        <f t="shared" si="9"/>
        <v>4384.2</v>
      </c>
    </row>
    <row r="601" spans="1:8">
      <c r="A601" s="2">
        <v>600</v>
      </c>
      <c r="B601" s="2" t="s">
        <v>71</v>
      </c>
      <c r="C601" s="2" t="s">
        <v>12</v>
      </c>
      <c r="D601" s="2">
        <v>47</v>
      </c>
      <c r="E601" s="3">
        <v>91588</v>
      </c>
      <c r="F601" s="2" t="s">
        <v>17</v>
      </c>
      <c r="G601" s="2" t="s">
        <v>18</v>
      </c>
      <c r="H601">
        <f t="shared" si="9"/>
        <v>4579.4000000000005</v>
      </c>
    </row>
    <row r="602" spans="1:8">
      <c r="A602" s="2">
        <v>601</v>
      </c>
      <c r="B602" s="2" t="s">
        <v>64</v>
      </c>
      <c r="C602" s="2" t="s">
        <v>8</v>
      </c>
      <c r="D602" s="2">
        <v>35</v>
      </c>
      <c r="E602" s="3">
        <v>92000</v>
      </c>
      <c r="F602" s="2" t="s">
        <v>38</v>
      </c>
      <c r="G602" s="2" t="s">
        <v>26</v>
      </c>
      <c r="H602">
        <f t="shared" si="9"/>
        <v>4600</v>
      </c>
    </row>
    <row r="603" spans="1:8">
      <c r="A603" s="2">
        <v>602</v>
      </c>
      <c r="B603" s="2" t="s">
        <v>84</v>
      </c>
      <c r="C603" s="2" t="s">
        <v>16</v>
      </c>
      <c r="D603" s="2">
        <v>49</v>
      </c>
      <c r="E603" s="3">
        <v>65108</v>
      </c>
      <c r="F603" s="2" t="s">
        <v>28</v>
      </c>
      <c r="G603" s="2" t="s">
        <v>23</v>
      </c>
      <c r="H603">
        <f t="shared" si="9"/>
        <v>3255.4</v>
      </c>
    </row>
    <row r="604" spans="1:8">
      <c r="A604" s="2">
        <v>603</v>
      </c>
      <c r="B604" s="2" t="s">
        <v>66</v>
      </c>
      <c r="C604" s="2" t="s">
        <v>8</v>
      </c>
      <c r="D604" s="2">
        <v>16</v>
      </c>
      <c r="E604" s="3">
        <v>46916</v>
      </c>
      <c r="F604" s="2" t="s">
        <v>25</v>
      </c>
      <c r="G604" s="2" t="s">
        <v>10</v>
      </c>
      <c r="H604">
        <f t="shared" si="9"/>
        <v>2345.8000000000002</v>
      </c>
    </row>
    <row r="605" spans="1:8">
      <c r="A605" s="2">
        <v>604</v>
      </c>
      <c r="B605" s="2" t="s">
        <v>15</v>
      </c>
      <c r="C605" s="2" t="s">
        <v>16</v>
      </c>
      <c r="D605" s="2">
        <v>10</v>
      </c>
      <c r="E605" s="3">
        <v>80206</v>
      </c>
      <c r="F605" s="2" t="s">
        <v>20</v>
      </c>
      <c r="G605" s="2" t="s">
        <v>10</v>
      </c>
      <c r="H605">
        <f t="shared" si="9"/>
        <v>4010.3</v>
      </c>
    </row>
    <row r="606" spans="1:8">
      <c r="A606" s="2">
        <v>605</v>
      </c>
      <c r="B606" s="2" t="s">
        <v>79</v>
      </c>
      <c r="C606" s="2" t="s">
        <v>22</v>
      </c>
      <c r="D606" s="2">
        <v>1</v>
      </c>
      <c r="E606" s="3">
        <v>82751</v>
      </c>
      <c r="F606" s="2" t="s">
        <v>38</v>
      </c>
      <c r="G606" s="2" t="s">
        <v>26</v>
      </c>
      <c r="H606">
        <f t="shared" si="9"/>
        <v>4137.55</v>
      </c>
    </row>
    <row r="607" spans="1:8">
      <c r="A607" s="2">
        <v>606</v>
      </c>
      <c r="B607" s="2" t="s">
        <v>78</v>
      </c>
      <c r="C607" s="2" t="s">
        <v>22</v>
      </c>
      <c r="D607" s="2">
        <v>27</v>
      </c>
      <c r="E607" s="3">
        <v>26835</v>
      </c>
      <c r="F607" s="2" t="s">
        <v>9</v>
      </c>
      <c r="G607" s="2" t="s">
        <v>26</v>
      </c>
      <c r="H607">
        <f t="shared" si="9"/>
        <v>1341.75</v>
      </c>
    </row>
    <row r="608" spans="1:8">
      <c r="A608" s="2">
        <v>607</v>
      </c>
      <c r="B608" s="2" t="s">
        <v>89</v>
      </c>
      <c r="C608" s="2" t="s">
        <v>12</v>
      </c>
      <c r="D608" s="2">
        <v>2</v>
      </c>
      <c r="E608" s="3">
        <v>72724</v>
      </c>
      <c r="F608" s="2" t="s">
        <v>17</v>
      </c>
      <c r="G608" s="2" t="s">
        <v>29</v>
      </c>
      <c r="H608">
        <f t="shared" si="9"/>
        <v>3636.2000000000003</v>
      </c>
    </row>
    <row r="609" spans="1:8">
      <c r="A609" s="2">
        <v>608</v>
      </c>
      <c r="B609" s="2" t="s">
        <v>47</v>
      </c>
      <c r="C609" s="2" t="s">
        <v>22</v>
      </c>
      <c r="D609" s="2">
        <v>15</v>
      </c>
      <c r="E609" s="3">
        <v>61554</v>
      </c>
      <c r="F609" s="2" t="s">
        <v>25</v>
      </c>
      <c r="G609" s="2" t="s">
        <v>26</v>
      </c>
      <c r="H609">
        <f t="shared" si="9"/>
        <v>3077.7000000000003</v>
      </c>
    </row>
    <row r="610" spans="1:8">
      <c r="A610" s="2">
        <v>609</v>
      </c>
      <c r="B610" s="2" t="s">
        <v>92</v>
      </c>
      <c r="C610" s="2" t="s">
        <v>16</v>
      </c>
      <c r="D610" s="2">
        <v>35</v>
      </c>
      <c r="E610" s="3">
        <v>45733</v>
      </c>
      <c r="F610" s="2" t="s">
        <v>25</v>
      </c>
      <c r="G610" s="2" t="s">
        <v>26</v>
      </c>
      <c r="H610">
        <f t="shared" si="9"/>
        <v>2286.65</v>
      </c>
    </row>
    <row r="611" spans="1:8">
      <c r="A611" s="2">
        <v>610</v>
      </c>
      <c r="B611" s="2" t="s">
        <v>59</v>
      </c>
      <c r="C611" s="2" t="s">
        <v>16</v>
      </c>
      <c r="D611" s="2">
        <v>23</v>
      </c>
      <c r="E611" s="3">
        <v>43442</v>
      </c>
      <c r="F611" s="2" t="s">
        <v>28</v>
      </c>
      <c r="G611" s="2" t="s">
        <v>23</v>
      </c>
      <c r="H611">
        <f t="shared" si="9"/>
        <v>2172.1</v>
      </c>
    </row>
    <row r="612" spans="1:8">
      <c r="A612" s="2">
        <v>611</v>
      </c>
      <c r="B612" s="2" t="s">
        <v>83</v>
      </c>
      <c r="C612" s="2" t="s">
        <v>22</v>
      </c>
      <c r="D612" s="2">
        <v>41</v>
      </c>
      <c r="E612" s="3">
        <v>73196</v>
      </c>
      <c r="F612" s="2" t="s">
        <v>17</v>
      </c>
      <c r="G612" s="2" t="s">
        <v>29</v>
      </c>
      <c r="H612">
        <f t="shared" si="9"/>
        <v>3659.8</v>
      </c>
    </row>
    <row r="613" spans="1:8">
      <c r="A613" s="2">
        <v>612</v>
      </c>
      <c r="B613" s="2" t="s">
        <v>94</v>
      </c>
      <c r="C613" s="2" t="s">
        <v>22</v>
      </c>
      <c r="D613" s="2">
        <v>45</v>
      </c>
      <c r="E613" s="3">
        <v>65906</v>
      </c>
      <c r="F613" s="2" t="s">
        <v>32</v>
      </c>
      <c r="G613" s="2" t="s">
        <v>23</v>
      </c>
      <c r="H613">
        <f t="shared" si="9"/>
        <v>3295.3</v>
      </c>
    </row>
    <row r="614" spans="1:8">
      <c r="A614" s="2">
        <v>613</v>
      </c>
      <c r="B614" s="2" t="s">
        <v>91</v>
      </c>
      <c r="C614" s="2" t="s">
        <v>22</v>
      </c>
      <c r="D614" s="2">
        <v>1</v>
      </c>
      <c r="E614" s="3">
        <v>35450</v>
      </c>
      <c r="F614" s="2" t="s">
        <v>32</v>
      </c>
      <c r="G614" s="2" t="s">
        <v>18</v>
      </c>
      <c r="H614">
        <f t="shared" si="9"/>
        <v>1772.5</v>
      </c>
    </row>
    <row r="615" spans="1:8">
      <c r="A615" s="2">
        <v>614</v>
      </c>
      <c r="B615" s="2" t="s">
        <v>33</v>
      </c>
      <c r="C615" s="2" t="s">
        <v>12</v>
      </c>
      <c r="D615" s="2">
        <v>22</v>
      </c>
      <c r="E615" s="3">
        <v>50789</v>
      </c>
      <c r="F615" s="2" t="s">
        <v>28</v>
      </c>
      <c r="G615" s="2" t="s">
        <v>26</v>
      </c>
      <c r="H615">
        <f t="shared" si="9"/>
        <v>2539.4500000000003</v>
      </c>
    </row>
    <row r="616" spans="1:8">
      <c r="A616" s="2">
        <v>615</v>
      </c>
      <c r="B616" s="2" t="s">
        <v>39</v>
      </c>
      <c r="C616" s="2" t="s">
        <v>22</v>
      </c>
      <c r="D616" s="2">
        <v>1</v>
      </c>
      <c r="E616" s="3">
        <v>85804</v>
      </c>
      <c r="F616" s="2" t="s">
        <v>28</v>
      </c>
      <c r="G616" s="2" t="s">
        <v>26</v>
      </c>
      <c r="H616">
        <f t="shared" si="9"/>
        <v>4290.2</v>
      </c>
    </row>
    <row r="617" spans="1:8">
      <c r="A617" s="2">
        <v>616</v>
      </c>
      <c r="B617" s="2" t="s">
        <v>35</v>
      </c>
      <c r="C617" s="2" t="s">
        <v>16</v>
      </c>
      <c r="D617" s="2">
        <v>49</v>
      </c>
      <c r="E617" s="3">
        <v>49006</v>
      </c>
      <c r="F617" s="2" t="s">
        <v>20</v>
      </c>
      <c r="G617" s="2" t="s">
        <v>29</v>
      </c>
      <c r="H617">
        <f t="shared" si="9"/>
        <v>2450.3000000000002</v>
      </c>
    </row>
    <row r="618" spans="1:8">
      <c r="A618" s="2">
        <v>617</v>
      </c>
      <c r="B618" s="2" t="s">
        <v>82</v>
      </c>
      <c r="C618" s="2" t="s">
        <v>22</v>
      </c>
      <c r="D618" s="2">
        <v>43</v>
      </c>
      <c r="E618" s="3">
        <v>93489</v>
      </c>
      <c r="F618" s="2" t="s">
        <v>13</v>
      </c>
      <c r="G618" s="2" t="s">
        <v>18</v>
      </c>
      <c r="H618">
        <f t="shared" si="9"/>
        <v>4674.45</v>
      </c>
    </row>
    <row r="619" spans="1:8">
      <c r="A619" s="2">
        <v>618</v>
      </c>
      <c r="B619" s="2" t="s">
        <v>93</v>
      </c>
      <c r="C619" s="2" t="s">
        <v>12</v>
      </c>
      <c r="D619" s="2">
        <v>25</v>
      </c>
      <c r="E619" s="3">
        <v>98934</v>
      </c>
      <c r="F619" s="2" t="s">
        <v>32</v>
      </c>
      <c r="G619" s="2" t="s">
        <v>23</v>
      </c>
      <c r="H619">
        <f t="shared" si="9"/>
        <v>4946.7000000000007</v>
      </c>
    </row>
    <row r="620" spans="1:8">
      <c r="A620" s="2">
        <v>619</v>
      </c>
      <c r="B620" s="2" t="s">
        <v>63</v>
      </c>
      <c r="C620" s="2" t="s">
        <v>12</v>
      </c>
      <c r="D620" s="2">
        <v>48</v>
      </c>
      <c r="E620" s="3">
        <v>62581</v>
      </c>
      <c r="F620" s="2" t="s">
        <v>20</v>
      </c>
      <c r="G620" s="2" t="s">
        <v>14</v>
      </c>
      <c r="H620">
        <f t="shared" si="9"/>
        <v>3129.05</v>
      </c>
    </row>
    <row r="621" spans="1:8">
      <c r="A621" s="2">
        <v>620</v>
      </c>
      <c r="B621" s="2" t="s">
        <v>89</v>
      </c>
      <c r="C621" s="2" t="s">
        <v>16</v>
      </c>
      <c r="D621" s="2">
        <v>47</v>
      </c>
      <c r="E621" s="3">
        <v>27103</v>
      </c>
      <c r="F621" s="2" t="s">
        <v>17</v>
      </c>
      <c r="G621" s="2" t="s">
        <v>26</v>
      </c>
      <c r="H621">
        <f t="shared" si="9"/>
        <v>1355.15</v>
      </c>
    </row>
    <row r="622" spans="1:8">
      <c r="A622" s="2">
        <v>621</v>
      </c>
      <c r="B622" s="2" t="s">
        <v>51</v>
      </c>
      <c r="C622" s="2" t="s">
        <v>16</v>
      </c>
      <c r="D622" s="2">
        <v>20</v>
      </c>
      <c r="E622" s="3">
        <v>40433</v>
      </c>
      <c r="F622" s="2" t="s">
        <v>9</v>
      </c>
      <c r="G622" s="2" t="s">
        <v>14</v>
      </c>
      <c r="H622">
        <f t="shared" si="9"/>
        <v>2021.65</v>
      </c>
    </row>
    <row r="623" spans="1:8">
      <c r="A623" s="2">
        <v>622</v>
      </c>
      <c r="B623" s="2" t="s">
        <v>74</v>
      </c>
      <c r="C623" s="2" t="s">
        <v>22</v>
      </c>
      <c r="D623" s="2">
        <v>7</v>
      </c>
      <c r="E623" s="3">
        <v>48810</v>
      </c>
      <c r="F623" s="2" t="s">
        <v>25</v>
      </c>
      <c r="G623" s="2" t="s">
        <v>14</v>
      </c>
      <c r="H623">
        <f t="shared" si="9"/>
        <v>2440.5</v>
      </c>
    </row>
    <row r="624" spans="1:8">
      <c r="A624" s="2">
        <v>623</v>
      </c>
      <c r="B624" s="2" t="s">
        <v>68</v>
      </c>
      <c r="C624" s="2" t="s">
        <v>16</v>
      </c>
      <c r="D624" s="2">
        <v>14</v>
      </c>
      <c r="E624" s="3">
        <v>28815</v>
      </c>
      <c r="F624" s="2" t="s">
        <v>9</v>
      </c>
      <c r="G624" s="2" t="s">
        <v>14</v>
      </c>
      <c r="H624">
        <f t="shared" si="9"/>
        <v>1440.75</v>
      </c>
    </row>
    <row r="625" spans="1:8">
      <c r="A625" s="2">
        <v>624</v>
      </c>
      <c r="B625" s="2" t="s">
        <v>56</v>
      </c>
      <c r="C625" s="2" t="s">
        <v>8</v>
      </c>
      <c r="D625" s="2">
        <v>34</v>
      </c>
      <c r="E625" s="3">
        <v>28127</v>
      </c>
      <c r="F625" s="2" t="s">
        <v>20</v>
      </c>
      <c r="G625" s="2" t="s">
        <v>10</v>
      </c>
      <c r="H625">
        <f t="shared" si="9"/>
        <v>1406.3500000000001</v>
      </c>
    </row>
    <row r="626" spans="1:8">
      <c r="A626" s="2">
        <v>625</v>
      </c>
      <c r="B626" s="2" t="s">
        <v>24</v>
      </c>
      <c r="C626" s="2" t="s">
        <v>16</v>
      </c>
      <c r="D626" s="2">
        <v>16</v>
      </c>
      <c r="E626" s="3">
        <v>34188</v>
      </c>
      <c r="F626" s="2" t="s">
        <v>28</v>
      </c>
      <c r="G626" s="2" t="s">
        <v>14</v>
      </c>
      <c r="H626">
        <f t="shared" si="9"/>
        <v>1709.4</v>
      </c>
    </row>
    <row r="627" spans="1:8">
      <c r="A627" s="2">
        <v>626</v>
      </c>
      <c r="B627" s="2" t="s">
        <v>36</v>
      </c>
      <c r="C627" s="2" t="s">
        <v>8</v>
      </c>
      <c r="D627" s="2">
        <v>27</v>
      </c>
      <c r="E627" s="3">
        <v>66580</v>
      </c>
      <c r="F627" s="2" t="s">
        <v>38</v>
      </c>
      <c r="G627" s="2" t="s">
        <v>23</v>
      </c>
      <c r="H627">
        <f t="shared" si="9"/>
        <v>3329</v>
      </c>
    </row>
    <row r="628" spans="1:8">
      <c r="A628" s="2">
        <v>627</v>
      </c>
      <c r="B628" s="2" t="s">
        <v>44</v>
      </c>
      <c r="C628" s="2" t="s">
        <v>8</v>
      </c>
      <c r="D628" s="2">
        <v>32</v>
      </c>
      <c r="E628" s="3">
        <v>89391</v>
      </c>
      <c r="F628" s="2" t="s">
        <v>13</v>
      </c>
      <c r="G628" s="2" t="s">
        <v>14</v>
      </c>
      <c r="H628">
        <f t="shared" si="9"/>
        <v>4469.55</v>
      </c>
    </row>
    <row r="629" spans="1:8">
      <c r="A629" s="2">
        <v>628</v>
      </c>
      <c r="B629" s="2" t="s">
        <v>79</v>
      </c>
      <c r="C629" s="2" t="s">
        <v>16</v>
      </c>
      <c r="D629" s="2">
        <v>4</v>
      </c>
      <c r="E629" s="3">
        <v>75598</v>
      </c>
      <c r="F629" s="2" t="s">
        <v>20</v>
      </c>
      <c r="G629" s="2" t="s">
        <v>26</v>
      </c>
      <c r="H629">
        <f t="shared" si="9"/>
        <v>3779.9</v>
      </c>
    </row>
    <row r="630" spans="1:8">
      <c r="A630" s="2">
        <v>629</v>
      </c>
      <c r="B630" s="2" t="s">
        <v>77</v>
      </c>
      <c r="C630" s="2" t="s">
        <v>8</v>
      </c>
      <c r="D630" s="2">
        <v>10</v>
      </c>
      <c r="E630" s="3">
        <v>39512</v>
      </c>
      <c r="F630" s="2" t="s">
        <v>38</v>
      </c>
      <c r="G630" s="2" t="s">
        <v>10</v>
      </c>
      <c r="H630">
        <f t="shared" si="9"/>
        <v>1975.6000000000001</v>
      </c>
    </row>
    <row r="631" spans="1:8">
      <c r="A631" s="2">
        <v>630</v>
      </c>
      <c r="B631" s="2" t="s">
        <v>19</v>
      </c>
      <c r="C631" s="2" t="s">
        <v>16</v>
      </c>
      <c r="D631" s="2">
        <v>46</v>
      </c>
      <c r="E631" s="3">
        <v>67858</v>
      </c>
      <c r="F631" s="2" t="s">
        <v>17</v>
      </c>
      <c r="G631" s="2" t="s">
        <v>18</v>
      </c>
      <c r="H631">
        <f t="shared" si="9"/>
        <v>3392.9</v>
      </c>
    </row>
    <row r="632" spans="1:8">
      <c r="A632" s="2">
        <v>631</v>
      </c>
      <c r="B632" s="2" t="s">
        <v>88</v>
      </c>
      <c r="C632" s="2" t="s">
        <v>16</v>
      </c>
      <c r="D632" s="2">
        <v>18</v>
      </c>
      <c r="E632" s="3">
        <v>78673</v>
      </c>
      <c r="F632" s="2" t="s">
        <v>17</v>
      </c>
      <c r="G632" s="2" t="s">
        <v>29</v>
      </c>
      <c r="H632">
        <f t="shared" si="9"/>
        <v>3933.65</v>
      </c>
    </row>
    <row r="633" spans="1:8">
      <c r="A633" s="2">
        <v>632</v>
      </c>
      <c r="B633" s="2" t="s">
        <v>67</v>
      </c>
      <c r="C633" s="2" t="s">
        <v>12</v>
      </c>
      <c r="D633" s="2">
        <v>6</v>
      </c>
      <c r="E633" s="3">
        <v>48734</v>
      </c>
      <c r="F633" s="2" t="s">
        <v>13</v>
      </c>
      <c r="G633" s="2" t="s">
        <v>26</v>
      </c>
      <c r="H633">
        <f t="shared" si="9"/>
        <v>2436.7000000000003</v>
      </c>
    </row>
    <row r="634" spans="1:8">
      <c r="A634" s="2">
        <v>633</v>
      </c>
      <c r="B634" s="2" t="s">
        <v>69</v>
      </c>
      <c r="C634" s="2" t="s">
        <v>8</v>
      </c>
      <c r="D634" s="2">
        <v>3</v>
      </c>
      <c r="E634" s="3">
        <v>66197</v>
      </c>
      <c r="F634" s="2" t="s">
        <v>13</v>
      </c>
      <c r="G634" s="2" t="s">
        <v>18</v>
      </c>
      <c r="H634">
        <f t="shared" si="9"/>
        <v>3309.8500000000004</v>
      </c>
    </row>
    <row r="635" spans="1:8">
      <c r="A635" s="2">
        <v>634</v>
      </c>
      <c r="B635" s="2" t="s">
        <v>34</v>
      </c>
      <c r="C635" s="2" t="s">
        <v>8</v>
      </c>
      <c r="D635" s="2">
        <v>15</v>
      </c>
      <c r="E635" s="3">
        <v>67244</v>
      </c>
      <c r="F635" s="2" t="s">
        <v>20</v>
      </c>
      <c r="G635" s="2" t="s">
        <v>18</v>
      </c>
      <c r="H635">
        <f t="shared" si="9"/>
        <v>3362.2000000000003</v>
      </c>
    </row>
    <row r="636" spans="1:8">
      <c r="A636" s="2">
        <v>635</v>
      </c>
      <c r="B636" s="2" t="s">
        <v>49</v>
      </c>
      <c r="C636" s="2" t="s">
        <v>22</v>
      </c>
      <c r="D636" s="2">
        <v>34</v>
      </c>
      <c r="E636" s="3">
        <v>63720</v>
      </c>
      <c r="F636" s="2" t="s">
        <v>32</v>
      </c>
      <c r="G636" s="2" t="s">
        <v>29</v>
      </c>
      <c r="H636">
        <f t="shared" si="9"/>
        <v>3186</v>
      </c>
    </row>
    <row r="637" spans="1:8">
      <c r="A637" s="2">
        <v>636</v>
      </c>
      <c r="B637" s="2" t="s">
        <v>79</v>
      </c>
      <c r="C637" s="2" t="s">
        <v>16</v>
      </c>
      <c r="D637" s="2">
        <v>27</v>
      </c>
      <c r="E637" s="3">
        <v>87623</v>
      </c>
      <c r="F637" s="2" t="s">
        <v>38</v>
      </c>
      <c r="G637" s="2" t="s">
        <v>14</v>
      </c>
      <c r="H637">
        <f t="shared" si="9"/>
        <v>4381.1500000000005</v>
      </c>
    </row>
    <row r="638" spans="1:8">
      <c r="A638" s="2">
        <v>637</v>
      </c>
      <c r="B638" s="2" t="s">
        <v>55</v>
      </c>
      <c r="C638" s="2" t="s">
        <v>12</v>
      </c>
      <c r="D638" s="2">
        <v>45</v>
      </c>
      <c r="E638" s="3">
        <v>55787</v>
      </c>
      <c r="F638" s="2" t="s">
        <v>13</v>
      </c>
      <c r="G638" s="2" t="s">
        <v>14</v>
      </c>
      <c r="H638">
        <f t="shared" si="9"/>
        <v>2789.3500000000004</v>
      </c>
    </row>
    <row r="639" spans="1:8">
      <c r="A639" s="2">
        <v>638</v>
      </c>
      <c r="B639" s="2" t="s">
        <v>27</v>
      </c>
      <c r="C639" s="2" t="s">
        <v>12</v>
      </c>
      <c r="D639" s="2">
        <v>24</v>
      </c>
      <c r="E639" s="3">
        <v>28290</v>
      </c>
      <c r="F639" s="2" t="s">
        <v>38</v>
      </c>
      <c r="G639" s="2" t="s">
        <v>23</v>
      </c>
      <c r="H639">
        <f t="shared" si="9"/>
        <v>1414.5</v>
      </c>
    </row>
    <row r="640" spans="1:8">
      <c r="A640" s="2">
        <v>639</v>
      </c>
      <c r="B640" s="2" t="s">
        <v>88</v>
      </c>
      <c r="C640" s="2" t="s">
        <v>22</v>
      </c>
      <c r="D640" s="2">
        <v>30</v>
      </c>
      <c r="E640" s="3">
        <v>30532</v>
      </c>
      <c r="F640" s="2" t="s">
        <v>28</v>
      </c>
      <c r="G640" s="2" t="s">
        <v>14</v>
      </c>
      <c r="H640">
        <f t="shared" si="9"/>
        <v>1526.6000000000001</v>
      </c>
    </row>
    <row r="641" spans="1:8">
      <c r="A641" s="2">
        <v>640</v>
      </c>
      <c r="B641" s="2" t="s">
        <v>36</v>
      </c>
      <c r="C641" s="2" t="s">
        <v>8</v>
      </c>
      <c r="D641" s="2">
        <v>48</v>
      </c>
      <c r="E641" s="3">
        <v>89417</v>
      </c>
      <c r="F641" s="2" t="s">
        <v>38</v>
      </c>
      <c r="G641" s="2" t="s">
        <v>14</v>
      </c>
      <c r="H641">
        <f t="shared" si="9"/>
        <v>4470.8500000000004</v>
      </c>
    </row>
    <row r="642" spans="1:8">
      <c r="A642" s="2">
        <v>641</v>
      </c>
      <c r="B642" s="2" t="s">
        <v>75</v>
      </c>
      <c r="C642" s="2" t="s">
        <v>12</v>
      </c>
      <c r="D642" s="2">
        <v>6</v>
      </c>
      <c r="E642" s="3">
        <v>57366</v>
      </c>
      <c r="F642" s="2" t="s">
        <v>17</v>
      </c>
      <c r="G642" s="2" t="s">
        <v>23</v>
      </c>
      <c r="H642">
        <f t="shared" si="9"/>
        <v>2868.3</v>
      </c>
    </row>
    <row r="643" spans="1:8">
      <c r="A643" s="2">
        <v>642</v>
      </c>
      <c r="B643" s="2" t="s">
        <v>11</v>
      </c>
      <c r="C643" s="2" t="s">
        <v>8</v>
      </c>
      <c r="D643" s="2">
        <v>38</v>
      </c>
      <c r="E643" s="3">
        <v>36870</v>
      </c>
      <c r="F643" s="2" t="s">
        <v>25</v>
      </c>
      <c r="G643" s="2" t="s">
        <v>26</v>
      </c>
      <c r="H643">
        <f t="shared" ref="H643:H706" si="10">E643*5%</f>
        <v>1843.5</v>
      </c>
    </row>
    <row r="644" spans="1:8">
      <c r="A644" s="2">
        <v>643</v>
      </c>
      <c r="B644" s="2" t="s">
        <v>69</v>
      </c>
      <c r="C644" s="2" t="s">
        <v>12</v>
      </c>
      <c r="D644" s="2">
        <v>7</v>
      </c>
      <c r="E644" s="3">
        <v>28210</v>
      </c>
      <c r="F644" s="2" t="s">
        <v>17</v>
      </c>
      <c r="G644" s="2" t="s">
        <v>29</v>
      </c>
      <c r="H644">
        <f t="shared" si="10"/>
        <v>1410.5</v>
      </c>
    </row>
    <row r="645" spans="1:8">
      <c r="A645" s="2">
        <v>644</v>
      </c>
      <c r="B645" s="2" t="s">
        <v>80</v>
      </c>
      <c r="C645" s="2" t="s">
        <v>12</v>
      </c>
      <c r="D645" s="2">
        <v>33</v>
      </c>
      <c r="E645" s="3">
        <v>44620</v>
      </c>
      <c r="F645" s="2" t="s">
        <v>32</v>
      </c>
      <c r="G645" s="2" t="s">
        <v>23</v>
      </c>
      <c r="H645">
        <f t="shared" si="10"/>
        <v>2231</v>
      </c>
    </row>
    <row r="646" spans="1:8">
      <c r="A646" s="2">
        <v>645</v>
      </c>
      <c r="B646" s="2" t="s">
        <v>58</v>
      </c>
      <c r="C646" s="2" t="s">
        <v>16</v>
      </c>
      <c r="D646" s="2">
        <v>9</v>
      </c>
      <c r="E646" s="3">
        <v>71210</v>
      </c>
      <c r="F646" s="2" t="s">
        <v>25</v>
      </c>
      <c r="G646" s="2" t="s">
        <v>26</v>
      </c>
      <c r="H646">
        <f t="shared" si="10"/>
        <v>3560.5</v>
      </c>
    </row>
    <row r="647" spans="1:8">
      <c r="A647" s="2">
        <v>646</v>
      </c>
      <c r="B647" s="2" t="s">
        <v>36</v>
      </c>
      <c r="C647" s="2" t="s">
        <v>8</v>
      </c>
      <c r="D647" s="2">
        <v>41</v>
      </c>
      <c r="E647" s="3">
        <v>70822</v>
      </c>
      <c r="F647" s="2" t="s">
        <v>38</v>
      </c>
      <c r="G647" s="2" t="s">
        <v>14</v>
      </c>
      <c r="H647">
        <f t="shared" si="10"/>
        <v>3541.1000000000004</v>
      </c>
    </row>
    <row r="648" spans="1:8">
      <c r="A648" s="2">
        <v>647</v>
      </c>
      <c r="B648" s="2" t="s">
        <v>35</v>
      </c>
      <c r="C648" s="2" t="s">
        <v>12</v>
      </c>
      <c r="D648" s="2">
        <v>26</v>
      </c>
      <c r="E648" s="3">
        <v>81009</v>
      </c>
      <c r="F648" s="2" t="s">
        <v>13</v>
      </c>
      <c r="G648" s="2" t="s">
        <v>26</v>
      </c>
      <c r="H648">
        <f t="shared" si="10"/>
        <v>4050.4500000000003</v>
      </c>
    </row>
    <row r="649" spans="1:8">
      <c r="A649" s="2">
        <v>648</v>
      </c>
      <c r="B649" s="2" t="s">
        <v>80</v>
      </c>
      <c r="C649" s="2" t="s">
        <v>16</v>
      </c>
      <c r="D649" s="2">
        <v>5</v>
      </c>
      <c r="E649" s="3">
        <v>55078</v>
      </c>
      <c r="F649" s="2" t="s">
        <v>9</v>
      </c>
      <c r="G649" s="2" t="s">
        <v>14</v>
      </c>
      <c r="H649">
        <f t="shared" si="10"/>
        <v>2753.9</v>
      </c>
    </row>
    <row r="650" spans="1:8">
      <c r="A650" s="2">
        <v>649</v>
      </c>
      <c r="B650" s="2" t="s">
        <v>80</v>
      </c>
      <c r="C650" s="2" t="s">
        <v>12</v>
      </c>
      <c r="D650" s="2">
        <v>38</v>
      </c>
      <c r="E650" s="3">
        <v>96112</v>
      </c>
      <c r="F650" s="2" t="s">
        <v>20</v>
      </c>
      <c r="G650" s="2" t="s">
        <v>14</v>
      </c>
      <c r="H650">
        <f t="shared" si="10"/>
        <v>4805.6000000000004</v>
      </c>
    </row>
    <row r="651" spans="1:8">
      <c r="A651" s="2">
        <v>650</v>
      </c>
      <c r="B651" s="2" t="s">
        <v>45</v>
      </c>
      <c r="C651" s="2" t="s">
        <v>16</v>
      </c>
      <c r="D651" s="2">
        <v>37</v>
      </c>
      <c r="E651" s="3">
        <v>29584</v>
      </c>
      <c r="F651" s="2" t="s">
        <v>32</v>
      </c>
      <c r="G651" s="2" t="s">
        <v>23</v>
      </c>
      <c r="H651">
        <f t="shared" si="10"/>
        <v>1479.2</v>
      </c>
    </row>
    <row r="652" spans="1:8">
      <c r="A652" s="2">
        <v>651</v>
      </c>
      <c r="B652" s="2" t="s">
        <v>90</v>
      </c>
      <c r="C652" s="2" t="s">
        <v>16</v>
      </c>
      <c r="D652" s="2">
        <v>4</v>
      </c>
      <c r="E652" s="3">
        <v>91573</v>
      </c>
      <c r="F652" s="2" t="s">
        <v>13</v>
      </c>
      <c r="G652" s="2" t="s">
        <v>29</v>
      </c>
      <c r="H652">
        <f t="shared" si="10"/>
        <v>4578.6500000000005</v>
      </c>
    </row>
    <row r="653" spans="1:8">
      <c r="A653" s="2">
        <v>652</v>
      </c>
      <c r="B653" s="2" t="s">
        <v>91</v>
      </c>
      <c r="C653" s="2" t="s">
        <v>8</v>
      </c>
      <c r="D653" s="2">
        <v>28</v>
      </c>
      <c r="E653" s="3">
        <v>82713</v>
      </c>
      <c r="F653" s="2" t="s">
        <v>28</v>
      </c>
      <c r="G653" s="2" t="s">
        <v>10</v>
      </c>
      <c r="H653">
        <f t="shared" si="10"/>
        <v>4135.6500000000005</v>
      </c>
    </row>
    <row r="654" spans="1:8">
      <c r="A654" s="2">
        <v>653</v>
      </c>
      <c r="B654" s="2" t="s">
        <v>19</v>
      </c>
      <c r="C654" s="2" t="s">
        <v>16</v>
      </c>
      <c r="D654" s="2">
        <v>43</v>
      </c>
      <c r="E654" s="3">
        <v>81762</v>
      </c>
      <c r="F654" s="2" t="s">
        <v>13</v>
      </c>
      <c r="G654" s="2" t="s">
        <v>26</v>
      </c>
      <c r="H654">
        <f t="shared" si="10"/>
        <v>4088.1000000000004</v>
      </c>
    </row>
    <row r="655" spans="1:8">
      <c r="A655" s="2">
        <v>654</v>
      </c>
      <c r="B655" s="2" t="s">
        <v>91</v>
      </c>
      <c r="C655" s="2" t="s">
        <v>12</v>
      </c>
      <c r="D655" s="2">
        <v>9</v>
      </c>
      <c r="E655" s="3">
        <v>74063</v>
      </c>
      <c r="F655" s="2" t="s">
        <v>25</v>
      </c>
      <c r="G655" s="2" t="s">
        <v>26</v>
      </c>
      <c r="H655">
        <f t="shared" si="10"/>
        <v>3703.15</v>
      </c>
    </row>
    <row r="656" spans="1:8">
      <c r="A656" s="2">
        <v>655</v>
      </c>
      <c r="B656" s="2" t="s">
        <v>73</v>
      </c>
      <c r="C656" s="2" t="s">
        <v>22</v>
      </c>
      <c r="D656" s="2">
        <v>16</v>
      </c>
      <c r="E656" s="3">
        <v>74589</v>
      </c>
      <c r="F656" s="2" t="s">
        <v>25</v>
      </c>
      <c r="G656" s="2" t="s">
        <v>23</v>
      </c>
      <c r="H656">
        <f t="shared" si="10"/>
        <v>3729.4500000000003</v>
      </c>
    </row>
    <row r="657" spans="1:8">
      <c r="A657" s="2">
        <v>656</v>
      </c>
      <c r="B657" s="2" t="s">
        <v>7</v>
      </c>
      <c r="C657" s="2" t="s">
        <v>12</v>
      </c>
      <c r="D657" s="2">
        <v>19</v>
      </c>
      <c r="E657" s="3">
        <v>55769</v>
      </c>
      <c r="F657" s="2" t="s">
        <v>17</v>
      </c>
      <c r="G657" s="2" t="s">
        <v>29</v>
      </c>
      <c r="H657">
        <f t="shared" si="10"/>
        <v>2788.4500000000003</v>
      </c>
    </row>
    <row r="658" spans="1:8">
      <c r="A658" s="2">
        <v>657</v>
      </c>
      <c r="B658" s="2" t="s">
        <v>90</v>
      </c>
      <c r="C658" s="2" t="s">
        <v>12</v>
      </c>
      <c r="D658" s="2">
        <v>17</v>
      </c>
      <c r="E658" s="3">
        <v>69770</v>
      </c>
      <c r="F658" s="2" t="s">
        <v>20</v>
      </c>
      <c r="G658" s="2" t="s">
        <v>14</v>
      </c>
      <c r="H658">
        <f t="shared" si="10"/>
        <v>3488.5</v>
      </c>
    </row>
    <row r="659" spans="1:8">
      <c r="A659" s="2">
        <v>658</v>
      </c>
      <c r="B659" s="2" t="s">
        <v>37</v>
      </c>
      <c r="C659" s="2" t="s">
        <v>16</v>
      </c>
      <c r="D659" s="2">
        <v>21</v>
      </c>
      <c r="E659" s="3">
        <v>91477</v>
      </c>
      <c r="F659" s="2" t="s">
        <v>9</v>
      </c>
      <c r="G659" s="2" t="s">
        <v>26</v>
      </c>
      <c r="H659">
        <f t="shared" si="10"/>
        <v>4573.8500000000004</v>
      </c>
    </row>
    <row r="660" spans="1:8">
      <c r="A660" s="2">
        <v>659</v>
      </c>
      <c r="B660" s="2" t="s">
        <v>94</v>
      </c>
      <c r="C660" s="2" t="s">
        <v>12</v>
      </c>
      <c r="D660" s="2">
        <v>26</v>
      </c>
      <c r="E660" s="3">
        <v>27338</v>
      </c>
      <c r="F660" s="2" t="s">
        <v>38</v>
      </c>
      <c r="G660" s="2" t="s">
        <v>29</v>
      </c>
      <c r="H660">
        <f t="shared" si="10"/>
        <v>1366.9</v>
      </c>
    </row>
    <row r="661" spans="1:8">
      <c r="A661" s="2">
        <v>660</v>
      </c>
      <c r="B661" s="2" t="s">
        <v>49</v>
      </c>
      <c r="C661" s="2" t="s">
        <v>16</v>
      </c>
      <c r="D661" s="2">
        <v>45</v>
      </c>
      <c r="E661" s="3">
        <v>42992</v>
      </c>
      <c r="F661" s="2" t="s">
        <v>13</v>
      </c>
      <c r="G661" s="2" t="s">
        <v>18</v>
      </c>
      <c r="H661">
        <f t="shared" si="10"/>
        <v>2149.6</v>
      </c>
    </row>
    <row r="662" spans="1:8">
      <c r="A662" s="2">
        <v>661</v>
      </c>
      <c r="B662" s="2" t="s">
        <v>48</v>
      </c>
      <c r="C662" s="2" t="s">
        <v>8</v>
      </c>
      <c r="D662" s="2">
        <v>48</v>
      </c>
      <c r="E662" s="3">
        <v>33633</v>
      </c>
      <c r="F662" s="2" t="s">
        <v>28</v>
      </c>
      <c r="G662" s="2" t="s">
        <v>18</v>
      </c>
      <c r="H662">
        <f t="shared" si="10"/>
        <v>1681.65</v>
      </c>
    </row>
    <row r="663" spans="1:8">
      <c r="A663" s="2">
        <v>662</v>
      </c>
      <c r="B663" s="2" t="s">
        <v>72</v>
      </c>
      <c r="C663" s="2" t="s">
        <v>16</v>
      </c>
      <c r="D663" s="2">
        <v>21</v>
      </c>
      <c r="E663" s="3">
        <v>68092</v>
      </c>
      <c r="F663" s="2" t="s">
        <v>20</v>
      </c>
      <c r="G663" s="2" t="s">
        <v>10</v>
      </c>
      <c r="H663">
        <f t="shared" si="10"/>
        <v>3404.6000000000004</v>
      </c>
    </row>
    <row r="664" spans="1:8">
      <c r="A664" s="2">
        <v>663</v>
      </c>
      <c r="B664" s="2" t="s">
        <v>71</v>
      </c>
      <c r="C664" s="2" t="s">
        <v>8</v>
      </c>
      <c r="D664" s="2">
        <v>21</v>
      </c>
      <c r="E664" s="3">
        <v>82789</v>
      </c>
      <c r="F664" s="2" t="s">
        <v>13</v>
      </c>
      <c r="G664" s="2" t="s">
        <v>26</v>
      </c>
      <c r="H664">
        <f t="shared" si="10"/>
        <v>4139.45</v>
      </c>
    </row>
    <row r="665" spans="1:8">
      <c r="A665" s="2">
        <v>664</v>
      </c>
      <c r="B665" s="2" t="s">
        <v>33</v>
      </c>
      <c r="C665" s="2" t="s">
        <v>22</v>
      </c>
      <c r="D665" s="2">
        <v>29</v>
      </c>
      <c r="E665" s="3">
        <v>85688</v>
      </c>
      <c r="F665" s="2" t="s">
        <v>13</v>
      </c>
      <c r="G665" s="2" t="s">
        <v>14</v>
      </c>
      <c r="H665">
        <f t="shared" si="10"/>
        <v>4284.4000000000005</v>
      </c>
    </row>
    <row r="666" spans="1:8">
      <c r="A666" s="2">
        <v>665</v>
      </c>
      <c r="B666" s="2" t="s">
        <v>58</v>
      </c>
      <c r="C666" s="2" t="s">
        <v>12</v>
      </c>
      <c r="D666" s="2">
        <v>18</v>
      </c>
      <c r="E666" s="3">
        <v>32943</v>
      </c>
      <c r="F666" s="2" t="s">
        <v>25</v>
      </c>
      <c r="G666" s="2" t="s">
        <v>26</v>
      </c>
      <c r="H666">
        <f t="shared" si="10"/>
        <v>1647.15</v>
      </c>
    </row>
    <row r="667" spans="1:8">
      <c r="A667" s="2">
        <v>666</v>
      </c>
      <c r="B667" s="2" t="s">
        <v>68</v>
      </c>
      <c r="C667" s="2" t="s">
        <v>8</v>
      </c>
      <c r="D667" s="2">
        <v>15</v>
      </c>
      <c r="E667" s="3">
        <v>49207</v>
      </c>
      <c r="F667" s="2" t="s">
        <v>25</v>
      </c>
      <c r="G667" s="2" t="s">
        <v>10</v>
      </c>
      <c r="H667">
        <f t="shared" si="10"/>
        <v>2460.3500000000004</v>
      </c>
    </row>
    <row r="668" spans="1:8">
      <c r="A668" s="2">
        <v>667</v>
      </c>
      <c r="B668" s="2" t="s">
        <v>70</v>
      </c>
      <c r="C668" s="2" t="s">
        <v>22</v>
      </c>
      <c r="D668" s="2">
        <v>5</v>
      </c>
      <c r="E668" s="3">
        <v>99210</v>
      </c>
      <c r="F668" s="2" t="s">
        <v>9</v>
      </c>
      <c r="G668" s="2" t="s">
        <v>18</v>
      </c>
      <c r="H668">
        <f t="shared" si="10"/>
        <v>4960.5</v>
      </c>
    </row>
    <row r="669" spans="1:8">
      <c r="A669" s="2">
        <v>668</v>
      </c>
      <c r="B669" s="2" t="s">
        <v>27</v>
      </c>
      <c r="C669" s="2" t="s">
        <v>16</v>
      </c>
      <c r="D669" s="2">
        <v>13</v>
      </c>
      <c r="E669" s="3">
        <v>72120</v>
      </c>
      <c r="F669" s="2" t="s">
        <v>32</v>
      </c>
      <c r="G669" s="2" t="s">
        <v>10</v>
      </c>
      <c r="H669">
        <f t="shared" si="10"/>
        <v>3606</v>
      </c>
    </row>
    <row r="670" spans="1:8">
      <c r="A670" s="2">
        <v>669</v>
      </c>
      <c r="B670" s="2" t="s">
        <v>33</v>
      </c>
      <c r="C670" s="2" t="s">
        <v>22</v>
      </c>
      <c r="D670" s="2">
        <v>9</v>
      </c>
      <c r="E670" s="3">
        <v>93989</v>
      </c>
      <c r="F670" s="2" t="s">
        <v>9</v>
      </c>
      <c r="G670" s="2" t="s">
        <v>26</v>
      </c>
      <c r="H670">
        <f t="shared" si="10"/>
        <v>4699.45</v>
      </c>
    </row>
    <row r="671" spans="1:8">
      <c r="A671" s="2">
        <v>670</v>
      </c>
      <c r="B671" s="2" t="s">
        <v>35</v>
      </c>
      <c r="C671" s="2" t="s">
        <v>8</v>
      </c>
      <c r="D671" s="2">
        <v>50</v>
      </c>
      <c r="E671" s="3">
        <v>54864</v>
      </c>
      <c r="F671" s="2" t="s">
        <v>13</v>
      </c>
      <c r="G671" s="2" t="s">
        <v>26</v>
      </c>
      <c r="H671">
        <f t="shared" si="10"/>
        <v>2743.2000000000003</v>
      </c>
    </row>
    <row r="672" spans="1:8">
      <c r="A672" s="2">
        <v>671</v>
      </c>
      <c r="B672" s="2" t="s">
        <v>70</v>
      </c>
      <c r="C672" s="2" t="s">
        <v>12</v>
      </c>
      <c r="D672" s="2">
        <v>50</v>
      </c>
      <c r="E672" s="3">
        <v>76992</v>
      </c>
      <c r="F672" s="2" t="s">
        <v>32</v>
      </c>
      <c r="G672" s="2" t="s">
        <v>18</v>
      </c>
      <c r="H672">
        <f t="shared" si="10"/>
        <v>3849.6000000000004</v>
      </c>
    </row>
    <row r="673" spans="1:8">
      <c r="A673" s="2">
        <v>672</v>
      </c>
      <c r="B673" s="2" t="s">
        <v>54</v>
      </c>
      <c r="C673" s="2" t="s">
        <v>22</v>
      </c>
      <c r="D673" s="2">
        <v>38</v>
      </c>
      <c r="E673" s="3">
        <v>39073</v>
      </c>
      <c r="F673" s="2" t="s">
        <v>32</v>
      </c>
      <c r="G673" s="2" t="s">
        <v>18</v>
      </c>
      <c r="H673">
        <f t="shared" si="10"/>
        <v>1953.65</v>
      </c>
    </row>
    <row r="674" spans="1:8">
      <c r="A674" s="2">
        <v>673</v>
      </c>
      <c r="B674" s="2" t="s">
        <v>74</v>
      </c>
      <c r="C674" s="2" t="s">
        <v>22</v>
      </c>
      <c r="D674" s="2">
        <v>7</v>
      </c>
      <c r="E674" s="3">
        <v>41348</v>
      </c>
      <c r="F674" s="2" t="s">
        <v>32</v>
      </c>
      <c r="G674" s="2" t="s">
        <v>29</v>
      </c>
      <c r="H674">
        <f t="shared" si="10"/>
        <v>2067.4</v>
      </c>
    </row>
    <row r="675" spans="1:8">
      <c r="A675" s="2">
        <v>674</v>
      </c>
      <c r="B675" s="2" t="s">
        <v>47</v>
      </c>
      <c r="C675" s="2" t="s">
        <v>16</v>
      </c>
      <c r="D675" s="2">
        <v>10</v>
      </c>
      <c r="E675" s="3">
        <v>51867</v>
      </c>
      <c r="F675" s="2" t="s">
        <v>20</v>
      </c>
      <c r="G675" s="2" t="s">
        <v>14</v>
      </c>
      <c r="H675">
        <f t="shared" si="10"/>
        <v>2593.3500000000004</v>
      </c>
    </row>
    <row r="676" spans="1:8">
      <c r="A676" s="2">
        <v>675</v>
      </c>
      <c r="B676" s="2" t="s">
        <v>37</v>
      </c>
      <c r="C676" s="2" t="s">
        <v>16</v>
      </c>
      <c r="D676" s="2">
        <v>7</v>
      </c>
      <c r="E676" s="3">
        <v>43988</v>
      </c>
      <c r="F676" s="2" t="s">
        <v>28</v>
      </c>
      <c r="G676" s="2" t="s">
        <v>18</v>
      </c>
      <c r="H676">
        <f t="shared" si="10"/>
        <v>2199.4</v>
      </c>
    </row>
    <row r="677" spans="1:8">
      <c r="A677" s="2">
        <v>676</v>
      </c>
      <c r="B677" s="2" t="s">
        <v>65</v>
      </c>
      <c r="C677" s="2" t="s">
        <v>12</v>
      </c>
      <c r="D677" s="2">
        <v>11</v>
      </c>
      <c r="E677" s="3">
        <v>57380</v>
      </c>
      <c r="F677" s="2" t="s">
        <v>13</v>
      </c>
      <c r="G677" s="2" t="s">
        <v>14</v>
      </c>
      <c r="H677">
        <f t="shared" si="10"/>
        <v>2869</v>
      </c>
    </row>
    <row r="678" spans="1:8">
      <c r="A678" s="2">
        <v>677</v>
      </c>
      <c r="B678" s="2" t="s">
        <v>71</v>
      </c>
      <c r="C678" s="2" t="s">
        <v>16</v>
      </c>
      <c r="D678" s="2">
        <v>29</v>
      </c>
      <c r="E678" s="3">
        <v>57829</v>
      </c>
      <c r="F678" s="2" t="s">
        <v>17</v>
      </c>
      <c r="G678" s="2" t="s">
        <v>10</v>
      </c>
      <c r="H678">
        <f t="shared" si="10"/>
        <v>2891.4500000000003</v>
      </c>
    </row>
    <row r="679" spans="1:8">
      <c r="A679" s="2">
        <v>678</v>
      </c>
      <c r="B679" s="2" t="s">
        <v>19</v>
      </c>
      <c r="C679" s="2" t="s">
        <v>8</v>
      </c>
      <c r="D679" s="2">
        <v>30</v>
      </c>
      <c r="E679" s="3">
        <v>43265</v>
      </c>
      <c r="F679" s="2" t="s">
        <v>20</v>
      </c>
      <c r="G679" s="2" t="s">
        <v>10</v>
      </c>
      <c r="H679">
        <f t="shared" si="10"/>
        <v>2163.25</v>
      </c>
    </row>
    <row r="680" spans="1:8">
      <c r="A680" s="2">
        <v>679</v>
      </c>
      <c r="B680" s="2" t="s">
        <v>27</v>
      </c>
      <c r="C680" s="2" t="s">
        <v>8</v>
      </c>
      <c r="D680" s="2">
        <v>21</v>
      </c>
      <c r="E680" s="3">
        <v>29018</v>
      </c>
      <c r="F680" s="2" t="s">
        <v>20</v>
      </c>
      <c r="G680" s="2" t="s">
        <v>18</v>
      </c>
      <c r="H680">
        <f t="shared" si="10"/>
        <v>1450.9</v>
      </c>
    </row>
    <row r="681" spans="1:8">
      <c r="A681" s="2">
        <v>680</v>
      </c>
      <c r="B681" s="2" t="s">
        <v>49</v>
      </c>
      <c r="C681" s="2" t="s">
        <v>22</v>
      </c>
      <c r="D681" s="2">
        <v>27</v>
      </c>
      <c r="E681" s="3">
        <v>98816</v>
      </c>
      <c r="F681" s="2" t="s">
        <v>13</v>
      </c>
      <c r="G681" s="2" t="s">
        <v>14</v>
      </c>
      <c r="H681">
        <f t="shared" si="10"/>
        <v>4940.8</v>
      </c>
    </row>
    <row r="682" spans="1:8">
      <c r="A682" s="2">
        <v>681</v>
      </c>
      <c r="B682" s="2" t="s">
        <v>71</v>
      </c>
      <c r="C682" s="2" t="s">
        <v>16</v>
      </c>
      <c r="D682" s="2">
        <v>8</v>
      </c>
      <c r="E682" s="3">
        <v>80290</v>
      </c>
      <c r="F682" s="2" t="s">
        <v>13</v>
      </c>
      <c r="G682" s="2" t="s">
        <v>18</v>
      </c>
      <c r="H682">
        <f t="shared" si="10"/>
        <v>4014.5</v>
      </c>
    </row>
    <row r="683" spans="1:8">
      <c r="A683" s="2">
        <v>682</v>
      </c>
      <c r="B683" s="2" t="s">
        <v>65</v>
      </c>
      <c r="C683" s="2" t="s">
        <v>16</v>
      </c>
      <c r="D683" s="2">
        <v>35</v>
      </c>
      <c r="E683" s="3">
        <v>58306</v>
      </c>
      <c r="F683" s="2" t="s">
        <v>17</v>
      </c>
      <c r="G683" s="2" t="s">
        <v>18</v>
      </c>
      <c r="H683">
        <f t="shared" si="10"/>
        <v>2915.3</v>
      </c>
    </row>
    <row r="684" spans="1:8">
      <c r="A684" s="2">
        <v>683</v>
      </c>
      <c r="B684" s="2" t="s">
        <v>71</v>
      </c>
      <c r="C684" s="2" t="s">
        <v>22</v>
      </c>
      <c r="D684" s="2">
        <v>23</v>
      </c>
      <c r="E684" s="3">
        <v>55615</v>
      </c>
      <c r="F684" s="2" t="s">
        <v>17</v>
      </c>
      <c r="G684" s="2" t="s">
        <v>29</v>
      </c>
      <c r="H684">
        <f t="shared" si="10"/>
        <v>2780.75</v>
      </c>
    </row>
    <row r="685" spans="1:8">
      <c r="A685" s="2">
        <v>684</v>
      </c>
      <c r="B685" s="2" t="s">
        <v>85</v>
      </c>
      <c r="C685" s="2" t="s">
        <v>12</v>
      </c>
      <c r="D685" s="2">
        <v>50</v>
      </c>
      <c r="E685" s="3">
        <v>62013</v>
      </c>
      <c r="F685" s="2" t="s">
        <v>32</v>
      </c>
      <c r="G685" s="2" t="s">
        <v>10</v>
      </c>
      <c r="H685">
        <f t="shared" si="10"/>
        <v>3100.65</v>
      </c>
    </row>
    <row r="686" spans="1:8">
      <c r="A686" s="2">
        <v>685</v>
      </c>
      <c r="B686" s="2" t="s">
        <v>53</v>
      </c>
      <c r="C686" s="2" t="s">
        <v>16</v>
      </c>
      <c r="D686" s="2">
        <v>14</v>
      </c>
      <c r="E686" s="3">
        <v>67872</v>
      </c>
      <c r="F686" s="2" t="s">
        <v>17</v>
      </c>
      <c r="G686" s="2" t="s">
        <v>14</v>
      </c>
      <c r="H686">
        <f t="shared" si="10"/>
        <v>3393.6000000000004</v>
      </c>
    </row>
    <row r="687" spans="1:8">
      <c r="A687" s="2">
        <v>686</v>
      </c>
      <c r="B687" s="2" t="s">
        <v>61</v>
      </c>
      <c r="C687" s="2" t="s">
        <v>16</v>
      </c>
      <c r="D687" s="2">
        <v>29</v>
      </c>
      <c r="E687" s="3">
        <v>40096</v>
      </c>
      <c r="F687" s="2" t="s">
        <v>17</v>
      </c>
      <c r="G687" s="2" t="s">
        <v>10</v>
      </c>
      <c r="H687">
        <f t="shared" si="10"/>
        <v>2004.8000000000002</v>
      </c>
    </row>
    <row r="688" spans="1:8">
      <c r="A688" s="2">
        <v>687</v>
      </c>
      <c r="B688" s="2" t="s">
        <v>59</v>
      </c>
      <c r="C688" s="2" t="s">
        <v>12</v>
      </c>
      <c r="D688" s="2">
        <v>20</v>
      </c>
      <c r="E688" s="3">
        <v>27708</v>
      </c>
      <c r="F688" s="2" t="s">
        <v>38</v>
      </c>
      <c r="G688" s="2" t="s">
        <v>29</v>
      </c>
      <c r="H688">
        <f t="shared" si="10"/>
        <v>1385.4</v>
      </c>
    </row>
    <row r="689" spans="1:8">
      <c r="A689" s="2">
        <v>688</v>
      </c>
      <c r="B689" s="2" t="s">
        <v>48</v>
      </c>
      <c r="C689" s="2" t="s">
        <v>16</v>
      </c>
      <c r="D689" s="2">
        <v>30</v>
      </c>
      <c r="E689" s="3">
        <v>87283</v>
      </c>
      <c r="F689" s="2" t="s">
        <v>28</v>
      </c>
      <c r="G689" s="2" t="s">
        <v>23</v>
      </c>
      <c r="H689">
        <f t="shared" si="10"/>
        <v>4364.1500000000005</v>
      </c>
    </row>
    <row r="690" spans="1:8">
      <c r="A690" s="2">
        <v>689</v>
      </c>
      <c r="B690" s="2" t="s">
        <v>60</v>
      </c>
      <c r="C690" s="2" t="s">
        <v>8</v>
      </c>
      <c r="D690" s="2">
        <v>17</v>
      </c>
      <c r="E690" s="3">
        <v>54764</v>
      </c>
      <c r="F690" s="2" t="s">
        <v>25</v>
      </c>
      <c r="G690" s="2" t="s">
        <v>10</v>
      </c>
      <c r="H690">
        <f t="shared" si="10"/>
        <v>2738.2000000000003</v>
      </c>
    </row>
    <row r="691" spans="1:8">
      <c r="A691" s="2">
        <v>690</v>
      </c>
      <c r="B691" s="2" t="s">
        <v>30</v>
      </c>
      <c r="C691" s="2" t="s">
        <v>8</v>
      </c>
      <c r="D691" s="2">
        <v>8</v>
      </c>
      <c r="E691" s="3">
        <v>26048</v>
      </c>
      <c r="F691" s="2" t="s">
        <v>17</v>
      </c>
      <c r="G691" s="2" t="s">
        <v>29</v>
      </c>
      <c r="H691">
        <f t="shared" si="10"/>
        <v>1302.4000000000001</v>
      </c>
    </row>
    <row r="692" spans="1:8">
      <c r="A692" s="2">
        <v>691</v>
      </c>
      <c r="B692" s="2" t="s">
        <v>52</v>
      </c>
      <c r="C692" s="2" t="s">
        <v>12</v>
      </c>
      <c r="D692" s="2">
        <v>6</v>
      </c>
      <c r="E692" s="3">
        <v>61933</v>
      </c>
      <c r="F692" s="2" t="s">
        <v>9</v>
      </c>
      <c r="G692" s="2" t="s">
        <v>26</v>
      </c>
      <c r="H692">
        <f t="shared" si="10"/>
        <v>3096.65</v>
      </c>
    </row>
    <row r="693" spans="1:8">
      <c r="A693" s="2">
        <v>692</v>
      </c>
      <c r="B693" s="2" t="s">
        <v>11</v>
      </c>
      <c r="C693" s="2" t="s">
        <v>12</v>
      </c>
      <c r="D693" s="2">
        <v>11</v>
      </c>
      <c r="E693" s="3">
        <v>94774</v>
      </c>
      <c r="F693" s="2" t="s">
        <v>25</v>
      </c>
      <c r="G693" s="2" t="s">
        <v>10</v>
      </c>
      <c r="H693">
        <f t="shared" si="10"/>
        <v>4738.7</v>
      </c>
    </row>
    <row r="694" spans="1:8">
      <c r="A694" s="2">
        <v>693</v>
      </c>
      <c r="B694" s="2" t="s">
        <v>34</v>
      </c>
      <c r="C694" s="2" t="s">
        <v>8</v>
      </c>
      <c r="D694" s="2">
        <v>44</v>
      </c>
      <c r="E694" s="3">
        <v>68674</v>
      </c>
      <c r="F694" s="2" t="s">
        <v>9</v>
      </c>
      <c r="G694" s="2" t="s">
        <v>14</v>
      </c>
      <c r="H694">
        <f t="shared" si="10"/>
        <v>3433.7000000000003</v>
      </c>
    </row>
    <row r="695" spans="1:8">
      <c r="A695" s="2">
        <v>694</v>
      </c>
      <c r="B695" s="2" t="s">
        <v>84</v>
      </c>
      <c r="C695" s="2" t="s">
        <v>8</v>
      </c>
      <c r="D695" s="2">
        <v>20</v>
      </c>
      <c r="E695" s="3">
        <v>67227</v>
      </c>
      <c r="F695" s="2" t="s">
        <v>38</v>
      </c>
      <c r="G695" s="2" t="s">
        <v>29</v>
      </c>
      <c r="H695">
        <f t="shared" si="10"/>
        <v>3361.3500000000004</v>
      </c>
    </row>
    <row r="696" spans="1:8">
      <c r="A696" s="2">
        <v>695</v>
      </c>
      <c r="B696" s="2" t="s">
        <v>65</v>
      </c>
      <c r="C696" s="2" t="s">
        <v>8</v>
      </c>
      <c r="D696" s="2">
        <v>46</v>
      </c>
      <c r="E696" s="3">
        <v>68037</v>
      </c>
      <c r="F696" s="2" t="s">
        <v>32</v>
      </c>
      <c r="G696" s="2" t="s">
        <v>23</v>
      </c>
      <c r="H696">
        <f t="shared" si="10"/>
        <v>3401.8500000000004</v>
      </c>
    </row>
    <row r="697" spans="1:8">
      <c r="A697" s="2">
        <v>696</v>
      </c>
      <c r="B697" s="2" t="s">
        <v>34</v>
      </c>
      <c r="C697" s="2" t="s">
        <v>8</v>
      </c>
      <c r="D697" s="2">
        <v>45</v>
      </c>
      <c r="E697" s="3">
        <v>58113</v>
      </c>
      <c r="F697" s="2" t="s">
        <v>32</v>
      </c>
      <c r="G697" s="2" t="s">
        <v>10</v>
      </c>
      <c r="H697">
        <f t="shared" si="10"/>
        <v>2905.65</v>
      </c>
    </row>
    <row r="698" spans="1:8">
      <c r="A698" s="2">
        <v>697</v>
      </c>
      <c r="B698" s="2" t="s">
        <v>67</v>
      </c>
      <c r="C698" s="2" t="s">
        <v>12</v>
      </c>
      <c r="D698" s="2">
        <v>39</v>
      </c>
      <c r="E698" s="3">
        <v>40966</v>
      </c>
      <c r="F698" s="2" t="s">
        <v>17</v>
      </c>
      <c r="G698" s="2" t="s">
        <v>29</v>
      </c>
      <c r="H698">
        <f t="shared" si="10"/>
        <v>2048.3000000000002</v>
      </c>
    </row>
    <row r="699" spans="1:8">
      <c r="A699" s="2">
        <v>698</v>
      </c>
      <c r="B699" s="2" t="s">
        <v>84</v>
      </c>
      <c r="C699" s="2" t="s">
        <v>12</v>
      </c>
      <c r="D699" s="2">
        <v>3</v>
      </c>
      <c r="E699" s="3">
        <v>36899</v>
      </c>
      <c r="F699" s="2" t="s">
        <v>25</v>
      </c>
      <c r="G699" s="2" t="s">
        <v>23</v>
      </c>
      <c r="H699">
        <f t="shared" si="10"/>
        <v>1844.95</v>
      </c>
    </row>
    <row r="700" spans="1:8">
      <c r="A700" s="2">
        <v>699</v>
      </c>
      <c r="B700" s="2" t="s">
        <v>91</v>
      </c>
      <c r="C700" s="2" t="s">
        <v>22</v>
      </c>
      <c r="D700" s="2">
        <v>14</v>
      </c>
      <c r="E700" s="3">
        <v>71117</v>
      </c>
      <c r="F700" s="2" t="s">
        <v>20</v>
      </c>
      <c r="G700" s="2" t="s">
        <v>26</v>
      </c>
      <c r="H700">
        <f t="shared" si="10"/>
        <v>3555.8500000000004</v>
      </c>
    </row>
    <row r="701" spans="1:8">
      <c r="A701" s="2">
        <v>700</v>
      </c>
      <c r="B701" s="2" t="s">
        <v>47</v>
      </c>
      <c r="C701" s="2" t="s">
        <v>12</v>
      </c>
      <c r="D701" s="2">
        <v>21</v>
      </c>
      <c r="E701" s="3">
        <v>46269</v>
      </c>
      <c r="F701" s="2" t="s">
        <v>20</v>
      </c>
      <c r="G701" s="2" t="s">
        <v>14</v>
      </c>
      <c r="H701">
        <f t="shared" si="10"/>
        <v>2313.4500000000003</v>
      </c>
    </row>
    <row r="702" spans="1:8">
      <c r="A702" s="2">
        <v>701</v>
      </c>
      <c r="B702" s="2" t="s">
        <v>24</v>
      </c>
      <c r="C702" s="2" t="s">
        <v>8</v>
      </c>
      <c r="D702" s="2">
        <v>10</v>
      </c>
      <c r="E702" s="3">
        <v>33320</v>
      </c>
      <c r="F702" s="2" t="s">
        <v>38</v>
      </c>
      <c r="G702" s="2" t="s">
        <v>10</v>
      </c>
      <c r="H702">
        <f t="shared" si="10"/>
        <v>1666</v>
      </c>
    </row>
    <row r="703" spans="1:8">
      <c r="A703" s="2">
        <v>702</v>
      </c>
      <c r="B703" s="2" t="s">
        <v>30</v>
      </c>
      <c r="C703" s="2" t="s">
        <v>16</v>
      </c>
      <c r="D703" s="2">
        <v>6</v>
      </c>
      <c r="E703" s="3">
        <v>64977</v>
      </c>
      <c r="F703" s="2" t="s">
        <v>32</v>
      </c>
      <c r="G703" s="2" t="s">
        <v>26</v>
      </c>
      <c r="H703">
        <f t="shared" si="10"/>
        <v>3248.8500000000004</v>
      </c>
    </row>
    <row r="704" spans="1:8">
      <c r="A704" s="2">
        <v>703</v>
      </c>
      <c r="B704" s="2" t="s">
        <v>62</v>
      </c>
      <c r="C704" s="2" t="s">
        <v>8</v>
      </c>
      <c r="D704" s="2">
        <v>46</v>
      </c>
      <c r="E704" s="3">
        <v>33685</v>
      </c>
      <c r="F704" s="2" t="s">
        <v>25</v>
      </c>
      <c r="G704" s="2" t="s">
        <v>18</v>
      </c>
      <c r="H704">
        <f t="shared" si="10"/>
        <v>1684.25</v>
      </c>
    </row>
    <row r="705" spans="1:8">
      <c r="A705" s="2">
        <v>704</v>
      </c>
      <c r="B705" s="2" t="s">
        <v>93</v>
      </c>
      <c r="C705" s="2" t="s">
        <v>8</v>
      </c>
      <c r="D705" s="2">
        <v>16</v>
      </c>
      <c r="E705" s="3">
        <v>47510</v>
      </c>
      <c r="F705" s="2" t="s">
        <v>28</v>
      </c>
      <c r="G705" s="2" t="s">
        <v>14</v>
      </c>
      <c r="H705">
        <f t="shared" si="10"/>
        <v>2375.5</v>
      </c>
    </row>
    <row r="706" spans="1:8">
      <c r="A706" s="2">
        <v>705</v>
      </c>
      <c r="B706" s="2" t="s">
        <v>61</v>
      </c>
      <c r="C706" s="2" t="s">
        <v>12</v>
      </c>
      <c r="D706" s="2">
        <v>23</v>
      </c>
      <c r="E706" s="3">
        <v>60667</v>
      </c>
      <c r="F706" s="2" t="s">
        <v>38</v>
      </c>
      <c r="G706" s="2" t="s">
        <v>14</v>
      </c>
      <c r="H706">
        <f t="shared" si="10"/>
        <v>3033.3500000000004</v>
      </c>
    </row>
    <row r="707" spans="1:8">
      <c r="A707" s="2">
        <v>706</v>
      </c>
      <c r="B707" s="2" t="s">
        <v>94</v>
      </c>
      <c r="C707" s="2" t="s">
        <v>22</v>
      </c>
      <c r="D707" s="2">
        <v>26</v>
      </c>
      <c r="E707" s="3">
        <v>25142</v>
      </c>
      <c r="F707" s="2" t="s">
        <v>17</v>
      </c>
      <c r="G707" s="2" t="s">
        <v>14</v>
      </c>
      <c r="H707">
        <f t="shared" ref="H707:H770" si="11">E707*5%</f>
        <v>1257.1000000000001</v>
      </c>
    </row>
    <row r="708" spans="1:8">
      <c r="A708" s="2">
        <v>707</v>
      </c>
      <c r="B708" s="2" t="s">
        <v>56</v>
      </c>
      <c r="C708" s="2" t="s">
        <v>16</v>
      </c>
      <c r="D708" s="2">
        <v>33</v>
      </c>
      <c r="E708" s="3">
        <v>86382</v>
      </c>
      <c r="F708" s="2" t="s">
        <v>20</v>
      </c>
      <c r="G708" s="2" t="s">
        <v>14</v>
      </c>
      <c r="H708">
        <f t="shared" si="11"/>
        <v>4319.1000000000004</v>
      </c>
    </row>
    <row r="709" spans="1:8">
      <c r="A709" s="2">
        <v>708</v>
      </c>
      <c r="B709" s="2" t="s">
        <v>47</v>
      </c>
      <c r="C709" s="2" t="s">
        <v>16</v>
      </c>
      <c r="D709" s="2">
        <v>4</v>
      </c>
      <c r="E709" s="3">
        <v>39574</v>
      </c>
      <c r="F709" s="2" t="s">
        <v>28</v>
      </c>
      <c r="G709" s="2" t="s">
        <v>23</v>
      </c>
      <c r="H709">
        <f t="shared" si="11"/>
        <v>1978.7</v>
      </c>
    </row>
    <row r="710" spans="1:8">
      <c r="A710" s="2">
        <v>709</v>
      </c>
      <c r="B710" s="2" t="s">
        <v>63</v>
      </c>
      <c r="C710" s="2" t="s">
        <v>22</v>
      </c>
      <c r="D710" s="2">
        <v>44</v>
      </c>
      <c r="E710" s="3">
        <v>35981</v>
      </c>
      <c r="F710" s="2" t="s">
        <v>9</v>
      </c>
      <c r="G710" s="2" t="s">
        <v>26</v>
      </c>
      <c r="H710">
        <f t="shared" si="11"/>
        <v>1799.0500000000002</v>
      </c>
    </row>
    <row r="711" spans="1:8">
      <c r="A711" s="2">
        <v>710</v>
      </c>
      <c r="B711" s="2" t="s">
        <v>86</v>
      </c>
      <c r="C711" s="2" t="s">
        <v>8</v>
      </c>
      <c r="D711" s="2">
        <v>20</v>
      </c>
      <c r="E711" s="3">
        <v>60846</v>
      </c>
      <c r="F711" s="2" t="s">
        <v>9</v>
      </c>
      <c r="G711" s="2" t="s">
        <v>18</v>
      </c>
      <c r="H711">
        <f t="shared" si="11"/>
        <v>3042.3</v>
      </c>
    </row>
    <row r="712" spans="1:8">
      <c r="A712" s="2">
        <v>711</v>
      </c>
      <c r="B712" s="2" t="s">
        <v>48</v>
      </c>
      <c r="C712" s="2" t="s">
        <v>12</v>
      </c>
      <c r="D712" s="2">
        <v>17</v>
      </c>
      <c r="E712" s="3">
        <v>97067</v>
      </c>
      <c r="F712" s="2" t="s">
        <v>38</v>
      </c>
      <c r="G712" s="2" t="s">
        <v>10</v>
      </c>
      <c r="H712">
        <f t="shared" si="11"/>
        <v>4853.3500000000004</v>
      </c>
    </row>
    <row r="713" spans="1:8">
      <c r="A713" s="2">
        <v>712</v>
      </c>
      <c r="B713" s="2" t="s">
        <v>21</v>
      </c>
      <c r="C713" s="2" t="s">
        <v>8</v>
      </c>
      <c r="D713" s="2">
        <v>12</v>
      </c>
      <c r="E713" s="3">
        <v>72575</v>
      </c>
      <c r="F713" s="2" t="s">
        <v>17</v>
      </c>
      <c r="G713" s="2" t="s">
        <v>14</v>
      </c>
      <c r="H713">
        <f t="shared" si="11"/>
        <v>3628.75</v>
      </c>
    </row>
    <row r="714" spans="1:8">
      <c r="A714" s="2">
        <v>713</v>
      </c>
      <c r="B714" s="2" t="s">
        <v>51</v>
      </c>
      <c r="C714" s="2" t="s">
        <v>16</v>
      </c>
      <c r="D714" s="2">
        <v>2</v>
      </c>
      <c r="E714" s="3">
        <v>53446</v>
      </c>
      <c r="F714" s="2" t="s">
        <v>32</v>
      </c>
      <c r="G714" s="2" t="s">
        <v>10</v>
      </c>
      <c r="H714">
        <f t="shared" si="11"/>
        <v>2672.3</v>
      </c>
    </row>
    <row r="715" spans="1:8">
      <c r="A715" s="2">
        <v>714</v>
      </c>
      <c r="B715" s="2" t="s">
        <v>70</v>
      </c>
      <c r="C715" s="2" t="s">
        <v>16</v>
      </c>
      <c r="D715" s="2">
        <v>26</v>
      </c>
      <c r="E715" s="3">
        <v>73658</v>
      </c>
      <c r="F715" s="2" t="s">
        <v>32</v>
      </c>
      <c r="G715" s="2" t="s">
        <v>29</v>
      </c>
      <c r="H715">
        <f t="shared" si="11"/>
        <v>3682.9</v>
      </c>
    </row>
    <row r="716" spans="1:8">
      <c r="A716" s="2">
        <v>715</v>
      </c>
      <c r="B716" s="2" t="s">
        <v>94</v>
      </c>
      <c r="C716" s="2" t="s">
        <v>8</v>
      </c>
      <c r="D716" s="2">
        <v>29</v>
      </c>
      <c r="E716" s="3">
        <v>67188</v>
      </c>
      <c r="F716" s="2" t="s">
        <v>32</v>
      </c>
      <c r="G716" s="2" t="s">
        <v>26</v>
      </c>
      <c r="H716">
        <f t="shared" si="11"/>
        <v>3359.4</v>
      </c>
    </row>
    <row r="717" spans="1:8">
      <c r="A717" s="2">
        <v>716</v>
      </c>
      <c r="B717" s="2" t="s">
        <v>64</v>
      </c>
      <c r="C717" s="2" t="s">
        <v>16</v>
      </c>
      <c r="D717" s="2">
        <v>36</v>
      </c>
      <c r="E717" s="3">
        <v>52939</v>
      </c>
      <c r="F717" s="2" t="s">
        <v>28</v>
      </c>
      <c r="G717" s="2" t="s">
        <v>26</v>
      </c>
      <c r="H717">
        <f t="shared" si="11"/>
        <v>2646.9500000000003</v>
      </c>
    </row>
    <row r="718" spans="1:8">
      <c r="A718" s="2">
        <v>717</v>
      </c>
      <c r="B718" s="2" t="s">
        <v>73</v>
      </c>
      <c r="C718" s="2" t="s">
        <v>12</v>
      </c>
      <c r="D718" s="2">
        <v>48</v>
      </c>
      <c r="E718" s="3">
        <v>45150</v>
      </c>
      <c r="F718" s="2" t="s">
        <v>9</v>
      </c>
      <c r="G718" s="2" t="s">
        <v>14</v>
      </c>
      <c r="H718">
        <f t="shared" si="11"/>
        <v>2257.5</v>
      </c>
    </row>
    <row r="719" spans="1:8">
      <c r="A719" s="2">
        <v>718</v>
      </c>
      <c r="B719" s="2" t="s">
        <v>90</v>
      </c>
      <c r="C719" s="2" t="s">
        <v>16</v>
      </c>
      <c r="D719" s="2">
        <v>36</v>
      </c>
      <c r="E719" s="3">
        <v>99948</v>
      </c>
      <c r="F719" s="2" t="s">
        <v>25</v>
      </c>
      <c r="G719" s="2" t="s">
        <v>14</v>
      </c>
      <c r="H719">
        <f t="shared" si="11"/>
        <v>4997.4000000000005</v>
      </c>
    </row>
    <row r="720" spans="1:8">
      <c r="A720" s="2">
        <v>719</v>
      </c>
      <c r="B720" s="2" t="s">
        <v>93</v>
      </c>
      <c r="C720" s="2" t="s">
        <v>12</v>
      </c>
      <c r="D720" s="2">
        <v>16</v>
      </c>
      <c r="E720" s="3">
        <v>29467</v>
      </c>
      <c r="F720" s="2" t="s">
        <v>38</v>
      </c>
      <c r="G720" s="2" t="s">
        <v>26</v>
      </c>
      <c r="H720">
        <f t="shared" si="11"/>
        <v>1473.3500000000001</v>
      </c>
    </row>
    <row r="721" spans="1:8">
      <c r="A721" s="2">
        <v>720</v>
      </c>
      <c r="B721" s="2" t="s">
        <v>79</v>
      </c>
      <c r="C721" s="2" t="s">
        <v>8</v>
      </c>
      <c r="D721" s="2">
        <v>7</v>
      </c>
      <c r="E721" s="3">
        <v>45959</v>
      </c>
      <c r="F721" s="2" t="s">
        <v>13</v>
      </c>
      <c r="G721" s="2" t="s">
        <v>10</v>
      </c>
      <c r="H721">
        <f t="shared" si="11"/>
        <v>2297.9500000000003</v>
      </c>
    </row>
    <row r="722" spans="1:8">
      <c r="A722" s="2">
        <v>721</v>
      </c>
      <c r="B722" s="2" t="s">
        <v>77</v>
      </c>
      <c r="C722" s="2" t="s">
        <v>8</v>
      </c>
      <c r="D722" s="2">
        <v>30</v>
      </c>
      <c r="E722" s="3">
        <v>91618</v>
      </c>
      <c r="F722" s="2" t="s">
        <v>38</v>
      </c>
      <c r="G722" s="2" t="s">
        <v>18</v>
      </c>
      <c r="H722">
        <f t="shared" si="11"/>
        <v>4580.9000000000005</v>
      </c>
    </row>
    <row r="723" spans="1:8">
      <c r="A723" s="2">
        <v>722</v>
      </c>
      <c r="B723" s="2" t="s">
        <v>89</v>
      </c>
      <c r="C723" s="2" t="s">
        <v>12</v>
      </c>
      <c r="D723" s="2">
        <v>7</v>
      </c>
      <c r="E723" s="3">
        <v>75196</v>
      </c>
      <c r="F723" s="2" t="s">
        <v>28</v>
      </c>
      <c r="G723" s="2" t="s">
        <v>29</v>
      </c>
      <c r="H723">
        <f t="shared" si="11"/>
        <v>3759.8</v>
      </c>
    </row>
    <row r="724" spans="1:8">
      <c r="A724" s="2">
        <v>723</v>
      </c>
      <c r="B724" s="2" t="s">
        <v>73</v>
      </c>
      <c r="C724" s="2" t="s">
        <v>12</v>
      </c>
      <c r="D724" s="2">
        <v>9</v>
      </c>
      <c r="E724" s="3">
        <v>88321</v>
      </c>
      <c r="F724" s="2" t="s">
        <v>25</v>
      </c>
      <c r="G724" s="2" t="s">
        <v>26</v>
      </c>
      <c r="H724">
        <f t="shared" si="11"/>
        <v>4416.05</v>
      </c>
    </row>
    <row r="725" spans="1:8">
      <c r="A725" s="2">
        <v>724</v>
      </c>
      <c r="B725" s="2" t="s">
        <v>77</v>
      </c>
      <c r="C725" s="2" t="s">
        <v>12</v>
      </c>
      <c r="D725" s="2">
        <v>8</v>
      </c>
      <c r="E725" s="3">
        <v>44166</v>
      </c>
      <c r="F725" s="2" t="s">
        <v>38</v>
      </c>
      <c r="G725" s="2" t="s">
        <v>18</v>
      </c>
      <c r="H725">
        <f t="shared" si="11"/>
        <v>2208.3000000000002</v>
      </c>
    </row>
    <row r="726" spans="1:8">
      <c r="A726" s="2">
        <v>725</v>
      </c>
      <c r="B726" s="2" t="s">
        <v>83</v>
      </c>
      <c r="C726" s="2" t="s">
        <v>16</v>
      </c>
      <c r="D726" s="2">
        <v>1</v>
      </c>
      <c r="E726" s="3">
        <v>33462</v>
      </c>
      <c r="F726" s="2" t="s">
        <v>28</v>
      </c>
      <c r="G726" s="2" t="s">
        <v>10</v>
      </c>
      <c r="H726">
        <f t="shared" si="11"/>
        <v>1673.1000000000001</v>
      </c>
    </row>
    <row r="727" spans="1:8">
      <c r="A727" s="2">
        <v>726</v>
      </c>
      <c r="B727" s="2" t="s">
        <v>88</v>
      </c>
      <c r="C727" s="2" t="s">
        <v>8</v>
      </c>
      <c r="D727" s="2">
        <v>4</v>
      </c>
      <c r="E727" s="3">
        <v>37436</v>
      </c>
      <c r="F727" s="2" t="s">
        <v>32</v>
      </c>
      <c r="G727" s="2" t="s">
        <v>23</v>
      </c>
      <c r="H727">
        <f t="shared" si="11"/>
        <v>1871.8000000000002</v>
      </c>
    </row>
    <row r="728" spans="1:8">
      <c r="A728" s="2">
        <v>727</v>
      </c>
      <c r="B728" s="2" t="s">
        <v>42</v>
      </c>
      <c r="C728" s="2" t="s">
        <v>16</v>
      </c>
      <c r="D728" s="2">
        <v>50</v>
      </c>
      <c r="E728" s="3">
        <v>57618</v>
      </c>
      <c r="F728" s="2" t="s">
        <v>28</v>
      </c>
      <c r="G728" s="2" t="s">
        <v>14</v>
      </c>
      <c r="H728">
        <f t="shared" si="11"/>
        <v>2880.9</v>
      </c>
    </row>
    <row r="729" spans="1:8">
      <c r="A729" s="2">
        <v>728</v>
      </c>
      <c r="B729" s="2" t="s">
        <v>67</v>
      </c>
      <c r="C729" s="2" t="s">
        <v>16</v>
      </c>
      <c r="D729" s="2">
        <v>15</v>
      </c>
      <c r="E729" s="3">
        <v>71659</v>
      </c>
      <c r="F729" s="2" t="s">
        <v>38</v>
      </c>
      <c r="G729" s="2" t="s">
        <v>23</v>
      </c>
      <c r="H729">
        <f t="shared" si="11"/>
        <v>3582.9500000000003</v>
      </c>
    </row>
    <row r="730" spans="1:8">
      <c r="A730" s="2">
        <v>729</v>
      </c>
      <c r="B730" s="2" t="s">
        <v>70</v>
      </c>
      <c r="C730" s="2" t="s">
        <v>12</v>
      </c>
      <c r="D730" s="2">
        <v>9</v>
      </c>
      <c r="E730" s="3">
        <v>28355</v>
      </c>
      <c r="F730" s="2" t="s">
        <v>9</v>
      </c>
      <c r="G730" s="2" t="s">
        <v>26</v>
      </c>
      <c r="H730">
        <f t="shared" si="11"/>
        <v>1417.75</v>
      </c>
    </row>
    <row r="731" spans="1:8">
      <c r="A731" s="2">
        <v>730</v>
      </c>
      <c r="B731" s="2" t="s">
        <v>92</v>
      </c>
      <c r="C731" s="2" t="s">
        <v>16</v>
      </c>
      <c r="D731" s="2">
        <v>13</v>
      </c>
      <c r="E731" s="3">
        <v>26655</v>
      </c>
      <c r="F731" s="2" t="s">
        <v>38</v>
      </c>
      <c r="G731" s="2" t="s">
        <v>10</v>
      </c>
      <c r="H731">
        <f t="shared" si="11"/>
        <v>1332.75</v>
      </c>
    </row>
    <row r="732" spans="1:8">
      <c r="A732" s="2">
        <v>731</v>
      </c>
      <c r="B732" s="2" t="s">
        <v>86</v>
      </c>
      <c r="C732" s="2" t="s">
        <v>22</v>
      </c>
      <c r="D732" s="2">
        <v>26</v>
      </c>
      <c r="E732" s="3">
        <v>75072</v>
      </c>
      <c r="F732" s="2" t="s">
        <v>20</v>
      </c>
      <c r="G732" s="2" t="s">
        <v>10</v>
      </c>
      <c r="H732">
        <f t="shared" si="11"/>
        <v>3753.6000000000004</v>
      </c>
    </row>
    <row r="733" spans="1:8">
      <c r="A733" s="2">
        <v>732</v>
      </c>
      <c r="B733" s="2" t="s">
        <v>54</v>
      </c>
      <c r="C733" s="2" t="s">
        <v>22</v>
      </c>
      <c r="D733" s="2">
        <v>24</v>
      </c>
      <c r="E733" s="3">
        <v>80603</v>
      </c>
      <c r="F733" s="2" t="s">
        <v>13</v>
      </c>
      <c r="G733" s="2" t="s">
        <v>10</v>
      </c>
      <c r="H733">
        <f t="shared" si="11"/>
        <v>4030.15</v>
      </c>
    </row>
    <row r="734" spans="1:8">
      <c r="A734" s="2">
        <v>733</v>
      </c>
      <c r="B734" s="2" t="s">
        <v>15</v>
      </c>
      <c r="C734" s="2" t="s">
        <v>22</v>
      </c>
      <c r="D734" s="2">
        <v>44</v>
      </c>
      <c r="E734" s="3">
        <v>87206</v>
      </c>
      <c r="F734" s="2" t="s">
        <v>28</v>
      </c>
      <c r="G734" s="2" t="s">
        <v>10</v>
      </c>
      <c r="H734">
        <f t="shared" si="11"/>
        <v>4360.3</v>
      </c>
    </row>
    <row r="735" spans="1:8">
      <c r="A735" s="2">
        <v>734</v>
      </c>
      <c r="B735" s="2" t="s">
        <v>61</v>
      </c>
      <c r="C735" s="2" t="s">
        <v>22</v>
      </c>
      <c r="D735" s="2">
        <v>41</v>
      </c>
      <c r="E735" s="3">
        <v>33067</v>
      </c>
      <c r="F735" s="2" t="s">
        <v>17</v>
      </c>
      <c r="G735" s="2" t="s">
        <v>26</v>
      </c>
      <c r="H735">
        <f t="shared" si="11"/>
        <v>1653.3500000000001</v>
      </c>
    </row>
    <row r="736" spans="1:8">
      <c r="A736" s="2">
        <v>735</v>
      </c>
      <c r="B736" s="2" t="s">
        <v>11</v>
      </c>
      <c r="C736" s="2" t="s">
        <v>22</v>
      </c>
      <c r="D736" s="2">
        <v>42</v>
      </c>
      <c r="E736" s="3">
        <v>39973</v>
      </c>
      <c r="F736" s="2" t="s">
        <v>20</v>
      </c>
      <c r="G736" s="2" t="s">
        <v>14</v>
      </c>
      <c r="H736">
        <f t="shared" si="11"/>
        <v>1998.65</v>
      </c>
    </row>
    <row r="737" spans="1:8">
      <c r="A737" s="2">
        <v>736</v>
      </c>
      <c r="B737" s="2" t="s">
        <v>39</v>
      </c>
      <c r="C737" s="2" t="s">
        <v>12</v>
      </c>
      <c r="D737" s="2">
        <v>6</v>
      </c>
      <c r="E737" s="3">
        <v>56984</v>
      </c>
      <c r="F737" s="2" t="s">
        <v>38</v>
      </c>
      <c r="G737" s="2" t="s">
        <v>23</v>
      </c>
      <c r="H737">
        <f t="shared" si="11"/>
        <v>2849.2000000000003</v>
      </c>
    </row>
    <row r="738" spans="1:8">
      <c r="A738" s="2">
        <v>737</v>
      </c>
      <c r="B738" s="2" t="s">
        <v>42</v>
      </c>
      <c r="C738" s="2" t="s">
        <v>16</v>
      </c>
      <c r="D738" s="2">
        <v>38</v>
      </c>
      <c r="E738" s="3">
        <v>55043</v>
      </c>
      <c r="F738" s="2" t="s">
        <v>28</v>
      </c>
      <c r="G738" s="2" t="s">
        <v>29</v>
      </c>
      <c r="H738">
        <f t="shared" si="11"/>
        <v>2752.15</v>
      </c>
    </row>
    <row r="739" spans="1:8">
      <c r="A739" s="2">
        <v>738</v>
      </c>
      <c r="B739" s="2" t="s">
        <v>31</v>
      </c>
      <c r="C739" s="2" t="s">
        <v>16</v>
      </c>
      <c r="D739" s="2">
        <v>38</v>
      </c>
      <c r="E739" s="3">
        <v>92323</v>
      </c>
      <c r="F739" s="2" t="s">
        <v>13</v>
      </c>
      <c r="G739" s="2" t="s">
        <v>14</v>
      </c>
      <c r="H739">
        <f t="shared" si="11"/>
        <v>4616.1500000000005</v>
      </c>
    </row>
    <row r="740" spans="1:8">
      <c r="A740" s="2">
        <v>739</v>
      </c>
      <c r="B740" s="2" t="s">
        <v>66</v>
      </c>
      <c r="C740" s="2" t="s">
        <v>22</v>
      </c>
      <c r="D740" s="2">
        <v>17</v>
      </c>
      <c r="E740" s="3">
        <v>50443</v>
      </c>
      <c r="F740" s="2" t="s">
        <v>32</v>
      </c>
      <c r="G740" s="2" t="s">
        <v>10</v>
      </c>
      <c r="H740">
        <f t="shared" si="11"/>
        <v>2522.15</v>
      </c>
    </row>
    <row r="741" spans="1:8">
      <c r="A741" s="2">
        <v>740</v>
      </c>
      <c r="B741" s="2" t="s">
        <v>41</v>
      </c>
      <c r="C741" s="2" t="s">
        <v>16</v>
      </c>
      <c r="D741" s="2">
        <v>5</v>
      </c>
      <c r="E741" s="3">
        <v>36790</v>
      </c>
      <c r="F741" s="2" t="s">
        <v>13</v>
      </c>
      <c r="G741" s="2" t="s">
        <v>26</v>
      </c>
      <c r="H741">
        <f t="shared" si="11"/>
        <v>1839.5</v>
      </c>
    </row>
    <row r="742" spans="1:8">
      <c r="A742" s="2">
        <v>741</v>
      </c>
      <c r="B742" s="2" t="s">
        <v>94</v>
      </c>
      <c r="C742" s="2" t="s">
        <v>22</v>
      </c>
      <c r="D742" s="2">
        <v>2</v>
      </c>
      <c r="E742" s="3">
        <v>53377</v>
      </c>
      <c r="F742" s="2" t="s">
        <v>20</v>
      </c>
      <c r="G742" s="2" t="s">
        <v>10</v>
      </c>
      <c r="H742">
        <f t="shared" si="11"/>
        <v>2668.8500000000004</v>
      </c>
    </row>
    <row r="743" spans="1:8">
      <c r="A743" s="2">
        <v>742</v>
      </c>
      <c r="B743" s="2" t="s">
        <v>87</v>
      </c>
      <c r="C743" s="2" t="s">
        <v>16</v>
      </c>
      <c r="D743" s="2">
        <v>5</v>
      </c>
      <c r="E743" s="3">
        <v>79403</v>
      </c>
      <c r="F743" s="2" t="s">
        <v>17</v>
      </c>
      <c r="G743" s="2" t="s">
        <v>14</v>
      </c>
      <c r="H743">
        <f t="shared" si="11"/>
        <v>3970.15</v>
      </c>
    </row>
    <row r="744" spans="1:8">
      <c r="A744" s="2">
        <v>743</v>
      </c>
      <c r="B744" s="2" t="s">
        <v>37</v>
      </c>
      <c r="C744" s="2" t="s">
        <v>12</v>
      </c>
      <c r="D744" s="2">
        <v>13</v>
      </c>
      <c r="E744" s="3">
        <v>75684</v>
      </c>
      <c r="F744" s="2" t="s">
        <v>9</v>
      </c>
      <c r="G744" s="2" t="s">
        <v>23</v>
      </c>
      <c r="H744">
        <f t="shared" si="11"/>
        <v>3784.2000000000003</v>
      </c>
    </row>
    <row r="745" spans="1:8">
      <c r="A745" s="2">
        <v>744</v>
      </c>
      <c r="B745" s="2" t="s">
        <v>43</v>
      </c>
      <c r="C745" s="2" t="s">
        <v>8</v>
      </c>
      <c r="D745" s="2">
        <v>42</v>
      </c>
      <c r="E745" s="3">
        <v>49608</v>
      </c>
      <c r="F745" s="2" t="s">
        <v>20</v>
      </c>
      <c r="G745" s="2" t="s">
        <v>23</v>
      </c>
      <c r="H745">
        <f t="shared" si="11"/>
        <v>2480.4</v>
      </c>
    </row>
    <row r="746" spans="1:8">
      <c r="A746" s="2">
        <v>745</v>
      </c>
      <c r="B746" s="2" t="s">
        <v>43</v>
      </c>
      <c r="C746" s="2" t="s">
        <v>22</v>
      </c>
      <c r="D746" s="2">
        <v>29</v>
      </c>
      <c r="E746" s="3">
        <v>31609</v>
      </c>
      <c r="F746" s="2" t="s">
        <v>25</v>
      </c>
      <c r="G746" s="2" t="s">
        <v>18</v>
      </c>
      <c r="H746">
        <f t="shared" si="11"/>
        <v>1580.45</v>
      </c>
    </row>
    <row r="747" spans="1:8">
      <c r="A747" s="2">
        <v>746</v>
      </c>
      <c r="B747" s="2" t="s">
        <v>88</v>
      </c>
      <c r="C747" s="2" t="s">
        <v>12</v>
      </c>
      <c r="D747" s="2">
        <v>9</v>
      </c>
      <c r="E747" s="3">
        <v>77229</v>
      </c>
      <c r="F747" s="2" t="s">
        <v>32</v>
      </c>
      <c r="G747" s="2" t="s">
        <v>18</v>
      </c>
      <c r="H747">
        <f t="shared" si="11"/>
        <v>3861.4500000000003</v>
      </c>
    </row>
    <row r="748" spans="1:8">
      <c r="A748" s="2">
        <v>747</v>
      </c>
      <c r="B748" s="2" t="s">
        <v>45</v>
      </c>
      <c r="C748" s="2" t="s">
        <v>12</v>
      </c>
      <c r="D748" s="2">
        <v>6</v>
      </c>
      <c r="E748" s="3">
        <v>78859</v>
      </c>
      <c r="F748" s="2" t="s">
        <v>9</v>
      </c>
      <c r="G748" s="2" t="s">
        <v>26</v>
      </c>
      <c r="H748">
        <f t="shared" si="11"/>
        <v>3942.9500000000003</v>
      </c>
    </row>
    <row r="749" spans="1:8">
      <c r="A749" s="2">
        <v>748</v>
      </c>
      <c r="B749" s="2" t="s">
        <v>31</v>
      </c>
      <c r="C749" s="2" t="s">
        <v>22</v>
      </c>
      <c r="D749" s="2">
        <v>22</v>
      </c>
      <c r="E749" s="3">
        <v>30846</v>
      </c>
      <c r="F749" s="2" t="s">
        <v>38</v>
      </c>
      <c r="G749" s="2" t="s">
        <v>18</v>
      </c>
      <c r="H749">
        <f t="shared" si="11"/>
        <v>1542.3000000000002</v>
      </c>
    </row>
    <row r="750" spans="1:8">
      <c r="A750" s="2">
        <v>749</v>
      </c>
      <c r="B750" s="2" t="s">
        <v>62</v>
      </c>
      <c r="C750" s="2" t="s">
        <v>22</v>
      </c>
      <c r="D750" s="2">
        <v>8</v>
      </c>
      <c r="E750" s="3">
        <v>44187</v>
      </c>
      <c r="F750" s="2" t="s">
        <v>38</v>
      </c>
      <c r="G750" s="2" t="s">
        <v>10</v>
      </c>
      <c r="H750">
        <f t="shared" si="11"/>
        <v>2209.35</v>
      </c>
    </row>
    <row r="751" spans="1:8">
      <c r="A751" s="2">
        <v>750</v>
      </c>
      <c r="B751" s="2" t="s">
        <v>42</v>
      </c>
      <c r="C751" s="2" t="s">
        <v>12</v>
      </c>
      <c r="D751" s="2">
        <v>3</v>
      </c>
      <c r="E751" s="3">
        <v>34896</v>
      </c>
      <c r="F751" s="2" t="s">
        <v>32</v>
      </c>
      <c r="G751" s="2" t="s">
        <v>14</v>
      </c>
      <c r="H751">
        <f t="shared" si="11"/>
        <v>1744.8000000000002</v>
      </c>
    </row>
    <row r="752" spans="1:8">
      <c r="A752" s="2">
        <v>751</v>
      </c>
      <c r="B752" s="2" t="s">
        <v>82</v>
      </c>
      <c r="C752" s="2" t="s">
        <v>22</v>
      </c>
      <c r="D752" s="2">
        <v>30</v>
      </c>
      <c r="E752" s="3">
        <v>80209</v>
      </c>
      <c r="F752" s="2" t="s">
        <v>28</v>
      </c>
      <c r="G752" s="2" t="s">
        <v>26</v>
      </c>
      <c r="H752">
        <f t="shared" si="11"/>
        <v>4010.4500000000003</v>
      </c>
    </row>
    <row r="753" spans="1:8">
      <c r="A753" s="2">
        <v>752</v>
      </c>
      <c r="B753" s="2" t="s">
        <v>66</v>
      </c>
      <c r="C753" s="2" t="s">
        <v>22</v>
      </c>
      <c r="D753" s="2">
        <v>4</v>
      </c>
      <c r="E753" s="3">
        <v>84582</v>
      </c>
      <c r="F753" s="2" t="s">
        <v>17</v>
      </c>
      <c r="G753" s="2" t="s">
        <v>26</v>
      </c>
      <c r="H753">
        <f t="shared" si="11"/>
        <v>4229.1000000000004</v>
      </c>
    </row>
    <row r="754" spans="1:8">
      <c r="A754" s="2">
        <v>753</v>
      </c>
      <c r="B754" s="2" t="s">
        <v>62</v>
      </c>
      <c r="C754" s="2" t="s">
        <v>8</v>
      </c>
      <c r="D754" s="2">
        <v>11</v>
      </c>
      <c r="E754" s="3">
        <v>87310</v>
      </c>
      <c r="F754" s="2" t="s">
        <v>9</v>
      </c>
      <c r="G754" s="2" t="s">
        <v>14</v>
      </c>
      <c r="H754">
        <f t="shared" si="11"/>
        <v>4365.5</v>
      </c>
    </row>
    <row r="755" spans="1:8">
      <c r="A755" s="2">
        <v>754</v>
      </c>
      <c r="B755" s="2" t="s">
        <v>93</v>
      </c>
      <c r="C755" s="2" t="s">
        <v>8</v>
      </c>
      <c r="D755" s="2">
        <v>37</v>
      </c>
      <c r="E755" s="3">
        <v>92277</v>
      </c>
      <c r="F755" s="2" t="s">
        <v>13</v>
      </c>
      <c r="G755" s="2" t="s">
        <v>18</v>
      </c>
      <c r="H755">
        <f t="shared" si="11"/>
        <v>4613.8500000000004</v>
      </c>
    </row>
    <row r="756" spans="1:8">
      <c r="A756" s="2">
        <v>755</v>
      </c>
      <c r="B756" s="2" t="s">
        <v>48</v>
      </c>
      <c r="C756" s="2" t="s">
        <v>22</v>
      </c>
      <c r="D756" s="2">
        <v>28</v>
      </c>
      <c r="E756" s="3">
        <v>85145</v>
      </c>
      <c r="F756" s="2" t="s">
        <v>25</v>
      </c>
      <c r="G756" s="2" t="s">
        <v>23</v>
      </c>
      <c r="H756">
        <f t="shared" si="11"/>
        <v>4257.25</v>
      </c>
    </row>
    <row r="757" spans="1:8">
      <c r="A757" s="2">
        <v>756</v>
      </c>
      <c r="B757" s="2" t="s">
        <v>56</v>
      </c>
      <c r="C757" s="2" t="s">
        <v>12</v>
      </c>
      <c r="D757" s="2">
        <v>47</v>
      </c>
      <c r="E757" s="3">
        <v>25410</v>
      </c>
      <c r="F757" s="2" t="s">
        <v>38</v>
      </c>
      <c r="G757" s="2" t="s">
        <v>18</v>
      </c>
      <c r="H757">
        <f t="shared" si="11"/>
        <v>1270.5</v>
      </c>
    </row>
    <row r="758" spans="1:8">
      <c r="A758" s="2">
        <v>757</v>
      </c>
      <c r="B758" s="2" t="s">
        <v>39</v>
      </c>
      <c r="C758" s="2" t="s">
        <v>16</v>
      </c>
      <c r="D758" s="2">
        <v>26</v>
      </c>
      <c r="E758" s="3">
        <v>99518</v>
      </c>
      <c r="F758" s="2" t="s">
        <v>17</v>
      </c>
      <c r="G758" s="2" t="s">
        <v>14</v>
      </c>
      <c r="H758">
        <f t="shared" si="11"/>
        <v>4975.9000000000005</v>
      </c>
    </row>
    <row r="759" spans="1:8">
      <c r="A759" s="2">
        <v>758</v>
      </c>
      <c r="B759" s="2" t="s">
        <v>75</v>
      </c>
      <c r="C759" s="2" t="s">
        <v>22</v>
      </c>
      <c r="D759" s="2">
        <v>32</v>
      </c>
      <c r="E759" s="3">
        <v>98532</v>
      </c>
      <c r="F759" s="2" t="s">
        <v>17</v>
      </c>
      <c r="G759" s="2" t="s">
        <v>10</v>
      </c>
      <c r="H759">
        <f t="shared" si="11"/>
        <v>4926.6000000000004</v>
      </c>
    </row>
    <row r="760" spans="1:8">
      <c r="A760" s="2">
        <v>759</v>
      </c>
      <c r="B760" s="2" t="s">
        <v>53</v>
      </c>
      <c r="C760" s="2" t="s">
        <v>22</v>
      </c>
      <c r="D760" s="2">
        <v>2</v>
      </c>
      <c r="E760" s="3">
        <v>35731</v>
      </c>
      <c r="F760" s="2" t="s">
        <v>17</v>
      </c>
      <c r="G760" s="2" t="s">
        <v>18</v>
      </c>
      <c r="H760">
        <f t="shared" si="11"/>
        <v>1786.5500000000002</v>
      </c>
    </row>
    <row r="761" spans="1:8">
      <c r="A761" s="2">
        <v>760</v>
      </c>
      <c r="B761" s="2" t="s">
        <v>59</v>
      </c>
      <c r="C761" s="2" t="s">
        <v>16</v>
      </c>
      <c r="D761" s="2">
        <v>25</v>
      </c>
      <c r="E761" s="3">
        <v>56729</v>
      </c>
      <c r="F761" s="2" t="s">
        <v>28</v>
      </c>
      <c r="G761" s="2" t="s">
        <v>26</v>
      </c>
      <c r="H761">
        <f t="shared" si="11"/>
        <v>2836.4500000000003</v>
      </c>
    </row>
    <row r="762" spans="1:8">
      <c r="A762" s="2">
        <v>761</v>
      </c>
      <c r="B762" s="2" t="s">
        <v>30</v>
      </c>
      <c r="C762" s="2" t="s">
        <v>16</v>
      </c>
      <c r="D762" s="2">
        <v>44</v>
      </c>
      <c r="E762" s="3">
        <v>41642</v>
      </c>
      <c r="F762" s="2" t="s">
        <v>32</v>
      </c>
      <c r="G762" s="2" t="s">
        <v>29</v>
      </c>
      <c r="H762">
        <f t="shared" si="11"/>
        <v>2082.1</v>
      </c>
    </row>
    <row r="763" spans="1:8">
      <c r="A763" s="2">
        <v>762</v>
      </c>
      <c r="B763" s="2" t="s">
        <v>52</v>
      </c>
      <c r="C763" s="2" t="s">
        <v>16</v>
      </c>
      <c r="D763" s="2">
        <v>28</v>
      </c>
      <c r="E763" s="3">
        <v>32277</v>
      </c>
      <c r="F763" s="2" t="s">
        <v>28</v>
      </c>
      <c r="G763" s="2" t="s">
        <v>29</v>
      </c>
      <c r="H763">
        <f t="shared" si="11"/>
        <v>1613.8500000000001</v>
      </c>
    </row>
    <row r="764" spans="1:8">
      <c r="A764" s="2">
        <v>763</v>
      </c>
      <c r="B764" s="2" t="s">
        <v>92</v>
      </c>
      <c r="C764" s="2" t="s">
        <v>8</v>
      </c>
      <c r="D764" s="2">
        <v>12</v>
      </c>
      <c r="E764" s="3">
        <v>54389</v>
      </c>
      <c r="F764" s="2" t="s">
        <v>38</v>
      </c>
      <c r="G764" s="2" t="s">
        <v>23</v>
      </c>
      <c r="H764">
        <f t="shared" si="11"/>
        <v>2719.4500000000003</v>
      </c>
    </row>
    <row r="765" spans="1:8">
      <c r="A765" s="2">
        <v>764</v>
      </c>
      <c r="B765" s="2" t="s">
        <v>78</v>
      </c>
      <c r="C765" s="2" t="s">
        <v>8</v>
      </c>
      <c r="D765" s="2">
        <v>23</v>
      </c>
      <c r="E765" s="3">
        <v>50704</v>
      </c>
      <c r="F765" s="2" t="s">
        <v>28</v>
      </c>
      <c r="G765" s="2" t="s">
        <v>14</v>
      </c>
      <c r="H765">
        <f t="shared" si="11"/>
        <v>2535.2000000000003</v>
      </c>
    </row>
    <row r="766" spans="1:8">
      <c r="A766" s="2">
        <v>765</v>
      </c>
      <c r="B766" s="2" t="s">
        <v>55</v>
      </c>
      <c r="C766" s="2" t="s">
        <v>8</v>
      </c>
      <c r="D766" s="2">
        <v>14</v>
      </c>
      <c r="E766" s="3">
        <v>59903</v>
      </c>
      <c r="F766" s="2" t="s">
        <v>13</v>
      </c>
      <c r="G766" s="2" t="s">
        <v>10</v>
      </c>
      <c r="H766">
        <f t="shared" si="11"/>
        <v>2995.15</v>
      </c>
    </row>
    <row r="767" spans="1:8">
      <c r="A767" s="2">
        <v>766</v>
      </c>
      <c r="B767" s="2" t="s">
        <v>70</v>
      </c>
      <c r="C767" s="2" t="s">
        <v>12</v>
      </c>
      <c r="D767" s="2">
        <v>12</v>
      </c>
      <c r="E767" s="3">
        <v>67192</v>
      </c>
      <c r="F767" s="2" t="s">
        <v>38</v>
      </c>
      <c r="G767" s="2" t="s">
        <v>26</v>
      </c>
      <c r="H767">
        <f t="shared" si="11"/>
        <v>3359.6000000000004</v>
      </c>
    </row>
    <row r="768" spans="1:8">
      <c r="A768" s="2">
        <v>767</v>
      </c>
      <c r="B768" s="2" t="s">
        <v>15</v>
      </c>
      <c r="C768" s="2" t="s">
        <v>22</v>
      </c>
      <c r="D768" s="2">
        <v>18</v>
      </c>
      <c r="E768" s="3">
        <v>87999</v>
      </c>
      <c r="F768" s="2" t="s">
        <v>28</v>
      </c>
      <c r="G768" s="2" t="s">
        <v>29</v>
      </c>
      <c r="H768">
        <f t="shared" si="11"/>
        <v>4399.95</v>
      </c>
    </row>
    <row r="769" spans="1:8">
      <c r="A769" s="2">
        <v>768</v>
      </c>
      <c r="B769" s="2" t="s">
        <v>19</v>
      </c>
      <c r="C769" s="2" t="s">
        <v>8</v>
      </c>
      <c r="D769" s="2">
        <v>18</v>
      </c>
      <c r="E769" s="3">
        <v>96123</v>
      </c>
      <c r="F769" s="2" t="s">
        <v>32</v>
      </c>
      <c r="G769" s="2" t="s">
        <v>18</v>
      </c>
      <c r="H769">
        <f t="shared" si="11"/>
        <v>4806.1500000000005</v>
      </c>
    </row>
    <row r="770" spans="1:8">
      <c r="A770" s="2">
        <v>769</v>
      </c>
      <c r="B770" s="2" t="s">
        <v>27</v>
      </c>
      <c r="C770" s="2" t="s">
        <v>12</v>
      </c>
      <c r="D770" s="2">
        <v>29</v>
      </c>
      <c r="E770" s="3">
        <v>99164</v>
      </c>
      <c r="F770" s="2" t="s">
        <v>25</v>
      </c>
      <c r="G770" s="2" t="s">
        <v>26</v>
      </c>
      <c r="H770">
        <f t="shared" si="11"/>
        <v>4958.2000000000007</v>
      </c>
    </row>
    <row r="771" spans="1:8">
      <c r="A771" s="2">
        <v>770</v>
      </c>
      <c r="B771" s="2" t="s">
        <v>37</v>
      </c>
      <c r="C771" s="2" t="s">
        <v>12</v>
      </c>
      <c r="D771" s="2">
        <v>10</v>
      </c>
      <c r="E771" s="3">
        <v>50200</v>
      </c>
      <c r="F771" s="2" t="s">
        <v>17</v>
      </c>
      <c r="G771" s="2" t="s">
        <v>10</v>
      </c>
      <c r="H771">
        <f t="shared" ref="H771:H834" si="12">E771*5%</f>
        <v>2510</v>
      </c>
    </row>
    <row r="772" spans="1:8">
      <c r="A772" s="2">
        <v>771</v>
      </c>
      <c r="B772" s="2" t="s">
        <v>77</v>
      </c>
      <c r="C772" s="2" t="s">
        <v>16</v>
      </c>
      <c r="D772" s="2">
        <v>3</v>
      </c>
      <c r="E772" s="3">
        <v>88511</v>
      </c>
      <c r="F772" s="2" t="s">
        <v>13</v>
      </c>
      <c r="G772" s="2" t="s">
        <v>14</v>
      </c>
      <c r="H772">
        <f t="shared" si="12"/>
        <v>4425.55</v>
      </c>
    </row>
    <row r="773" spans="1:8">
      <c r="A773" s="2">
        <v>772</v>
      </c>
      <c r="B773" s="2" t="s">
        <v>51</v>
      </c>
      <c r="C773" s="2" t="s">
        <v>16</v>
      </c>
      <c r="D773" s="2">
        <v>40</v>
      </c>
      <c r="E773" s="3">
        <v>90910</v>
      </c>
      <c r="F773" s="2" t="s">
        <v>25</v>
      </c>
      <c r="G773" s="2" t="s">
        <v>26</v>
      </c>
      <c r="H773">
        <f t="shared" si="12"/>
        <v>4545.5</v>
      </c>
    </row>
    <row r="774" spans="1:8">
      <c r="A774" s="2">
        <v>773</v>
      </c>
      <c r="B774" s="2" t="s">
        <v>57</v>
      </c>
      <c r="C774" s="2" t="s">
        <v>8</v>
      </c>
      <c r="D774" s="2">
        <v>40</v>
      </c>
      <c r="E774" s="3">
        <v>46021</v>
      </c>
      <c r="F774" s="2" t="s">
        <v>20</v>
      </c>
      <c r="G774" s="2" t="s">
        <v>26</v>
      </c>
      <c r="H774">
        <f t="shared" si="12"/>
        <v>2301.0500000000002</v>
      </c>
    </row>
    <row r="775" spans="1:8">
      <c r="A775" s="2">
        <v>774</v>
      </c>
      <c r="B775" s="2" t="s">
        <v>68</v>
      </c>
      <c r="C775" s="2" t="s">
        <v>22</v>
      </c>
      <c r="D775" s="2">
        <v>40</v>
      </c>
      <c r="E775" s="3">
        <v>84997</v>
      </c>
      <c r="F775" s="2" t="s">
        <v>13</v>
      </c>
      <c r="G775" s="2" t="s">
        <v>18</v>
      </c>
      <c r="H775">
        <f t="shared" si="12"/>
        <v>4249.8500000000004</v>
      </c>
    </row>
    <row r="776" spans="1:8">
      <c r="A776" s="2">
        <v>775</v>
      </c>
      <c r="B776" s="2" t="s">
        <v>64</v>
      </c>
      <c r="C776" s="2" t="s">
        <v>22</v>
      </c>
      <c r="D776" s="2">
        <v>16</v>
      </c>
      <c r="E776" s="3">
        <v>86754</v>
      </c>
      <c r="F776" s="2" t="s">
        <v>32</v>
      </c>
      <c r="G776" s="2" t="s">
        <v>10</v>
      </c>
      <c r="H776">
        <f t="shared" si="12"/>
        <v>4337.7</v>
      </c>
    </row>
    <row r="777" spans="1:8">
      <c r="A777" s="2">
        <v>776</v>
      </c>
      <c r="B777" s="2" t="s">
        <v>42</v>
      </c>
      <c r="C777" s="2" t="s">
        <v>22</v>
      </c>
      <c r="D777" s="2">
        <v>42</v>
      </c>
      <c r="E777" s="3">
        <v>44478</v>
      </c>
      <c r="F777" s="2" t="s">
        <v>13</v>
      </c>
      <c r="G777" s="2" t="s">
        <v>14</v>
      </c>
      <c r="H777">
        <f t="shared" si="12"/>
        <v>2223.9</v>
      </c>
    </row>
    <row r="778" spans="1:8">
      <c r="A778" s="2">
        <v>777</v>
      </c>
      <c r="B778" s="2" t="s">
        <v>84</v>
      </c>
      <c r="C778" s="2" t="s">
        <v>12</v>
      </c>
      <c r="D778" s="2">
        <v>19</v>
      </c>
      <c r="E778" s="3">
        <v>35609</v>
      </c>
      <c r="F778" s="2" t="s">
        <v>32</v>
      </c>
      <c r="G778" s="2" t="s">
        <v>26</v>
      </c>
      <c r="H778">
        <f t="shared" si="12"/>
        <v>1780.45</v>
      </c>
    </row>
    <row r="779" spans="1:8">
      <c r="A779" s="2">
        <v>778</v>
      </c>
      <c r="B779" s="2" t="s">
        <v>62</v>
      </c>
      <c r="C779" s="2" t="s">
        <v>12</v>
      </c>
      <c r="D779" s="2">
        <v>32</v>
      </c>
      <c r="E779" s="3">
        <v>96930</v>
      </c>
      <c r="F779" s="2" t="s">
        <v>25</v>
      </c>
      <c r="G779" s="2" t="s">
        <v>10</v>
      </c>
      <c r="H779">
        <f t="shared" si="12"/>
        <v>4846.5</v>
      </c>
    </row>
    <row r="780" spans="1:8">
      <c r="A780" s="2">
        <v>779</v>
      </c>
      <c r="B780" s="2" t="s">
        <v>90</v>
      </c>
      <c r="C780" s="2" t="s">
        <v>12</v>
      </c>
      <c r="D780" s="2">
        <v>27</v>
      </c>
      <c r="E780" s="3">
        <v>61213</v>
      </c>
      <c r="F780" s="2" t="s">
        <v>13</v>
      </c>
      <c r="G780" s="2" t="s">
        <v>26</v>
      </c>
      <c r="H780">
        <f t="shared" si="12"/>
        <v>3060.65</v>
      </c>
    </row>
    <row r="781" spans="1:8">
      <c r="A781" s="2">
        <v>780</v>
      </c>
      <c r="B781" s="2" t="s">
        <v>75</v>
      </c>
      <c r="C781" s="2" t="s">
        <v>12</v>
      </c>
      <c r="D781" s="2">
        <v>36</v>
      </c>
      <c r="E781" s="3">
        <v>65961</v>
      </c>
      <c r="F781" s="2" t="s">
        <v>28</v>
      </c>
      <c r="G781" s="2" t="s">
        <v>29</v>
      </c>
      <c r="H781">
        <f t="shared" si="12"/>
        <v>3298.05</v>
      </c>
    </row>
    <row r="782" spans="1:8">
      <c r="A782" s="2">
        <v>781</v>
      </c>
      <c r="B782" s="2" t="s">
        <v>63</v>
      </c>
      <c r="C782" s="2" t="s">
        <v>22</v>
      </c>
      <c r="D782" s="2">
        <v>31</v>
      </c>
      <c r="E782" s="3">
        <v>77289</v>
      </c>
      <c r="F782" s="2" t="s">
        <v>17</v>
      </c>
      <c r="G782" s="2" t="s">
        <v>29</v>
      </c>
      <c r="H782">
        <f t="shared" si="12"/>
        <v>3864.4500000000003</v>
      </c>
    </row>
    <row r="783" spans="1:8">
      <c r="A783" s="2">
        <v>782</v>
      </c>
      <c r="B783" s="2" t="s">
        <v>15</v>
      </c>
      <c r="C783" s="2" t="s">
        <v>22</v>
      </c>
      <c r="D783" s="2">
        <v>4</v>
      </c>
      <c r="E783" s="3">
        <v>68813</v>
      </c>
      <c r="F783" s="2" t="s">
        <v>9</v>
      </c>
      <c r="G783" s="2" t="s">
        <v>14</v>
      </c>
      <c r="H783">
        <f t="shared" si="12"/>
        <v>3440.65</v>
      </c>
    </row>
    <row r="784" spans="1:8">
      <c r="A784" s="2">
        <v>783</v>
      </c>
      <c r="B784" s="2" t="s">
        <v>60</v>
      </c>
      <c r="C784" s="2" t="s">
        <v>16</v>
      </c>
      <c r="D784" s="2">
        <v>6</v>
      </c>
      <c r="E784" s="3">
        <v>38907</v>
      </c>
      <c r="F784" s="2" t="s">
        <v>25</v>
      </c>
      <c r="G784" s="2" t="s">
        <v>29</v>
      </c>
      <c r="H784">
        <f t="shared" si="12"/>
        <v>1945.3500000000001</v>
      </c>
    </row>
    <row r="785" spans="1:8">
      <c r="A785" s="2">
        <v>784</v>
      </c>
      <c r="B785" s="2" t="s">
        <v>80</v>
      </c>
      <c r="C785" s="2" t="s">
        <v>22</v>
      </c>
      <c r="D785" s="2">
        <v>18</v>
      </c>
      <c r="E785" s="3">
        <v>90778</v>
      </c>
      <c r="F785" s="2" t="s">
        <v>32</v>
      </c>
      <c r="G785" s="2" t="s">
        <v>14</v>
      </c>
      <c r="H785">
        <f t="shared" si="12"/>
        <v>4538.9000000000005</v>
      </c>
    </row>
    <row r="786" spans="1:8">
      <c r="A786" s="2">
        <v>785</v>
      </c>
      <c r="B786" s="2" t="s">
        <v>15</v>
      </c>
      <c r="C786" s="2" t="s">
        <v>12</v>
      </c>
      <c r="D786" s="2">
        <v>25</v>
      </c>
      <c r="E786" s="3">
        <v>59575</v>
      </c>
      <c r="F786" s="2" t="s">
        <v>25</v>
      </c>
      <c r="G786" s="2" t="s">
        <v>26</v>
      </c>
      <c r="H786">
        <f t="shared" si="12"/>
        <v>2978.75</v>
      </c>
    </row>
    <row r="787" spans="1:8">
      <c r="A787" s="2">
        <v>786</v>
      </c>
      <c r="B787" s="2" t="s">
        <v>64</v>
      </c>
      <c r="C787" s="2" t="s">
        <v>12</v>
      </c>
      <c r="D787" s="2">
        <v>9</v>
      </c>
      <c r="E787" s="3">
        <v>35052</v>
      </c>
      <c r="F787" s="2" t="s">
        <v>32</v>
      </c>
      <c r="G787" s="2" t="s">
        <v>23</v>
      </c>
      <c r="H787">
        <f t="shared" si="12"/>
        <v>1752.6000000000001</v>
      </c>
    </row>
    <row r="788" spans="1:8">
      <c r="A788" s="2">
        <v>787</v>
      </c>
      <c r="B788" s="2" t="s">
        <v>48</v>
      </c>
      <c r="C788" s="2" t="s">
        <v>8</v>
      </c>
      <c r="D788" s="2">
        <v>27</v>
      </c>
      <c r="E788" s="3">
        <v>75899</v>
      </c>
      <c r="F788" s="2" t="s">
        <v>25</v>
      </c>
      <c r="G788" s="2" t="s">
        <v>29</v>
      </c>
      <c r="H788">
        <f t="shared" si="12"/>
        <v>3794.9500000000003</v>
      </c>
    </row>
    <row r="789" spans="1:8">
      <c r="A789" s="2">
        <v>788</v>
      </c>
      <c r="B789" s="2" t="s">
        <v>83</v>
      </c>
      <c r="C789" s="2" t="s">
        <v>22</v>
      </c>
      <c r="D789" s="2">
        <v>13</v>
      </c>
      <c r="E789" s="3">
        <v>72061</v>
      </c>
      <c r="F789" s="2" t="s">
        <v>28</v>
      </c>
      <c r="G789" s="2" t="s">
        <v>10</v>
      </c>
      <c r="H789">
        <f t="shared" si="12"/>
        <v>3603.05</v>
      </c>
    </row>
    <row r="790" spans="1:8">
      <c r="A790" s="2">
        <v>789</v>
      </c>
      <c r="B790" s="2" t="s">
        <v>49</v>
      </c>
      <c r="C790" s="2" t="s">
        <v>22</v>
      </c>
      <c r="D790" s="2">
        <v>42</v>
      </c>
      <c r="E790" s="3">
        <v>82701</v>
      </c>
      <c r="F790" s="2" t="s">
        <v>25</v>
      </c>
      <c r="G790" s="2" t="s">
        <v>10</v>
      </c>
      <c r="H790">
        <f t="shared" si="12"/>
        <v>4135.05</v>
      </c>
    </row>
    <row r="791" spans="1:8">
      <c r="A791" s="2">
        <v>790</v>
      </c>
      <c r="B791" s="2" t="s">
        <v>89</v>
      </c>
      <c r="C791" s="2" t="s">
        <v>16</v>
      </c>
      <c r="D791" s="2">
        <v>34</v>
      </c>
      <c r="E791" s="3">
        <v>55374</v>
      </c>
      <c r="F791" s="2" t="s">
        <v>13</v>
      </c>
      <c r="G791" s="2" t="s">
        <v>14</v>
      </c>
      <c r="H791">
        <f t="shared" si="12"/>
        <v>2768.7000000000003</v>
      </c>
    </row>
    <row r="792" spans="1:8">
      <c r="A792" s="2">
        <v>791</v>
      </c>
      <c r="B792" s="2" t="s">
        <v>39</v>
      </c>
      <c r="C792" s="2" t="s">
        <v>16</v>
      </c>
      <c r="D792" s="2">
        <v>16</v>
      </c>
      <c r="E792" s="3">
        <v>63101</v>
      </c>
      <c r="F792" s="2" t="s">
        <v>25</v>
      </c>
      <c r="G792" s="2" t="s">
        <v>23</v>
      </c>
      <c r="H792">
        <f t="shared" si="12"/>
        <v>3155.05</v>
      </c>
    </row>
    <row r="793" spans="1:8">
      <c r="A793" s="2">
        <v>792</v>
      </c>
      <c r="B793" s="2" t="s">
        <v>50</v>
      </c>
      <c r="C793" s="2" t="s">
        <v>12</v>
      </c>
      <c r="D793" s="2">
        <v>41</v>
      </c>
      <c r="E793" s="3">
        <v>65929</v>
      </c>
      <c r="F793" s="2" t="s">
        <v>25</v>
      </c>
      <c r="G793" s="2" t="s">
        <v>26</v>
      </c>
      <c r="H793">
        <f t="shared" si="12"/>
        <v>3296.4500000000003</v>
      </c>
    </row>
    <row r="794" spans="1:8">
      <c r="A794" s="2">
        <v>793</v>
      </c>
      <c r="B794" s="2" t="s">
        <v>49</v>
      </c>
      <c r="C794" s="2" t="s">
        <v>8</v>
      </c>
      <c r="D794" s="2">
        <v>35</v>
      </c>
      <c r="E794" s="3">
        <v>31619</v>
      </c>
      <c r="F794" s="2" t="s">
        <v>17</v>
      </c>
      <c r="G794" s="2" t="s">
        <v>18</v>
      </c>
      <c r="H794">
        <f t="shared" si="12"/>
        <v>1580.95</v>
      </c>
    </row>
    <row r="795" spans="1:8">
      <c r="A795" s="2">
        <v>794</v>
      </c>
      <c r="B795" s="2" t="s">
        <v>11</v>
      </c>
      <c r="C795" s="2" t="s">
        <v>22</v>
      </c>
      <c r="D795" s="2">
        <v>2</v>
      </c>
      <c r="E795" s="3">
        <v>49425</v>
      </c>
      <c r="F795" s="2" t="s">
        <v>20</v>
      </c>
      <c r="G795" s="2" t="s">
        <v>10</v>
      </c>
      <c r="H795">
        <f t="shared" si="12"/>
        <v>2471.25</v>
      </c>
    </row>
    <row r="796" spans="1:8">
      <c r="A796" s="2">
        <v>795</v>
      </c>
      <c r="B796" s="2" t="s">
        <v>76</v>
      </c>
      <c r="C796" s="2" t="s">
        <v>22</v>
      </c>
      <c r="D796" s="2">
        <v>25</v>
      </c>
      <c r="E796" s="3">
        <v>49290</v>
      </c>
      <c r="F796" s="2" t="s">
        <v>20</v>
      </c>
      <c r="G796" s="2" t="s">
        <v>23</v>
      </c>
      <c r="H796">
        <f t="shared" si="12"/>
        <v>2464.5</v>
      </c>
    </row>
    <row r="797" spans="1:8">
      <c r="A797" s="2">
        <v>796</v>
      </c>
      <c r="B797" s="2" t="s">
        <v>39</v>
      </c>
      <c r="C797" s="2" t="s">
        <v>8</v>
      </c>
      <c r="D797" s="2">
        <v>46</v>
      </c>
      <c r="E797" s="3">
        <v>86096</v>
      </c>
      <c r="F797" s="2" t="s">
        <v>25</v>
      </c>
      <c r="G797" s="2" t="s">
        <v>10</v>
      </c>
      <c r="H797">
        <f t="shared" si="12"/>
        <v>4304.8</v>
      </c>
    </row>
    <row r="798" spans="1:8">
      <c r="A798" s="2">
        <v>797</v>
      </c>
      <c r="B798" s="2" t="s">
        <v>49</v>
      </c>
      <c r="C798" s="2" t="s">
        <v>22</v>
      </c>
      <c r="D798" s="2">
        <v>23</v>
      </c>
      <c r="E798" s="3">
        <v>62268</v>
      </c>
      <c r="F798" s="2" t="s">
        <v>17</v>
      </c>
      <c r="G798" s="2" t="s">
        <v>14</v>
      </c>
      <c r="H798">
        <f t="shared" si="12"/>
        <v>3113.4</v>
      </c>
    </row>
    <row r="799" spans="1:8">
      <c r="A799" s="2">
        <v>798</v>
      </c>
      <c r="B799" s="2" t="s">
        <v>24</v>
      </c>
      <c r="C799" s="2" t="s">
        <v>16</v>
      </c>
      <c r="D799" s="2">
        <v>31</v>
      </c>
      <c r="E799" s="3">
        <v>74197</v>
      </c>
      <c r="F799" s="2" t="s">
        <v>25</v>
      </c>
      <c r="G799" s="2" t="s">
        <v>14</v>
      </c>
      <c r="H799">
        <f t="shared" si="12"/>
        <v>3709.8500000000004</v>
      </c>
    </row>
    <row r="800" spans="1:8">
      <c r="A800" s="2">
        <v>799</v>
      </c>
      <c r="B800" s="2" t="s">
        <v>88</v>
      </c>
      <c r="C800" s="2" t="s">
        <v>8</v>
      </c>
      <c r="D800" s="2">
        <v>35</v>
      </c>
      <c r="E800" s="3">
        <v>30403</v>
      </c>
      <c r="F800" s="2" t="s">
        <v>38</v>
      </c>
      <c r="G800" s="2" t="s">
        <v>18</v>
      </c>
      <c r="H800">
        <f t="shared" si="12"/>
        <v>1520.15</v>
      </c>
    </row>
    <row r="801" spans="1:8">
      <c r="A801" s="2">
        <v>800</v>
      </c>
      <c r="B801" s="2" t="s">
        <v>60</v>
      </c>
      <c r="C801" s="2" t="s">
        <v>22</v>
      </c>
      <c r="D801" s="2">
        <v>32</v>
      </c>
      <c r="E801" s="3">
        <v>29073</v>
      </c>
      <c r="F801" s="2" t="s">
        <v>17</v>
      </c>
      <c r="G801" s="2" t="s">
        <v>14</v>
      </c>
      <c r="H801">
        <f t="shared" si="12"/>
        <v>1453.65</v>
      </c>
    </row>
    <row r="802" spans="1:8">
      <c r="A802" s="2">
        <v>801</v>
      </c>
      <c r="B802" s="2" t="s">
        <v>36</v>
      </c>
      <c r="C802" s="2" t="s">
        <v>16</v>
      </c>
      <c r="D802" s="2">
        <v>23</v>
      </c>
      <c r="E802" s="3">
        <v>44905</v>
      </c>
      <c r="F802" s="2" t="s">
        <v>13</v>
      </c>
      <c r="G802" s="2" t="s">
        <v>18</v>
      </c>
      <c r="H802">
        <f t="shared" si="12"/>
        <v>2245.25</v>
      </c>
    </row>
    <row r="803" spans="1:8">
      <c r="A803" s="2">
        <v>802</v>
      </c>
      <c r="B803" s="2" t="s">
        <v>71</v>
      </c>
      <c r="C803" s="2" t="s">
        <v>16</v>
      </c>
      <c r="D803" s="2">
        <v>37</v>
      </c>
      <c r="E803" s="3">
        <v>28832</v>
      </c>
      <c r="F803" s="2" t="s">
        <v>13</v>
      </c>
      <c r="G803" s="2" t="s">
        <v>26</v>
      </c>
      <c r="H803">
        <f t="shared" si="12"/>
        <v>1441.6000000000001</v>
      </c>
    </row>
    <row r="804" spans="1:8">
      <c r="A804" s="2">
        <v>803</v>
      </c>
      <c r="B804" s="2" t="s">
        <v>70</v>
      </c>
      <c r="C804" s="2" t="s">
        <v>12</v>
      </c>
      <c r="D804" s="2">
        <v>33</v>
      </c>
      <c r="E804" s="3">
        <v>40615</v>
      </c>
      <c r="F804" s="2" t="s">
        <v>28</v>
      </c>
      <c r="G804" s="2" t="s">
        <v>14</v>
      </c>
      <c r="H804">
        <f t="shared" si="12"/>
        <v>2030.75</v>
      </c>
    </row>
    <row r="805" spans="1:8">
      <c r="A805" s="2">
        <v>804</v>
      </c>
      <c r="B805" s="2" t="s">
        <v>88</v>
      </c>
      <c r="C805" s="2" t="s">
        <v>22</v>
      </c>
      <c r="D805" s="2">
        <v>21</v>
      </c>
      <c r="E805" s="3">
        <v>63664</v>
      </c>
      <c r="F805" s="2" t="s">
        <v>9</v>
      </c>
      <c r="G805" s="2" t="s">
        <v>10</v>
      </c>
      <c r="H805">
        <f t="shared" si="12"/>
        <v>3183.2000000000003</v>
      </c>
    </row>
    <row r="806" spans="1:8">
      <c r="A806" s="2">
        <v>805</v>
      </c>
      <c r="B806" s="2" t="s">
        <v>73</v>
      </c>
      <c r="C806" s="2" t="s">
        <v>8</v>
      </c>
      <c r="D806" s="2">
        <v>25</v>
      </c>
      <c r="E806" s="3">
        <v>78287</v>
      </c>
      <c r="F806" s="2" t="s">
        <v>28</v>
      </c>
      <c r="G806" s="2" t="s">
        <v>14</v>
      </c>
      <c r="H806">
        <f t="shared" si="12"/>
        <v>3914.3500000000004</v>
      </c>
    </row>
    <row r="807" spans="1:8">
      <c r="A807" s="2">
        <v>806</v>
      </c>
      <c r="B807" s="2" t="s">
        <v>78</v>
      </c>
      <c r="C807" s="2" t="s">
        <v>16</v>
      </c>
      <c r="D807" s="2">
        <v>18</v>
      </c>
      <c r="E807" s="3">
        <v>43613</v>
      </c>
      <c r="F807" s="2" t="s">
        <v>25</v>
      </c>
      <c r="G807" s="2" t="s">
        <v>29</v>
      </c>
      <c r="H807">
        <f t="shared" si="12"/>
        <v>2180.65</v>
      </c>
    </row>
    <row r="808" spans="1:8">
      <c r="A808" s="2">
        <v>807</v>
      </c>
      <c r="B808" s="2" t="s">
        <v>67</v>
      </c>
      <c r="C808" s="2" t="s">
        <v>16</v>
      </c>
      <c r="D808" s="2">
        <v>12</v>
      </c>
      <c r="E808" s="3">
        <v>82035</v>
      </c>
      <c r="F808" s="2" t="s">
        <v>32</v>
      </c>
      <c r="G808" s="2" t="s">
        <v>26</v>
      </c>
      <c r="H808">
        <f t="shared" si="12"/>
        <v>4101.75</v>
      </c>
    </row>
    <row r="809" spans="1:8">
      <c r="A809" s="2">
        <v>808</v>
      </c>
      <c r="B809" s="2" t="s">
        <v>68</v>
      </c>
      <c r="C809" s="2" t="s">
        <v>12</v>
      </c>
      <c r="D809" s="2">
        <v>2</v>
      </c>
      <c r="E809" s="3">
        <v>82337</v>
      </c>
      <c r="F809" s="2" t="s">
        <v>20</v>
      </c>
      <c r="G809" s="2" t="s">
        <v>26</v>
      </c>
      <c r="H809">
        <f t="shared" si="12"/>
        <v>4116.8500000000004</v>
      </c>
    </row>
    <row r="810" spans="1:8">
      <c r="A810" s="2">
        <v>809</v>
      </c>
      <c r="B810" s="2" t="s">
        <v>76</v>
      </c>
      <c r="C810" s="2" t="s">
        <v>8</v>
      </c>
      <c r="D810" s="2">
        <v>21</v>
      </c>
      <c r="E810" s="3">
        <v>46921</v>
      </c>
      <c r="F810" s="2" t="s">
        <v>25</v>
      </c>
      <c r="G810" s="2" t="s">
        <v>23</v>
      </c>
      <c r="H810">
        <f t="shared" si="12"/>
        <v>2346.0500000000002</v>
      </c>
    </row>
    <row r="811" spans="1:8">
      <c r="A811" s="2">
        <v>810</v>
      </c>
      <c r="B811" s="2" t="s">
        <v>70</v>
      </c>
      <c r="C811" s="2" t="s">
        <v>12</v>
      </c>
      <c r="D811" s="2">
        <v>39</v>
      </c>
      <c r="E811" s="3">
        <v>49551</v>
      </c>
      <c r="F811" s="2" t="s">
        <v>25</v>
      </c>
      <c r="G811" s="2" t="s">
        <v>10</v>
      </c>
      <c r="H811">
        <f t="shared" si="12"/>
        <v>2477.5500000000002</v>
      </c>
    </row>
    <row r="812" spans="1:8">
      <c r="A812" s="2">
        <v>811</v>
      </c>
      <c r="B812" s="2" t="s">
        <v>78</v>
      </c>
      <c r="C812" s="2" t="s">
        <v>16</v>
      </c>
      <c r="D812" s="2">
        <v>15</v>
      </c>
      <c r="E812" s="3">
        <v>90782</v>
      </c>
      <c r="F812" s="2" t="s">
        <v>38</v>
      </c>
      <c r="G812" s="2" t="s">
        <v>26</v>
      </c>
      <c r="H812">
        <f t="shared" si="12"/>
        <v>4539.1000000000004</v>
      </c>
    </row>
    <row r="813" spans="1:8">
      <c r="A813" s="2">
        <v>812</v>
      </c>
      <c r="B813" s="2" t="s">
        <v>58</v>
      </c>
      <c r="C813" s="2" t="s">
        <v>22</v>
      </c>
      <c r="D813" s="2">
        <v>2</v>
      </c>
      <c r="E813" s="3">
        <v>78256</v>
      </c>
      <c r="F813" s="2" t="s">
        <v>28</v>
      </c>
      <c r="G813" s="2" t="s">
        <v>23</v>
      </c>
      <c r="H813">
        <f t="shared" si="12"/>
        <v>3912.8</v>
      </c>
    </row>
    <row r="814" spans="1:8">
      <c r="A814" s="2">
        <v>813</v>
      </c>
      <c r="B814" s="2" t="s">
        <v>7</v>
      </c>
      <c r="C814" s="2" t="s">
        <v>8</v>
      </c>
      <c r="D814" s="2">
        <v>50</v>
      </c>
      <c r="E814" s="3">
        <v>52545</v>
      </c>
      <c r="F814" s="2" t="s">
        <v>32</v>
      </c>
      <c r="G814" s="2" t="s">
        <v>29</v>
      </c>
      <c r="H814">
        <f t="shared" si="12"/>
        <v>2627.25</v>
      </c>
    </row>
    <row r="815" spans="1:8">
      <c r="A815" s="2">
        <v>814</v>
      </c>
      <c r="B815" s="2" t="s">
        <v>59</v>
      </c>
      <c r="C815" s="2" t="s">
        <v>22</v>
      </c>
      <c r="D815" s="2">
        <v>18</v>
      </c>
      <c r="E815" s="3">
        <v>39124</v>
      </c>
      <c r="F815" s="2" t="s">
        <v>32</v>
      </c>
      <c r="G815" s="2" t="s">
        <v>26</v>
      </c>
      <c r="H815">
        <f t="shared" si="12"/>
        <v>1956.2</v>
      </c>
    </row>
    <row r="816" spans="1:8">
      <c r="A816" s="2">
        <v>815</v>
      </c>
      <c r="B816" s="2" t="s">
        <v>56</v>
      </c>
      <c r="C816" s="2" t="s">
        <v>22</v>
      </c>
      <c r="D816" s="2">
        <v>4</v>
      </c>
      <c r="E816" s="3">
        <v>61756</v>
      </c>
      <c r="F816" s="2" t="s">
        <v>32</v>
      </c>
      <c r="G816" s="2" t="s">
        <v>23</v>
      </c>
      <c r="H816">
        <f t="shared" si="12"/>
        <v>3087.8</v>
      </c>
    </row>
    <row r="817" spans="1:8">
      <c r="A817" s="2">
        <v>816</v>
      </c>
      <c r="B817" s="2" t="s">
        <v>60</v>
      </c>
      <c r="C817" s="2" t="s">
        <v>12</v>
      </c>
      <c r="D817" s="2">
        <v>31</v>
      </c>
      <c r="E817" s="3">
        <v>91466</v>
      </c>
      <c r="F817" s="2" t="s">
        <v>38</v>
      </c>
      <c r="G817" s="2" t="s">
        <v>29</v>
      </c>
      <c r="H817">
        <f t="shared" si="12"/>
        <v>4573.3</v>
      </c>
    </row>
    <row r="818" spans="1:8">
      <c r="A818" s="2">
        <v>817</v>
      </c>
      <c r="B818" s="2" t="s">
        <v>33</v>
      </c>
      <c r="C818" s="2" t="s">
        <v>16</v>
      </c>
      <c r="D818" s="2">
        <v>34</v>
      </c>
      <c r="E818" s="3">
        <v>45030</v>
      </c>
      <c r="F818" s="2" t="s">
        <v>17</v>
      </c>
      <c r="G818" s="2" t="s">
        <v>14</v>
      </c>
      <c r="H818">
        <f t="shared" si="12"/>
        <v>2251.5</v>
      </c>
    </row>
    <row r="819" spans="1:8">
      <c r="A819" s="2">
        <v>818</v>
      </c>
      <c r="B819" s="2" t="s">
        <v>85</v>
      </c>
      <c r="C819" s="2" t="s">
        <v>22</v>
      </c>
      <c r="D819" s="2">
        <v>23</v>
      </c>
      <c r="E819" s="3">
        <v>71010</v>
      </c>
      <c r="F819" s="2" t="s">
        <v>20</v>
      </c>
      <c r="G819" s="2" t="s">
        <v>14</v>
      </c>
      <c r="H819">
        <f t="shared" si="12"/>
        <v>3550.5</v>
      </c>
    </row>
    <row r="820" spans="1:8">
      <c r="A820" s="2">
        <v>819</v>
      </c>
      <c r="B820" s="2" t="s">
        <v>68</v>
      </c>
      <c r="C820" s="2" t="s">
        <v>8</v>
      </c>
      <c r="D820" s="2">
        <v>50</v>
      </c>
      <c r="E820" s="3">
        <v>83941</v>
      </c>
      <c r="F820" s="2" t="s">
        <v>9</v>
      </c>
      <c r="G820" s="2" t="s">
        <v>26</v>
      </c>
      <c r="H820">
        <f t="shared" si="12"/>
        <v>4197.05</v>
      </c>
    </row>
    <row r="821" spans="1:8">
      <c r="A821" s="2">
        <v>820</v>
      </c>
      <c r="B821" s="2" t="s">
        <v>83</v>
      </c>
      <c r="C821" s="2" t="s">
        <v>12</v>
      </c>
      <c r="D821" s="2">
        <v>38</v>
      </c>
      <c r="E821" s="3">
        <v>51857</v>
      </c>
      <c r="F821" s="2" t="s">
        <v>25</v>
      </c>
      <c r="G821" s="2" t="s">
        <v>29</v>
      </c>
      <c r="H821">
        <f t="shared" si="12"/>
        <v>2592.8500000000004</v>
      </c>
    </row>
    <row r="822" spans="1:8">
      <c r="A822" s="2">
        <v>821</v>
      </c>
      <c r="B822" s="2" t="s">
        <v>54</v>
      </c>
      <c r="C822" s="2" t="s">
        <v>8</v>
      </c>
      <c r="D822" s="2">
        <v>15</v>
      </c>
      <c r="E822" s="3">
        <v>61464</v>
      </c>
      <c r="F822" s="2" t="s">
        <v>9</v>
      </c>
      <c r="G822" s="2" t="s">
        <v>10</v>
      </c>
      <c r="H822">
        <f t="shared" si="12"/>
        <v>3073.2000000000003</v>
      </c>
    </row>
    <row r="823" spans="1:8">
      <c r="A823" s="2">
        <v>822</v>
      </c>
      <c r="B823" s="2" t="s">
        <v>62</v>
      </c>
      <c r="C823" s="2" t="s">
        <v>22</v>
      </c>
      <c r="D823" s="2">
        <v>11</v>
      </c>
      <c r="E823" s="3">
        <v>70215</v>
      </c>
      <c r="F823" s="2" t="s">
        <v>17</v>
      </c>
      <c r="G823" s="2" t="s">
        <v>26</v>
      </c>
      <c r="H823">
        <f t="shared" si="12"/>
        <v>3510.75</v>
      </c>
    </row>
    <row r="824" spans="1:8">
      <c r="A824" s="2">
        <v>823</v>
      </c>
      <c r="B824" s="2" t="s">
        <v>7</v>
      </c>
      <c r="C824" s="2" t="s">
        <v>8</v>
      </c>
      <c r="D824" s="2">
        <v>7</v>
      </c>
      <c r="E824" s="3">
        <v>64931</v>
      </c>
      <c r="F824" s="2" t="s">
        <v>25</v>
      </c>
      <c r="G824" s="2" t="s">
        <v>14</v>
      </c>
      <c r="H824">
        <f t="shared" si="12"/>
        <v>3246.55</v>
      </c>
    </row>
    <row r="825" spans="1:8">
      <c r="A825" s="2">
        <v>824</v>
      </c>
      <c r="B825" s="2" t="s">
        <v>42</v>
      </c>
      <c r="C825" s="2" t="s">
        <v>12</v>
      </c>
      <c r="D825" s="2">
        <v>16</v>
      </c>
      <c r="E825" s="3">
        <v>55840</v>
      </c>
      <c r="F825" s="2" t="s">
        <v>13</v>
      </c>
      <c r="G825" s="2" t="s">
        <v>10</v>
      </c>
      <c r="H825">
        <f t="shared" si="12"/>
        <v>2792</v>
      </c>
    </row>
    <row r="826" spans="1:8">
      <c r="A826" s="2">
        <v>825</v>
      </c>
      <c r="B826" s="2" t="s">
        <v>65</v>
      </c>
      <c r="C826" s="2" t="s">
        <v>12</v>
      </c>
      <c r="D826" s="2">
        <v>43</v>
      </c>
      <c r="E826" s="3">
        <v>35956</v>
      </c>
      <c r="F826" s="2" t="s">
        <v>9</v>
      </c>
      <c r="G826" s="2" t="s">
        <v>23</v>
      </c>
      <c r="H826">
        <f t="shared" si="12"/>
        <v>1797.8000000000002</v>
      </c>
    </row>
    <row r="827" spans="1:8">
      <c r="A827" s="2">
        <v>826</v>
      </c>
      <c r="B827" s="2" t="s">
        <v>75</v>
      </c>
      <c r="C827" s="2" t="s">
        <v>16</v>
      </c>
      <c r="D827" s="2">
        <v>16</v>
      </c>
      <c r="E827" s="3">
        <v>71884</v>
      </c>
      <c r="F827" s="2" t="s">
        <v>9</v>
      </c>
      <c r="G827" s="2" t="s">
        <v>14</v>
      </c>
      <c r="H827">
        <f t="shared" si="12"/>
        <v>3594.2000000000003</v>
      </c>
    </row>
    <row r="828" spans="1:8">
      <c r="A828" s="2">
        <v>827</v>
      </c>
      <c r="B828" s="2" t="s">
        <v>74</v>
      </c>
      <c r="C828" s="2" t="s">
        <v>8</v>
      </c>
      <c r="D828" s="2">
        <v>18</v>
      </c>
      <c r="E828" s="3">
        <v>42087</v>
      </c>
      <c r="F828" s="2" t="s">
        <v>25</v>
      </c>
      <c r="G828" s="2" t="s">
        <v>29</v>
      </c>
      <c r="H828">
        <f t="shared" si="12"/>
        <v>2104.35</v>
      </c>
    </row>
    <row r="829" spans="1:8">
      <c r="A829" s="2">
        <v>828</v>
      </c>
      <c r="B829" s="2" t="s">
        <v>33</v>
      </c>
      <c r="C829" s="2" t="s">
        <v>12</v>
      </c>
      <c r="D829" s="2">
        <v>35</v>
      </c>
      <c r="E829" s="3">
        <v>34601</v>
      </c>
      <c r="F829" s="2" t="s">
        <v>25</v>
      </c>
      <c r="G829" s="2" t="s">
        <v>26</v>
      </c>
      <c r="H829">
        <f t="shared" si="12"/>
        <v>1730.0500000000002</v>
      </c>
    </row>
    <row r="830" spans="1:8">
      <c r="A830" s="2">
        <v>829</v>
      </c>
      <c r="B830" s="2" t="s">
        <v>63</v>
      </c>
      <c r="C830" s="2" t="s">
        <v>12</v>
      </c>
      <c r="D830" s="2">
        <v>48</v>
      </c>
      <c r="E830" s="3">
        <v>33400</v>
      </c>
      <c r="F830" s="2" t="s">
        <v>32</v>
      </c>
      <c r="G830" s="2" t="s">
        <v>26</v>
      </c>
      <c r="H830">
        <f t="shared" si="12"/>
        <v>1670</v>
      </c>
    </row>
    <row r="831" spans="1:8">
      <c r="A831" s="2">
        <v>830</v>
      </c>
      <c r="B831" s="2" t="s">
        <v>33</v>
      </c>
      <c r="C831" s="2" t="s">
        <v>16</v>
      </c>
      <c r="D831" s="2">
        <v>4</v>
      </c>
      <c r="E831" s="3">
        <v>76499</v>
      </c>
      <c r="F831" s="2" t="s">
        <v>32</v>
      </c>
      <c r="G831" s="2" t="s">
        <v>29</v>
      </c>
      <c r="H831">
        <f t="shared" si="12"/>
        <v>3824.9500000000003</v>
      </c>
    </row>
    <row r="832" spans="1:8">
      <c r="A832" s="2">
        <v>831</v>
      </c>
      <c r="B832" s="2" t="s">
        <v>42</v>
      </c>
      <c r="C832" s="2" t="s">
        <v>12</v>
      </c>
      <c r="D832" s="2">
        <v>49</v>
      </c>
      <c r="E832" s="3">
        <v>40602</v>
      </c>
      <c r="F832" s="2" t="s">
        <v>38</v>
      </c>
      <c r="G832" s="2" t="s">
        <v>14</v>
      </c>
      <c r="H832">
        <f t="shared" si="12"/>
        <v>2030.1000000000001</v>
      </c>
    </row>
    <row r="833" spans="1:8">
      <c r="A833" s="2">
        <v>832</v>
      </c>
      <c r="B833" s="2" t="s">
        <v>30</v>
      </c>
      <c r="C833" s="2" t="s">
        <v>22</v>
      </c>
      <c r="D833" s="2">
        <v>15</v>
      </c>
      <c r="E833" s="3">
        <v>72557</v>
      </c>
      <c r="F833" s="2" t="s">
        <v>13</v>
      </c>
      <c r="G833" s="2" t="s">
        <v>29</v>
      </c>
      <c r="H833">
        <f t="shared" si="12"/>
        <v>3627.8500000000004</v>
      </c>
    </row>
    <row r="834" spans="1:8">
      <c r="A834" s="2">
        <v>833</v>
      </c>
      <c r="B834" s="2" t="s">
        <v>34</v>
      </c>
      <c r="C834" s="2" t="s">
        <v>8</v>
      </c>
      <c r="D834" s="2">
        <v>37</v>
      </c>
      <c r="E834" s="3">
        <v>56658</v>
      </c>
      <c r="F834" s="2" t="s">
        <v>38</v>
      </c>
      <c r="G834" s="2" t="s">
        <v>26</v>
      </c>
      <c r="H834">
        <f t="shared" si="12"/>
        <v>2832.9</v>
      </c>
    </row>
    <row r="835" spans="1:8">
      <c r="A835" s="2">
        <v>834</v>
      </c>
      <c r="B835" s="2" t="s">
        <v>88</v>
      </c>
      <c r="C835" s="2" t="s">
        <v>16</v>
      </c>
      <c r="D835" s="2">
        <v>25</v>
      </c>
      <c r="E835" s="3">
        <v>82009</v>
      </c>
      <c r="F835" s="2" t="s">
        <v>28</v>
      </c>
      <c r="G835" s="2" t="s">
        <v>14</v>
      </c>
      <c r="H835">
        <f t="shared" ref="H835:H898" si="13">E835*5%</f>
        <v>4100.45</v>
      </c>
    </row>
    <row r="836" spans="1:8">
      <c r="A836" s="2">
        <v>835</v>
      </c>
      <c r="B836" s="2" t="s">
        <v>88</v>
      </c>
      <c r="C836" s="2" t="s">
        <v>22</v>
      </c>
      <c r="D836" s="2">
        <v>23</v>
      </c>
      <c r="E836" s="3">
        <v>41515</v>
      </c>
      <c r="F836" s="2" t="s">
        <v>13</v>
      </c>
      <c r="G836" s="2" t="s">
        <v>18</v>
      </c>
      <c r="H836">
        <f t="shared" si="13"/>
        <v>2075.75</v>
      </c>
    </row>
    <row r="837" spans="1:8">
      <c r="A837" s="2">
        <v>836</v>
      </c>
      <c r="B837" s="2" t="s">
        <v>70</v>
      </c>
      <c r="C837" s="2" t="s">
        <v>22</v>
      </c>
      <c r="D837" s="2">
        <v>12</v>
      </c>
      <c r="E837" s="3">
        <v>61309</v>
      </c>
      <c r="F837" s="2" t="s">
        <v>32</v>
      </c>
      <c r="G837" s="2" t="s">
        <v>14</v>
      </c>
      <c r="H837">
        <f t="shared" si="13"/>
        <v>3065.4500000000003</v>
      </c>
    </row>
    <row r="838" spans="1:8">
      <c r="A838" s="2">
        <v>837</v>
      </c>
      <c r="B838" s="2" t="s">
        <v>33</v>
      </c>
      <c r="C838" s="2" t="s">
        <v>8</v>
      </c>
      <c r="D838" s="2">
        <v>12</v>
      </c>
      <c r="E838" s="3">
        <v>69282</v>
      </c>
      <c r="F838" s="2" t="s">
        <v>32</v>
      </c>
      <c r="G838" s="2" t="s">
        <v>10</v>
      </c>
      <c r="H838">
        <f t="shared" si="13"/>
        <v>3464.1000000000004</v>
      </c>
    </row>
    <row r="839" spans="1:8">
      <c r="A839" s="2">
        <v>838</v>
      </c>
      <c r="B839" s="2" t="s">
        <v>79</v>
      </c>
      <c r="C839" s="2" t="s">
        <v>16</v>
      </c>
      <c r="D839" s="2">
        <v>16</v>
      </c>
      <c r="E839" s="3">
        <v>94534</v>
      </c>
      <c r="F839" s="2" t="s">
        <v>32</v>
      </c>
      <c r="G839" s="2" t="s">
        <v>23</v>
      </c>
      <c r="H839">
        <f t="shared" si="13"/>
        <v>4726.7</v>
      </c>
    </row>
    <row r="840" spans="1:8">
      <c r="A840" s="2">
        <v>839</v>
      </c>
      <c r="B840" s="2" t="s">
        <v>15</v>
      </c>
      <c r="C840" s="2" t="s">
        <v>12</v>
      </c>
      <c r="D840" s="2">
        <v>38</v>
      </c>
      <c r="E840" s="3">
        <v>97526</v>
      </c>
      <c r="F840" s="2" t="s">
        <v>20</v>
      </c>
      <c r="G840" s="2" t="s">
        <v>29</v>
      </c>
      <c r="H840">
        <f t="shared" si="13"/>
        <v>4876.3</v>
      </c>
    </row>
    <row r="841" spans="1:8">
      <c r="A841" s="2">
        <v>840</v>
      </c>
      <c r="B841" s="2" t="s">
        <v>90</v>
      </c>
      <c r="C841" s="2" t="s">
        <v>16</v>
      </c>
      <c r="D841" s="2">
        <v>21</v>
      </c>
      <c r="E841" s="3">
        <v>36028</v>
      </c>
      <c r="F841" s="2" t="s">
        <v>25</v>
      </c>
      <c r="G841" s="2" t="s">
        <v>23</v>
      </c>
      <c r="H841">
        <f t="shared" si="13"/>
        <v>1801.4</v>
      </c>
    </row>
    <row r="842" spans="1:8">
      <c r="A842" s="2">
        <v>841</v>
      </c>
      <c r="B842" s="2" t="s">
        <v>71</v>
      </c>
      <c r="C842" s="2" t="s">
        <v>12</v>
      </c>
      <c r="D842" s="2">
        <v>48</v>
      </c>
      <c r="E842" s="3">
        <v>84645</v>
      </c>
      <c r="F842" s="2" t="s">
        <v>9</v>
      </c>
      <c r="G842" s="2" t="s">
        <v>14</v>
      </c>
      <c r="H842">
        <f t="shared" si="13"/>
        <v>4232.25</v>
      </c>
    </row>
    <row r="843" spans="1:8">
      <c r="A843" s="2">
        <v>842</v>
      </c>
      <c r="B843" s="2" t="s">
        <v>36</v>
      </c>
      <c r="C843" s="2" t="s">
        <v>8</v>
      </c>
      <c r="D843" s="2">
        <v>45</v>
      </c>
      <c r="E843" s="3">
        <v>27846</v>
      </c>
      <c r="F843" s="2" t="s">
        <v>9</v>
      </c>
      <c r="G843" s="2" t="s">
        <v>14</v>
      </c>
      <c r="H843">
        <f t="shared" si="13"/>
        <v>1392.3000000000002</v>
      </c>
    </row>
    <row r="844" spans="1:8">
      <c r="A844" s="2">
        <v>843</v>
      </c>
      <c r="B844" s="2" t="s">
        <v>54</v>
      </c>
      <c r="C844" s="2" t="s">
        <v>8</v>
      </c>
      <c r="D844" s="2">
        <v>23</v>
      </c>
      <c r="E844" s="3">
        <v>33076</v>
      </c>
      <c r="F844" s="2" t="s">
        <v>17</v>
      </c>
      <c r="G844" s="2" t="s">
        <v>14</v>
      </c>
      <c r="H844">
        <f t="shared" si="13"/>
        <v>1653.8000000000002</v>
      </c>
    </row>
    <row r="845" spans="1:8">
      <c r="A845" s="2">
        <v>844</v>
      </c>
      <c r="B845" s="2" t="s">
        <v>7</v>
      </c>
      <c r="C845" s="2" t="s">
        <v>22</v>
      </c>
      <c r="D845" s="2">
        <v>38</v>
      </c>
      <c r="E845" s="3">
        <v>87993</v>
      </c>
      <c r="F845" s="2" t="s">
        <v>9</v>
      </c>
      <c r="G845" s="2" t="s">
        <v>10</v>
      </c>
      <c r="H845">
        <f t="shared" si="13"/>
        <v>4399.6500000000005</v>
      </c>
    </row>
    <row r="846" spans="1:8">
      <c r="A846" s="2">
        <v>845</v>
      </c>
      <c r="B846" s="2" t="s">
        <v>42</v>
      </c>
      <c r="C846" s="2" t="s">
        <v>22</v>
      </c>
      <c r="D846" s="2">
        <v>2</v>
      </c>
      <c r="E846" s="3">
        <v>65998</v>
      </c>
      <c r="F846" s="2" t="s">
        <v>32</v>
      </c>
      <c r="G846" s="2" t="s">
        <v>23</v>
      </c>
      <c r="H846">
        <f t="shared" si="13"/>
        <v>3299.9</v>
      </c>
    </row>
    <row r="847" spans="1:8">
      <c r="A847" s="2">
        <v>846</v>
      </c>
      <c r="B847" s="2" t="s">
        <v>21</v>
      </c>
      <c r="C847" s="2" t="s">
        <v>22</v>
      </c>
      <c r="D847" s="2">
        <v>46</v>
      </c>
      <c r="E847" s="3">
        <v>31641</v>
      </c>
      <c r="F847" s="2" t="s">
        <v>13</v>
      </c>
      <c r="G847" s="2" t="s">
        <v>23</v>
      </c>
      <c r="H847">
        <f t="shared" si="13"/>
        <v>1582.0500000000002</v>
      </c>
    </row>
    <row r="848" spans="1:8">
      <c r="A848" s="2">
        <v>847</v>
      </c>
      <c r="B848" s="2" t="s">
        <v>49</v>
      </c>
      <c r="C848" s="2" t="s">
        <v>8</v>
      </c>
      <c r="D848" s="2">
        <v>45</v>
      </c>
      <c r="E848" s="3">
        <v>50629</v>
      </c>
      <c r="F848" s="2" t="s">
        <v>13</v>
      </c>
      <c r="G848" s="2" t="s">
        <v>29</v>
      </c>
      <c r="H848">
        <f t="shared" si="13"/>
        <v>2531.4500000000003</v>
      </c>
    </row>
    <row r="849" spans="1:8">
      <c r="A849" s="2">
        <v>848</v>
      </c>
      <c r="B849" s="2" t="s">
        <v>31</v>
      </c>
      <c r="C849" s="2" t="s">
        <v>12</v>
      </c>
      <c r="D849" s="2">
        <v>23</v>
      </c>
      <c r="E849" s="3">
        <v>97702</v>
      </c>
      <c r="F849" s="2" t="s">
        <v>38</v>
      </c>
      <c r="G849" s="2" t="s">
        <v>14</v>
      </c>
      <c r="H849">
        <f t="shared" si="13"/>
        <v>4885.1000000000004</v>
      </c>
    </row>
    <row r="850" spans="1:8">
      <c r="A850" s="2">
        <v>849</v>
      </c>
      <c r="B850" s="2" t="s">
        <v>72</v>
      </c>
      <c r="C850" s="2" t="s">
        <v>8</v>
      </c>
      <c r="D850" s="2">
        <v>37</v>
      </c>
      <c r="E850" s="3">
        <v>30605</v>
      </c>
      <c r="F850" s="2" t="s">
        <v>13</v>
      </c>
      <c r="G850" s="2" t="s">
        <v>29</v>
      </c>
      <c r="H850">
        <f t="shared" si="13"/>
        <v>1530.25</v>
      </c>
    </row>
    <row r="851" spans="1:8">
      <c r="A851" s="2">
        <v>850</v>
      </c>
      <c r="B851" s="2" t="s">
        <v>42</v>
      </c>
      <c r="C851" s="2" t="s">
        <v>8</v>
      </c>
      <c r="D851" s="2">
        <v>37</v>
      </c>
      <c r="E851" s="3">
        <v>71706</v>
      </c>
      <c r="F851" s="2" t="s">
        <v>17</v>
      </c>
      <c r="G851" s="2" t="s">
        <v>10</v>
      </c>
      <c r="H851">
        <f t="shared" si="13"/>
        <v>3585.3</v>
      </c>
    </row>
    <row r="852" spans="1:8">
      <c r="A852" s="2">
        <v>851</v>
      </c>
      <c r="B852" s="2" t="s">
        <v>50</v>
      </c>
      <c r="C852" s="2" t="s">
        <v>22</v>
      </c>
      <c r="D852" s="2">
        <v>10</v>
      </c>
      <c r="E852" s="3">
        <v>86134</v>
      </c>
      <c r="F852" s="2" t="s">
        <v>13</v>
      </c>
      <c r="G852" s="2" t="s">
        <v>18</v>
      </c>
      <c r="H852">
        <f t="shared" si="13"/>
        <v>4306.7</v>
      </c>
    </row>
    <row r="853" spans="1:8">
      <c r="A853" s="2">
        <v>852</v>
      </c>
      <c r="B853" s="2" t="s">
        <v>57</v>
      </c>
      <c r="C853" s="2" t="s">
        <v>16</v>
      </c>
      <c r="D853" s="2">
        <v>37</v>
      </c>
      <c r="E853" s="3">
        <v>42692</v>
      </c>
      <c r="F853" s="2" t="s">
        <v>38</v>
      </c>
      <c r="G853" s="2" t="s">
        <v>26</v>
      </c>
      <c r="H853">
        <f t="shared" si="13"/>
        <v>2134.6</v>
      </c>
    </row>
    <row r="854" spans="1:8">
      <c r="A854" s="2">
        <v>853</v>
      </c>
      <c r="B854" s="2" t="s">
        <v>7</v>
      </c>
      <c r="C854" s="2" t="s">
        <v>22</v>
      </c>
      <c r="D854" s="2">
        <v>13</v>
      </c>
      <c r="E854" s="3">
        <v>95613</v>
      </c>
      <c r="F854" s="2" t="s">
        <v>20</v>
      </c>
      <c r="G854" s="2" t="s">
        <v>26</v>
      </c>
      <c r="H854">
        <f t="shared" si="13"/>
        <v>4780.6500000000005</v>
      </c>
    </row>
    <row r="855" spans="1:8">
      <c r="A855" s="2">
        <v>854</v>
      </c>
      <c r="B855" s="2" t="s">
        <v>83</v>
      </c>
      <c r="C855" s="2" t="s">
        <v>16</v>
      </c>
      <c r="D855" s="2">
        <v>32</v>
      </c>
      <c r="E855" s="3">
        <v>26167</v>
      </c>
      <c r="F855" s="2" t="s">
        <v>9</v>
      </c>
      <c r="G855" s="2" t="s">
        <v>10</v>
      </c>
      <c r="H855">
        <f t="shared" si="13"/>
        <v>1308.3500000000001</v>
      </c>
    </row>
    <row r="856" spans="1:8">
      <c r="A856" s="2">
        <v>855</v>
      </c>
      <c r="B856" s="2" t="s">
        <v>35</v>
      </c>
      <c r="C856" s="2" t="s">
        <v>12</v>
      </c>
      <c r="D856" s="2">
        <v>35</v>
      </c>
      <c r="E856" s="3">
        <v>43670</v>
      </c>
      <c r="F856" s="2" t="s">
        <v>9</v>
      </c>
      <c r="G856" s="2" t="s">
        <v>18</v>
      </c>
      <c r="H856">
        <f t="shared" si="13"/>
        <v>2183.5</v>
      </c>
    </row>
    <row r="857" spans="1:8">
      <c r="A857" s="2">
        <v>856</v>
      </c>
      <c r="B857" s="2" t="s">
        <v>74</v>
      </c>
      <c r="C857" s="2" t="s">
        <v>12</v>
      </c>
      <c r="D857" s="2">
        <v>20</v>
      </c>
      <c r="E857" s="3">
        <v>96717</v>
      </c>
      <c r="F857" s="2" t="s">
        <v>38</v>
      </c>
      <c r="G857" s="2" t="s">
        <v>14</v>
      </c>
      <c r="H857">
        <f t="shared" si="13"/>
        <v>4835.8500000000004</v>
      </c>
    </row>
    <row r="858" spans="1:8">
      <c r="A858" s="2">
        <v>857</v>
      </c>
      <c r="B858" s="2" t="s">
        <v>56</v>
      </c>
      <c r="C858" s="2" t="s">
        <v>12</v>
      </c>
      <c r="D858" s="2">
        <v>12</v>
      </c>
      <c r="E858" s="3">
        <v>52258</v>
      </c>
      <c r="F858" s="2" t="s">
        <v>32</v>
      </c>
      <c r="G858" s="2" t="s">
        <v>26</v>
      </c>
      <c r="H858">
        <f t="shared" si="13"/>
        <v>2612.9</v>
      </c>
    </row>
    <row r="859" spans="1:8">
      <c r="A859" s="2">
        <v>858</v>
      </c>
      <c r="B859" s="2" t="s">
        <v>90</v>
      </c>
      <c r="C859" s="2" t="s">
        <v>22</v>
      </c>
      <c r="D859" s="2">
        <v>32</v>
      </c>
      <c r="E859" s="3">
        <v>83772</v>
      </c>
      <c r="F859" s="2" t="s">
        <v>13</v>
      </c>
      <c r="G859" s="2" t="s">
        <v>23</v>
      </c>
      <c r="H859">
        <f t="shared" si="13"/>
        <v>4188.6000000000004</v>
      </c>
    </row>
    <row r="860" spans="1:8">
      <c r="A860" s="2">
        <v>859</v>
      </c>
      <c r="B860" s="2" t="s">
        <v>84</v>
      </c>
      <c r="C860" s="2" t="s">
        <v>22</v>
      </c>
      <c r="D860" s="2">
        <v>3</v>
      </c>
      <c r="E860" s="3">
        <v>27710</v>
      </c>
      <c r="F860" s="2" t="s">
        <v>38</v>
      </c>
      <c r="G860" s="2" t="s">
        <v>23</v>
      </c>
      <c r="H860">
        <f t="shared" si="13"/>
        <v>1385.5</v>
      </c>
    </row>
    <row r="861" spans="1:8">
      <c r="A861" s="2">
        <v>860</v>
      </c>
      <c r="B861" s="2" t="s">
        <v>55</v>
      </c>
      <c r="C861" s="2" t="s">
        <v>22</v>
      </c>
      <c r="D861" s="2">
        <v>6</v>
      </c>
      <c r="E861" s="3">
        <v>65375</v>
      </c>
      <c r="F861" s="2" t="s">
        <v>13</v>
      </c>
      <c r="G861" s="2" t="s">
        <v>29</v>
      </c>
      <c r="H861">
        <f t="shared" si="13"/>
        <v>3268.75</v>
      </c>
    </row>
    <row r="862" spans="1:8">
      <c r="A862" s="2">
        <v>861</v>
      </c>
      <c r="B862" s="2" t="s">
        <v>76</v>
      </c>
      <c r="C862" s="2" t="s">
        <v>8</v>
      </c>
      <c r="D862" s="2">
        <v>4</v>
      </c>
      <c r="E862" s="3">
        <v>79634</v>
      </c>
      <c r="F862" s="2" t="s">
        <v>38</v>
      </c>
      <c r="G862" s="2" t="s">
        <v>18</v>
      </c>
      <c r="H862">
        <f t="shared" si="13"/>
        <v>3981.7000000000003</v>
      </c>
    </row>
    <row r="863" spans="1:8">
      <c r="A863" s="2">
        <v>862</v>
      </c>
      <c r="B863" s="2" t="s">
        <v>42</v>
      </c>
      <c r="C863" s="2" t="s">
        <v>22</v>
      </c>
      <c r="D863" s="2">
        <v>15</v>
      </c>
      <c r="E863" s="3">
        <v>57786</v>
      </c>
      <c r="F863" s="2" t="s">
        <v>32</v>
      </c>
      <c r="G863" s="2" t="s">
        <v>29</v>
      </c>
      <c r="H863">
        <f t="shared" si="13"/>
        <v>2889.3</v>
      </c>
    </row>
    <row r="864" spans="1:8">
      <c r="A864" s="2">
        <v>863</v>
      </c>
      <c r="B864" s="2" t="s">
        <v>70</v>
      </c>
      <c r="C864" s="2" t="s">
        <v>8</v>
      </c>
      <c r="D864" s="2">
        <v>39</v>
      </c>
      <c r="E864" s="3">
        <v>82534</v>
      </c>
      <c r="F864" s="2" t="s">
        <v>28</v>
      </c>
      <c r="G864" s="2" t="s">
        <v>14</v>
      </c>
      <c r="H864">
        <f t="shared" si="13"/>
        <v>4126.7</v>
      </c>
    </row>
    <row r="865" spans="1:8">
      <c r="A865" s="2">
        <v>864</v>
      </c>
      <c r="B865" s="2" t="s">
        <v>62</v>
      </c>
      <c r="C865" s="2" t="s">
        <v>12</v>
      </c>
      <c r="D865" s="2">
        <v>15</v>
      </c>
      <c r="E865" s="3">
        <v>77575</v>
      </c>
      <c r="F865" s="2" t="s">
        <v>9</v>
      </c>
      <c r="G865" s="2" t="s">
        <v>23</v>
      </c>
      <c r="H865">
        <f t="shared" si="13"/>
        <v>3878.75</v>
      </c>
    </row>
    <row r="866" spans="1:8">
      <c r="A866" s="2">
        <v>865</v>
      </c>
      <c r="B866" s="2" t="s">
        <v>43</v>
      </c>
      <c r="C866" s="2" t="s">
        <v>22</v>
      </c>
      <c r="D866" s="2">
        <v>2</v>
      </c>
      <c r="E866" s="3">
        <v>94671</v>
      </c>
      <c r="F866" s="2" t="s">
        <v>13</v>
      </c>
      <c r="G866" s="2" t="s">
        <v>29</v>
      </c>
      <c r="H866">
        <f t="shared" si="13"/>
        <v>4733.55</v>
      </c>
    </row>
    <row r="867" spans="1:8">
      <c r="A867" s="2">
        <v>866</v>
      </c>
      <c r="B867" s="2" t="s">
        <v>7</v>
      </c>
      <c r="C867" s="2" t="s">
        <v>8</v>
      </c>
      <c r="D867" s="2">
        <v>34</v>
      </c>
      <c r="E867" s="3">
        <v>48137</v>
      </c>
      <c r="F867" s="2" t="s">
        <v>28</v>
      </c>
      <c r="G867" s="2" t="s">
        <v>18</v>
      </c>
      <c r="H867">
        <f t="shared" si="13"/>
        <v>2406.85</v>
      </c>
    </row>
    <row r="868" spans="1:8">
      <c r="A868" s="2">
        <v>867</v>
      </c>
      <c r="B868" s="2" t="s">
        <v>80</v>
      </c>
      <c r="C868" s="2" t="s">
        <v>12</v>
      </c>
      <c r="D868" s="2">
        <v>31</v>
      </c>
      <c r="E868" s="3">
        <v>28199</v>
      </c>
      <c r="F868" s="2" t="s">
        <v>28</v>
      </c>
      <c r="G868" s="2" t="s">
        <v>14</v>
      </c>
      <c r="H868">
        <f t="shared" si="13"/>
        <v>1409.95</v>
      </c>
    </row>
    <row r="869" spans="1:8">
      <c r="A869" s="2">
        <v>868</v>
      </c>
      <c r="B869" s="2" t="s">
        <v>70</v>
      </c>
      <c r="C869" s="2" t="s">
        <v>12</v>
      </c>
      <c r="D869" s="2">
        <v>1</v>
      </c>
      <c r="E869" s="3">
        <v>65557</v>
      </c>
      <c r="F869" s="2" t="s">
        <v>9</v>
      </c>
      <c r="G869" s="2" t="s">
        <v>14</v>
      </c>
      <c r="H869">
        <f t="shared" si="13"/>
        <v>3277.8500000000004</v>
      </c>
    </row>
    <row r="870" spans="1:8">
      <c r="A870" s="2">
        <v>869</v>
      </c>
      <c r="B870" s="2" t="s">
        <v>93</v>
      </c>
      <c r="C870" s="2" t="s">
        <v>22</v>
      </c>
      <c r="D870" s="2">
        <v>22</v>
      </c>
      <c r="E870" s="3">
        <v>84528</v>
      </c>
      <c r="F870" s="2" t="s">
        <v>25</v>
      </c>
      <c r="G870" s="2" t="s">
        <v>18</v>
      </c>
      <c r="H870">
        <f t="shared" si="13"/>
        <v>4226.4000000000005</v>
      </c>
    </row>
    <row r="871" spans="1:8">
      <c r="A871" s="2">
        <v>870</v>
      </c>
      <c r="B871" s="2" t="s">
        <v>66</v>
      </c>
      <c r="C871" s="2" t="s">
        <v>16</v>
      </c>
      <c r="D871" s="2">
        <v>40</v>
      </c>
      <c r="E871" s="3">
        <v>72159</v>
      </c>
      <c r="F871" s="2" t="s">
        <v>13</v>
      </c>
      <c r="G871" s="2" t="s">
        <v>29</v>
      </c>
      <c r="H871">
        <f t="shared" si="13"/>
        <v>3607.9500000000003</v>
      </c>
    </row>
    <row r="872" spans="1:8">
      <c r="A872" s="2">
        <v>871</v>
      </c>
      <c r="B872" s="2" t="s">
        <v>79</v>
      </c>
      <c r="C872" s="2" t="s">
        <v>16</v>
      </c>
      <c r="D872" s="2">
        <v>13</v>
      </c>
      <c r="E872" s="3">
        <v>77908</v>
      </c>
      <c r="F872" s="2" t="s">
        <v>28</v>
      </c>
      <c r="G872" s="2" t="s">
        <v>10</v>
      </c>
      <c r="H872">
        <f t="shared" si="13"/>
        <v>3895.4</v>
      </c>
    </row>
    <row r="873" spans="1:8">
      <c r="A873" s="2">
        <v>872</v>
      </c>
      <c r="B873" s="2" t="s">
        <v>7</v>
      </c>
      <c r="C873" s="2" t="s">
        <v>12</v>
      </c>
      <c r="D873" s="2">
        <v>9</v>
      </c>
      <c r="E873" s="3">
        <v>93756</v>
      </c>
      <c r="F873" s="2" t="s">
        <v>38</v>
      </c>
      <c r="G873" s="2" t="s">
        <v>29</v>
      </c>
      <c r="H873">
        <f t="shared" si="13"/>
        <v>4687.8</v>
      </c>
    </row>
    <row r="874" spans="1:8">
      <c r="A874" s="2">
        <v>873</v>
      </c>
      <c r="B874" s="2" t="s">
        <v>81</v>
      </c>
      <c r="C874" s="2" t="s">
        <v>16</v>
      </c>
      <c r="D874" s="2">
        <v>22</v>
      </c>
      <c r="E874" s="3">
        <v>25260</v>
      </c>
      <c r="F874" s="2" t="s">
        <v>25</v>
      </c>
      <c r="G874" s="2" t="s">
        <v>26</v>
      </c>
      <c r="H874">
        <f t="shared" si="13"/>
        <v>1263</v>
      </c>
    </row>
    <row r="875" spans="1:8">
      <c r="A875" s="2">
        <v>874</v>
      </c>
      <c r="B875" s="2" t="s">
        <v>42</v>
      </c>
      <c r="C875" s="2" t="s">
        <v>16</v>
      </c>
      <c r="D875" s="2">
        <v>46</v>
      </c>
      <c r="E875" s="3">
        <v>89726</v>
      </c>
      <c r="F875" s="2" t="s">
        <v>9</v>
      </c>
      <c r="G875" s="2" t="s">
        <v>18</v>
      </c>
      <c r="H875">
        <f t="shared" si="13"/>
        <v>4486.3</v>
      </c>
    </row>
    <row r="876" spans="1:8">
      <c r="A876" s="2">
        <v>875</v>
      </c>
      <c r="B876" s="2" t="s">
        <v>72</v>
      </c>
      <c r="C876" s="2" t="s">
        <v>8</v>
      </c>
      <c r="D876" s="2">
        <v>12</v>
      </c>
      <c r="E876" s="3">
        <v>27062</v>
      </c>
      <c r="F876" s="2" t="s">
        <v>9</v>
      </c>
      <c r="G876" s="2" t="s">
        <v>23</v>
      </c>
      <c r="H876">
        <f t="shared" si="13"/>
        <v>1353.1000000000001</v>
      </c>
    </row>
    <row r="877" spans="1:8">
      <c r="A877" s="2">
        <v>876</v>
      </c>
      <c r="B877" s="2" t="s">
        <v>44</v>
      </c>
      <c r="C877" s="2" t="s">
        <v>8</v>
      </c>
      <c r="D877" s="2">
        <v>21</v>
      </c>
      <c r="E877" s="3">
        <v>86202</v>
      </c>
      <c r="F877" s="2" t="s">
        <v>20</v>
      </c>
      <c r="G877" s="2" t="s">
        <v>29</v>
      </c>
      <c r="H877">
        <f t="shared" si="13"/>
        <v>4310.1000000000004</v>
      </c>
    </row>
    <row r="878" spans="1:8">
      <c r="A878" s="2">
        <v>877</v>
      </c>
      <c r="B878" s="2" t="s">
        <v>91</v>
      </c>
      <c r="C878" s="2" t="s">
        <v>8</v>
      </c>
      <c r="D878" s="2">
        <v>4</v>
      </c>
      <c r="E878" s="3">
        <v>57244</v>
      </c>
      <c r="F878" s="2" t="s">
        <v>20</v>
      </c>
      <c r="G878" s="2" t="s">
        <v>10</v>
      </c>
      <c r="H878">
        <f t="shared" si="13"/>
        <v>2862.2000000000003</v>
      </c>
    </row>
    <row r="879" spans="1:8">
      <c r="A879" s="2">
        <v>878</v>
      </c>
      <c r="B879" s="2" t="s">
        <v>60</v>
      </c>
      <c r="C879" s="2" t="s">
        <v>12</v>
      </c>
      <c r="D879" s="2">
        <v>2</v>
      </c>
      <c r="E879" s="3">
        <v>49256</v>
      </c>
      <c r="F879" s="2" t="s">
        <v>25</v>
      </c>
      <c r="G879" s="2" t="s">
        <v>29</v>
      </c>
      <c r="H879">
        <f t="shared" si="13"/>
        <v>2462.8000000000002</v>
      </c>
    </row>
    <row r="880" spans="1:8">
      <c r="A880" s="2">
        <v>879</v>
      </c>
      <c r="B880" s="2" t="s">
        <v>11</v>
      </c>
      <c r="C880" s="2" t="s">
        <v>16</v>
      </c>
      <c r="D880" s="2">
        <v>10</v>
      </c>
      <c r="E880" s="3">
        <v>99465</v>
      </c>
      <c r="F880" s="2" t="s">
        <v>25</v>
      </c>
      <c r="G880" s="2" t="s">
        <v>23</v>
      </c>
      <c r="H880">
        <f t="shared" si="13"/>
        <v>4973.25</v>
      </c>
    </row>
    <row r="881" spans="1:8">
      <c r="A881" s="2">
        <v>880</v>
      </c>
      <c r="B881" s="2" t="s">
        <v>83</v>
      </c>
      <c r="C881" s="2" t="s">
        <v>22</v>
      </c>
      <c r="D881" s="2">
        <v>38</v>
      </c>
      <c r="E881" s="3">
        <v>43756</v>
      </c>
      <c r="F881" s="2" t="s">
        <v>13</v>
      </c>
      <c r="G881" s="2" t="s">
        <v>14</v>
      </c>
      <c r="H881">
        <f t="shared" si="13"/>
        <v>2187.8000000000002</v>
      </c>
    </row>
    <row r="882" spans="1:8">
      <c r="A882" s="2">
        <v>881</v>
      </c>
      <c r="B882" s="2" t="s">
        <v>15</v>
      </c>
      <c r="C882" s="2" t="s">
        <v>16</v>
      </c>
      <c r="D882" s="2">
        <v>46</v>
      </c>
      <c r="E882" s="3">
        <v>83517</v>
      </c>
      <c r="F882" s="2" t="s">
        <v>13</v>
      </c>
      <c r="G882" s="2" t="s">
        <v>29</v>
      </c>
      <c r="H882">
        <f t="shared" si="13"/>
        <v>4175.8500000000004</v>
      </c>
    </row>
    <row r="883" spans="1:8">
      <c r="A883" s="2">
        <v>882</v>
      </c>
      <c r="B883" s="2" t="s">
        <v>40</v>
      </c>
      <c r="C883" s="2" t="s">
        <v>12</v>
      </c>
      <c r="D883" s="2">
        <v>10</v>
      </c>
      <c r="E883" s="3">
        <v>55851</v>
      </c>
      <c r="F883" s="2" t="s">
        <v>17</v>
      </c>
      <c r="G883" s="2" t="s">
        <v>14</v>
      </c>
      <c r="H883">
        <f t="shared" si="13"/>
        <v>2792.55</v>
      </c>
    </row>
    <row r="884" spans="1:8">
      <c r="A884" s="2">
        <v>883</v>
      </c>
      <c r="B884" s="2" t="s">
        <v>71</v>
      </c>
      <c r="C884" s="2" t="s">
        <v>8</v>
      </c>
      <c r="D884" s="2">
        <v>50</v>
      </c>
      <c r="E884" s="3">
        <v>69731</v>
      </c>
      <c r="F884" s="2" t="s">
        <v>9</v>
      </c>
      <c r="G884" s="2" t="s">
        <v>26</v>
      </c>
      <c r="H884">
        <f t="shared" si="13"/>
        <v>3486.55</v>
      </c>
    </row>
    <row r="885" spans="1:8">
      <c r="A885" s="2">
        <v>884</v>
      </c>
      <c r="B885" s="2" t="s">
        <v>55</v>
      </c>
      <c r="C885" s="2" t="s">
        <v>12</v>
      </c>
      <c r="D885" s="2">
        <v>8</v>
      </c>
      <c r="E885" s="3">
        <v>79867</v>
      </c>
      <c r="F885" s="2" t="s">
        <v>38</v>
      </c>
      <c r="G885" s="2" t="s">
        <v>23</v>
      </c>
      <c r="H885">
        <f t="shared" si="13"/>
        <v>3993.3500000000004</v>
      </c>
    </row>
    <row r="886" spans="1:8">
      <c r="A886" s="2">
        <v>885</v>
      </c>
      <c r="B886" s="2" t="s">
        <v>73</v>
      </c>
      <c r="C886" s="2" t="s">
        <v>8</v>
      </c>
      <c r="D886" s="2">
        <v>34</v>
      </c>
      <c r="E886" s="3">
        <v>68995</v>
      </c>
      <c r="F886" s="2" t="s">
        <v>25</v>
      </c>
      <c r="G886" s="2" t="s">
        <v>10</v>
      </c>
      <c r="H886">
        <f t="shared" si="13"/>
        <v>3449.75</v>
      </c>
    </row>
    <row r="887" spans="1:8">
      <c r="A887" s="2">
        <v>886</v>
      </c>
      <c r="B887" s="2" t="s">
        <v>7</v>
      </c>
      <c r="C887" s="2" t="s">
        <v>12</v>
      </c>
      <c r="D887" s="2">
        <v>24</v>
      </c>
      <c r="E887" s="3">
        <v>41060</v>
      </c>
      <c r="F887" s="2" t="s">
        <v>9</v>
      </c>
      <c r="G887" s="2" t="s">
        <v>29</v>
      </c>
      <c r="H887">
        <f t="shared" si="13"/>
        <v>2053</v>
      </c>
    </row>
    <row r="888" spans="1:8">
      <c r="A888" s="2">
        <v>887</v>
      </c>
      <c r="B888" s="2" t="s">
        <v>73</v>
      </c>
      <c r="C888" s="2" t="s">
        <v>22</v>
      </c>
      <c r="D888" s="2">
        <v>5</v>
      </c>
      <c r="E888" s="3">
        <v>76300</v>
      </c>
      <c r="F888" s="2" t="s">
        <v>32</v>
      </c>
      <c r="G888" s="2" t="s">
        <v>14</v>
      </c>
      <c r="H888">
        <f t="shared" si="13"/>
        <v>3815</v>
      </c>
    </row>
    <row r="889" spans="1:8">
      <c r="A889" s="2">
        <v>888</v>
      </c>
      <c r="B889" s="2" t="s">
        <v>86</v>
      </c>
      <c r="C889" s="2" t="s">
        <v>8</v>
      </c>
      <c r="D889" s="2">
        <v>24</v>
      </c>
      <c r="E889" s="3">
        <v>98219</v>
      </c>
      <c r="F889" s="2" t="s">
        <v>9</v>
      </c>
      <c r="G889" s="2" t="s">
        <v>10</v>
      </c>
      <c r="H889">
        <f t="shared" si="13"/>
        <v>4910.95</v>
      </c>
    </row>
    <row r="890" spans="1:8">
      <c r="A890" s="2">
        <v>889</v>
      </c>
      <c r="B890" s="2" t="s">
        <v>74</v>
      </c>
      <c r="C890" s="2" t="s">
        <v>8</v>
      </c>
      <c r="D890" s="2">
        <v>46</v>
      </c>
      <c r="E890" s="3">
        <v>84765</v>
      </c>
      <c r="F890" s="2" t="s">
        <v>20</v>
      </c>
      <c r="G890" s="2" t="s">
        <v>14</v>
      </c>
      <c r="H890">
        <f t="shared" si="13"/>
        <v>4238.25</v>
      </c>
    </row>
    <row r="891" spans="1:8">
      <c r="A891" s="2">
        <v>890</v>
      </c>
      <c r="B891" s="2" t="s">
        <v>55</v>
      </c>
      <c r="C891" s="2" t="s">
        <v>16</v>
      </c>
      <c r="D891" s="2">
        <v>43</v>
      </c>
      <c r="E891" s="3">
        <v>99143</v>
      </c>
      <c r="F891" s="2" t="s">
        <v>28</v>
      </c>
      <c r="G891" s="2" t="s">
        <v>14</v>
      </c>
      <c r="H891">
        <f t="shared" si="13"/>
        <v>4957.1500000000005</v>
      </c>
    </row>
    <row r="892" spans="1:8">
      <c r="A892" s="2">
        <v>891</v>
      </c>
      <c r="B892" s="2" t="s">
        <v>39</v>
      </c>
      <c r="C892" s="2" t="s">
        <v>12</v>
      </c>
      <c r="D892" s="2">
        <v>26</v>
      </c>
      <c r="E892" s="3">
        <v>58342</v>
      </c>
      <c r="F892" s="2" t="s">
        <v>17</v>
      </c>
      <c r="G892" s="2" t="s">
        <v>14</v>
      </c>
      <c r="H892">
        <f t="shared" si="13"/>
        <v>2917.1000000000004</v>
      </c>
    </row>
    <row r="893" spans="1:8">
      <c r="A893" s="2">
        <v>892</v>
      </c>
      <c r="B893" s="2" t="s">
        <v>81</v>
      </c>
      <c r="C893" s="2" t="s">
        <v>16</v>
      </c>
      <c r="D893" s="2">
        <v>38</v>
      </c>
      <c r="E893" s="3">
        <v>65634</v>
      </c>
      <c r="F893" s="2" t="s">
        <v>25</v>
      </c>
      <c r="G893" s="2" t="s">
        <v>29</v>
      </c>
      <c r="H893">
        <f t="shared" si="13"/>
        <v>3281.7000000000003</v>
      </c>
    </row>
    <row r="894" spans="1:8">
      <c r="A894" s="2">
        <v>893</v>
      </c>
      <c r="B894" s="2" t="s">
        <v>78</v>
      </c>
      <c r="C894" s="2" t="s">
        <v>12</v>
      </c>
      <c r="D894" s="2">
        <v>7</v>
      </c>
      <c r="E894" s="3">
        <v>39724</v>
      </c>
      <c r="F894" s="2" t="s">
        <v>20</v>
      </c>
      <c r="G894" s="2" t="s">
        <v>14</v>
      </c>
      <c r="H894">
        <f t="shared" si="13"/>
        <v>1986.2</v>
      </c>
    </row>
    <row r="895" spans="1:8">
      <c r="A895" s="2">
        <v>894</v>
      </c>
      <c r="B895" s="2" t="s">
        <v>88</v>
      </c>
      <c r="C895" s="2" t="s">
        <v>22</v>
      </c>
      <c r="D895" s="2">
        <v>22</v>
      </c>
      <c r="E895" s="3">
        <v>99854</v>
      </c>
      <c r="F895" s="2" t="s">
        <v>20</v>
      </c>
      <c r="G895" s="2" t="s">
        <v>26</v>
      </c>
      <c r="H895">
        <f t="shared" si="13"/>
        <v>4992.7000000000007</v>
      </c>
    </row>
    <row r="896" spans="1:8">
      <c r="A896" s="2">
        <v>895</v>
      </c>
      <c r="B896" s="2" t="s">
        <v>65</v>
      </c>
      <c r="C896" s="2" t="s">
        <v>16</v>
      </c>
      <c r="D896" s="2">
        <v>20</v>
      </c>
      <c r="E896" s="3">
        <v>93328</v>
      </c>
      <c r="F896" s="2" t="s">
        <v>20</v>
      </c>
      <c r="G896" s="2" t="s">
        <v>26</v>
      </c>
      <c r="H896">
        <f t="shared" si="13"/>
        <v>4666.4000000000005</v>
      </c>
    </row>
    <row r="897" spans="1:8">
      <c r="A897" s="2">
        <v>896</v>
      </c>
      <c r="B897" s="2" t="s">
        <v>93</v>
      </c>
      <c r="C897" s="2" t="s">
        <v>8</v>
      </c>
      <c r="D897" s="2">
        <v>21</v>
      </c>
      <c r="E897" s="3">
        <v>73221</v>
      </c>
      <c r="F897" s="2" t="s">
        <v>9</v>
      </c>
      <c r="G897" s="2" t="s">
        <v>23</v>
      </c>
      <c r="H897">
        <f t="shared" si="13"/>
        <v>3661.05</v>
      </c>
    </row>
    <row r="898" spans="1:8">
      <c r="A898" s="2">
        <v>897</v>
      </c>
      <c r="B898" s="2" t="s">
        <v>11</v>
      </c>
      <c r="C898" s="2" t="s">
        <v>22</v>
      </c>
      <c r="D898" s="2">
        <v>9</v>
      </c>
      <c r="E898" s="3">
        <v>74692</v>
      </c>
      <c r="F898" s="2" t="s">
        <v>17</v>
      </c>
      <c r="G898" s="2" t="s">
        <v>18</v>
      </c>
      <c r="H898">
        <f t="shared" si="13"/>
        <v>3734.6000000000004</v>
      </c>
    </row>
    <row r="899" spans="1:8">
      <c r="A899" s="2">
        <v>898</v>
      </c>
      <c r="B899" s="2" t="s">
        <v>34</v>
      </c>
      <c r="C899" s="2" t="s">
        <v>12</v>
      </c>
      <c r="D899" s="2">
        <v>11</v>
      </c>
      <c r="E899" s="3">
        <v>99155</v>
      </c>
      <c r="F899" s="2" t="s">
        <v>20</v>
      </c>
      <c r="G899" s="2" t="s">
        <v>10</v>
      </c>
      <c r="H899">
        <f t="shared" ref="H899:H962" si="14">E899*5%</f>
        <v>4957.75</v>
      </c>
    </row>
    <row r="900" spans="1:8">
      <c r="A900" s="2">
        <v>899</v>
      </c>
      <c r="B900" s="2" t="s">
        <v>92</v>
      </c>
      <c r="C900" s="2" t="s">
        <v>8</v>
      </c>
      <c r="D900" s="2">
        <v>47</v>
      </c>
      <c r="E900" s="3">
        <v>98613</v>
      </c>
      <c r="F900" s="2" t="s">
        <v>13</v>
      </c>
      <c r="G900" s="2" t="s">
        <v>26</v>
      </c>
      <c r="H900">
        <f t="shared" si="14"/>
        <v>4930.6500000000005</v>
      </c>
    </row>
    <row r="901" spans="1:8">
      <c r="A901" s="2">
        <v>900</v>
      </c>
      <c r="B901" s="2" t="s">
        <v>90</v>
      </c>
      <c r="C901" s="2" t="s">
        <v>12</v>
      </c>
      <c r="D901" s="2">
        <v>28</v>
      </c>
      <c r="E901" s="3">
        <v>41737</v>
      </c>
      <c r="F901" s="2" t="s">
        <v>25</v>
      </c>
      <c r="G901" s="2" t="s">
        <v>10</v>
      </c>
      <c r="H901">
        <f t="shared" si="14"/>
        <v>2086.85</v>
      </c>
    </row>
    <row r="902" spans="1:8">
      <c r="A902" s="2">
        <v>901</v>
      </c>
      <c r="B902" s="2" t="s">
        <v>49</v>
      </c>
      <c r="C902" s="2" t="s">
        <v>8</v>
      </c>
      <c r="D902" s="2">
        <v>41</v>
      </c>
      <c r="E902" s="3">
        <v>41456</v>
      </c>
      <c r="F902" s="2" t="s">
        <v>13</v>
      </c>
      <c r="G902" s="2" t="s">
        <v>26</v>
      </c>
      <c r="H902">
        <f t="shared" si="14"/>
        <v>2072.8000000000002</v>
      </c>
    </row>
    <row r="903" spans="1:8">
      <c r="A903" s="2">
        <v>902</v>
      </c>
      <c r="B903" s="2" t="s">
        <v>89</v>
      </c>
      <c r="C903" s="2" t="s">
        <v>12</v>
      </c>
      <c r="D903" s="2">
        <v>32</v>
      </c>
      <c r="E903" s="3">
        <v>72003</v>
      </c>
      <c r="F903" s="2" t="s">
        <v>13</v>
      </c>
      <c r="G903" s="2" t="s">
        <v>29</v>
      </c>
      <c r="H903">
        <f t="shared" si="14"/>
        <v>3600.15</v>
      </c>
    </row>
    <row r="904" spans="1:8">
      <c r="A904" s="2">
        <v>903</v>
      </c>
      <c r="B904" s="2" t="s">
        <v>7</v>
      </c>
      <c r="C904" s="2" t="s">
        <v>8</v>
      </c>
      <c r="D904" s="2">
        <v>42</v>
      </c>
      <c r="E904" s="3">
        <v>94587</v>
      </c>
      <c r="F904" s="2" t="s">
        <v>38</v>
      </c>
      <c r="G904" s="2" t="s">
        <v>29</v>
      </c>
      <c r="H904">
        <f t="shared" si="14"/>
        <v>4729.3500000000004</v>
      </c>
    </row>
    <row r="905" spans="1:8">
      <c r="A905" s="2">
        <v>904</v>
      </c>
      <c r="B905" s="2" t="s">
        <v>66</v>
      </c>
      <c r="C905" s="2" t="s">
        <v>12</v>
      </c>
      <c r="D905" s="2">
        <v>21</v>
      </c>
      <c r="E905" s="3">
        <v>45541</v>
      </c>
      <c r="F905" s="2" t="s">
        <v>25</v>
      </c>
      <c r="G905" s="2" t="s">
        <v>29</v>
      </c>
      <c r="H905">
        <f t="shared" si="14"/>
        <v>2277.0500000000002</v>
      </c>
    </row>
    <row r="906" spans="1:8">
      <c r="A906" s="2">
        <v>905</v>
      </c>
      <c r="B906" s="2" t="s">
        <v>33</v>
      </c>
      <c r="C906" s="2" t="s">
        <v>16</v>
      </c>
      <c r="D906" s="2">
        <v>12</v>
      </c>
      <c r="E906" s="3">
        <v>33279</v>
      </c>
      <c r="F906" s="2" t="s">
        <v>17</v>
      </c>
      <c r="G906" s="2" t="s">
        <v>26</v>
      </c>
      <c r="H906">
        <f t="shared" si="14"/>
        <v>1663.95</v>
      </c>
    </row>
    <row r="907" spans="1:8">
      <c r="A907" s="2">
        <v>906</v>
      </c>
      <c r="B907" s="2" t="s">
        <v>90</v>
      </c>
      <c r="C907" s="2" t="s">
        <v>8</v>
      </c>
      <c r="D907" s="2">
        <v>46</v>
      </c>
      <c r="E907" s="3">
        <v>49975</v>
      </c>
      <c r="F907" s="2" t="s">
        <v>25</v>
      </c>
      <c r="G907" s="2" t="s">
        <v>18</v>
      </c>
      <c r="H907">
        <f t="shared" si="14"/>
        <v>2498.75</v>
      </c>
    </row>
    <row r="908" spans="1:8">
      <c r="A908" s="2">
        <v>907</v>
      </c>
      <c r="B908" s="2" t="s">
        <v>76</v>
      </c>
      <c r="C908" s="2" t="s">
        <v>8</v>
      </c>
      <c r="D908" s="2">
        <v>36</v>
      </c>
      <c r="E908" s="3">
        <v>61254</v>
      </c>
      <c r="F908" s="2" t="s">
        <v>25</v>
      </c>
      <c r="G908" s="2" t="s">
        <v>23</v>
      </c>
      <c r="H908">
        <f t="shared" si="14"/>
        <v>3062.7000000000003</v>
      </c>
    </row>
    <row r="909" spans="1:8">
      <c r="A909" s="2">
        <v>908</v>
      </c>
      <c r="B909" s="2" t="s">
        <v>44</v>
      </c>
      <c r="C909" s="2" t="s">
        <v>16</v>
      </c>
      <c r="D909" s="2">
        <v>45</v>
      </c>
      <c r="E909" s="3">
        <v>47286</v>
      </c>
      <c r="F909" s="2" t="s">
        <v>25</v>
      </c>
      <c r="G909" s="2" t="s">
        <v>10</v>
      </c>
      <c r="H909">
        <f t="shared" si="14"/>
        <v>2364.3000000000002</v>
      </c>
    </row>
    <row r="910" spans="1:8">
      <c r="A910" s="2">
        <v>909</v>
      </c>
      <c r="B910" s="2" t="s">
        <v>33</v>
      </c>
      <c r="C910" s="2" t="s">
        <v>12</v>
      </c>
      <c r="D910" s="2">
        <v>40</v>
      </c>
      <c r="E910" s="3">
        <v>80513</v>
      </c>
      <c r="F910" s="2" t="s">
        <v>25</v>
      </c>
      <c r="G910" s="2" t="s">
        <v>10</v>
      </c>
      <c r="H910">
        <f t="shared" si="14"/>
        <v>4025.65</v>
      </c>
    </row>
    <row r="911" spans="1:8">
      <c r="A911" s="2">
        <v>910</v>
      </c>
      <c r="B911" s="2" t="s">
        <v>45</v>
      </c>
      <c r="C911" s="2" t="s">
        <v>8</v>
      </c>
      <c r="D911" s="2">
        <v>23</v>
      </c>
      <c r="E911" s="3">
        <v>55350</v>
      </c>
      <c r="F911" s="2" t="s">
        <v>38</v>
      </c>
      <c r="G911" s="2" t="s">
        <v>29</v>
      </c>
      <c r="H911">
        <f t="shared" si="14"/>
        <v>2767.5</v>
      </c>
    </row>
    <row r="912" spans="1:8">
      <c r="A912" s="2">
        <v>911</v>
      </c>
      <c r="B912" s="2" t="s">
        <v>91</v>
      </c>
      <c r="C912" s="2" t="s">
        <v>16</v>
      </c>
      <c r="D912" s="2">
        <v>15</v>
      </c>
      <c r="E912" s="3">
        <v>31143</v>
      </c>
      <c r="F912" s="2" t="s">
        <v>13</v>
      </c>
      <c r="G912" s="2" t="s">
        <v>29</v>
      </c>
      <c r="H912">
        <f t="shared" si="14"/>
        <v>1557.15</v>
      </c>
    </row>
    <row r="913" spans="1:8">
      <c r="A913" s="2">
        <v>912</v>
      </c>
      <c r="B913" s="2" t="s">
        <v>43</v>
      </c>
      <c r="C913" s="2" t="s">
        <v>12</v>
      </c>
      <c r="D913" s="2">
        <v>43</v>
      </c>
      <c r="E913" s="3">
        <v>72631</v>
      </c>
      <c r="F913" s="2" t="s">
        <v>28</v>
      </c>
      <c r="G913" s="2" t="s">
        <v>23</v>
      </c>
      <c r="H913">
        <f t="shared" si="14"/>
        <v>3631.55</v>
      </c>
    </row>
    <row r="914" spans="1:8">
      <c r="A914" s="2">
        <v>913</v>
      </c>
      <c r="B914" s="2" t="s">
        <v>57</v>
      </c>
      <c r="C914" s="2" t="s">
        <v>8</v>
      </c>
      <c r="D914" s="2">
        <v>38</v>
      </c>
      <c r="E914" s="3">
        <v>95527</v>
      </c>
      <c r="F914" s="2" t="s">
        <v>28</v>
      </c>
      <c r="G914" s="2" t="s">
        <v>26</v>
      </c>
      <c r="H914">
        <f t="shared" si="14"/>
        <v>4776.3500000000004</v>
      </c>
    </row>
    <row r="915" spans="1:8">
      <c r="A915" s="2">
        <v>914</v>
      </c>
      <c r="B915" s="2" t="s">
        <v>84</v>
      </c>
      <c r="C915" s="2" t="s">
        <v>8</v>
      </c>
      <c r="D915" s="2">
        <v>12</v>
      </c>
      <c r="E915" s="3">
        <v>94429</v>
      </c>
      <c r="F915" s="2" t="s">
        <v>9</v>
      </c>
      <c r="G915" s="2" t="s">
        <v>14</v>
      </c>
      <c r="H915">
        <f t="shared" si="14"/>
        <v>4721.45</v>
      </c>
    </row>
    <row r="916" spans="1:8">
      <c r="A916" s="2">
        <v>915</v>
      </c>
      <c r="B916" s="2" t="s">
        <v>62</v>
      </c>
      <c r="C916" s="2" t="s">
        <v>12</v>
      </c>
      <c r="D916" s="2">
        <v>25</v>
      </c>
      <c r="E916" s="3">
        <v>97929</v>
      </c>
      <c r="F916" s="2" t="s">
        <v>28</v>
      </c>
      <c r="G916" s="2" t="s">
        <v>23</v>
      </c>
      <c r="H916">
        <f t="shared" si="14"/>
        <v>4896.45</v>
      </c>
    </row>
    <row r="917" spans="1:8">
      <c r="A917" s="2">
        <v>916</v>
      </c>
      <c r="B917" s="2" t="s">
        <v>46</v>
      </c>
      <c r="C917" s="2" t="s">
        <v>16</v>
      </c>
      <c r="D917" s="2">
        <v>20</v>
      </c>
      <c r="E917" s="3">
        <v>25603</v>
      </c>
      <c r="F917" s="2" t="s">
        <v>25</v>
      </c>
      <c r="G917" s="2" t="s">
        <v>29</v>
      </c>
      <c r="H917">
        <f t="shared" si="14"/>
        <v>1280.1500000000001</v>
      </c>
    </row>
    <row r="918" spans="1:8">
      <c r="A918" s="2">
        <v>917</v>
      </c>
      <c r="B918" s="2" t="s">
        <v>63</v>
      </c>
      <c r="C918" s="2" t="s">
        <v>8</v>
      </c>
      <c r="D918" s="2">
        <v>47</v>
      </c>
      <c r="E918" s="3">
        <v>70467</v>
      </c>
      <c r="F918" s="2" t="s">
        <v>20</v>
      </c>
      <c r="G918" s="2" t="s">
        <v>26</v>
      </c>
      <c r="H918">
        <f t="shared" si="14"/>
        <v>3523.3500000000004</v>
      </c>
    </row>
    <row r="919" spans="1:8">
      <c r="A919" s="2">
        <v>918</v>
      </c>
      <c r="B919" s="2" t="s">
        <v>59</v>
      </c>
      <c r="C919" s="2" t="s">
        <v>12</v>
      </c>
      <c r="D919" s="2">
        <v>45</v>
      </c>
      <c r="E919" s="3">
        <v>74838</v>
      </c>
      <c r="F919" s="2" t="s">
        <v>25</v>
      </c>
      <c r="G919" s="2" t="s">
        <v>10</v>
      </c>
      <c r="H919">
        <f t="shared" si="14"/>
        <v>3741.9</v>
      </c>
    </row>
    <row r="920" spans="1:8">
      <c r="A920" s="2">
        <v>919</v>
      </c>
      <c r="B920" s="2" t="s">
        <v>73</v>
      </c>
      <c r="C920" s="2" t="s">
        <v>8</v>
      </c>
      <c r="D920" s="2">
        <v>19</v>
      </c>
      <c r="E920" s="3">
        <v>29134</v>
      </c>
      <c r="F920" s="2" t="s">
        <v>32</v>
      </c>
      <c r="G920" s="2" t="s">
        <v>23</v>
      </c>
      <c r="H920">
        <f t="shared" si="14"/>
        <v>1456.7</v>
      </c>
    </row>
    <row r="921" spans="1:8">
      <c r="A921" s="2">
        <v>920</v>
      </c>
      <c r="B921" s="2" t="s">
        <v>60</v>
      </c>
      <c r="C921" s="2" t="s">
        <v>12</v>
      </c>
      <c r="D921" s="2">
        <v>9</v>
      </c>
      <c r="E921" s="3">
        <v>47299</v>
      </c>
      <c r="F921" s="2" t="s">
        <v>38</v>
      </c>
      <c r="G921" s="2" t="s">
        <v>14</v>
      </c>
      <c r="H921">
        <f t="shared" si="14"/>
        <v>2364.9500000000003</v>
      </c>
    </row>
    <row r="922" spans="1:8">
      <c r="A922" s="2">
        <v>921</v>
      </c>
      <c r="B922" s="2" t="s">
        <v>73</v>
      </c>
      <c r="C922" s="2" t="s">
        <v>8</v>
      </c>
      <c r="D922" s="2">
        <v>12</v>
      </c>
      <c r="E922" s="3">
        <v>58215</v>
      </c>
      <c r="F922" s="2" t="s">
        <v>28</v>
      </c>
      <c r="G922" s="2" t="s">
        <v>26</v>
      </c>
      <c r="H922">
        <f t="shared" si="14"/>
        <v>2910.75</v>
      </c>
    </row>
    <row r="923" spans="1:8">
      <c r="A923" s="2">
        <v>922</v>
      </c>
      <c r="B923" s="2" t="s">
        <v>52</v>
      </c>
      <c r="C923" s="2" t="s">
        <v>22</v>
      </c>
      <c r="D923" s="2">
        <v>47</v>
      </c>
      <c r="E923" s="3">
        <v>77730</v>
      </c>
      <c r="F923" s="2" t="s">
        <v>38</v>
      </c>
      <c r="G923" s="2" t="s">
        <v>18</v>
      </c>
      <c r="H923">
        <f t="shared" si="14"/>
        <v>3886.5</v>
      </c>
    </row>
    <row r="924" spans="1:8">
      <c r="A924" s="2">
        <v>923</v>
      </c>
      <c r="B924" s="2" t="s">
        <v>59</v>
      </c>
      <c r="C924" s="2" t="s">
        <v>16</v>
      </c>
      <c r="D924" s="2">
        <v>1</v>
      </c>
      <c r="E924" s="3">
        <v>87445</v>
      </c>
      <c r="F924" s="2" t="s">
        <v>9</v>
      </c>
      <c r="G924" s="2" t="s">
        <v>18</v>
      </c>
      <c r="H924">
        <f t="shared" si="14"/>
        <v>4372.25</v>
      </c>
    </row>
    <row r="925" spans="1:8">
      <c r="A925" s="2">
        <v>924</v>
      </c>
      <c r="B925" s="2" t="s">
        <v>67</v>
      </c>
      <c r="C925" s="2" t="s">
        <v>16</v>
      </c>
      <c r="D925" s="2">
        <v>45</v>
      </c>
      <c r="E925" s="3">
        <v>34514</v>
      </c>
      <c r="F925" s="2" t="s">
        <v>9</v>
      </c>
      <c r="G925" s="2" t="s">
        <v>10</v>
      </c>
      <c r="H925">
        <f t="shared" si="14"/>
        <v>1725.7</v>
      </c>
    </row>
    <row r="926" spans="1:8">
      <c r="A926" s="2">
        <v>925</v>
      </c>
      <c r="B926" s="2" t="s">
        <v>52</v>
      </c>
      <c r="C926" s="2" t="s">
        <v>22</v>
      </c>
      <c r="D926" s="2">
        <v>37</v>
      </c>
      <c r="E926" s="3">
        <v>82148</v>
      </c>
      <c r="F926" s="2" t="s">
        <v>9</v>
      </c>
      <c r="G926" s="2" t="s">
        <v>14</v>
      </c>
      <c r="H926">
        <f t="shared" si="14"/>
        <v>4107.4000000000005</v>
      </c>
    </row>
    <row r="927" spans="1:8">
      <c r="A927" s="2">
        <v>926</v>
      </c>
      <c r="B927" s="2" t="s">
        <v>7</v>
      </c>
      <c r="C927" s="2" t="s">
        <v>12</v>
      </c>
      <c r="D927" s="2">
        <v>26</v>
      </c>
      <c r="E927" s="3">
        <v>49495</v>
      </c>
      <c r="F927" s="2" t="s">
        <v>38</v>
      </c>
      <c r="G927" s="2" t="s">
        <v>23</v>
      </c>
      <c r="H927">
        <f t="shared" si="14"/>
        <v>2474.75</v>
      </c>
    </row>
    <row r="928" spans="1:8">
      <c r="A928" s="2">
        <v>927</v>
      </c>
      <c r="B928" s="2" t="s">
        <v>46</v>
      </c>
      <c r="C928" s="2" t="s">
        <v>16</v>
      </c>
      <c r="D928" s="2">
        <v>50</v>
      </c>
      <c r="E928" s="3">
        <v>51093</v>
      </c>
      <c r="F928" s="2" t="s">
        <v>9</v>
      </c>
      <c r="G928" s="2" t="s">
        <v>29</v>
      </c>
      <c r="H928">
        <f t="shared" si="14"/>
        <v>2554.65</v>
      </c>
    </row>
    <row r="929" spans="1:8">
      <c r="A929" s="2">
        <v>928</v>
      </c>
      <c r="B929" s="2" t="s">
        <v>92</v>
      </c>
      <c r="C929" s="2" t="s">
        <v>12</v>
      </c>
      <c r="D929" s="2">
        <v>37</v>
      </c>
      <c r="E929" s="3">
        <v>90151</v>
      </c>
      <c r="F929" s="2" t="s">
        <v>32</v>
      </c>
      <c r="G929" s="2" t="s">
        <v>29</v>
      </c>
      <c r="H929">
        <f t="shared" si="14"/>
        <v>4507.55</v>
      </c>
    </row>
    <row r="930" spans="1:8">
      <c r="A930" s="2">
        <v>929</v>
      </c>
      <c r="B930" s="2" t="s">
        <v>41</v>
      </c>
      <c r="C930" s="2" t="s">
        <v>8</v>
      </c>
      <c r="D930" s="2">
        <v>3</v>
      </c>
      <c r="E930" s="3">
        <v>75511</v>
      </c>
      <c r="F930" s="2" t="s">
        <v>32</v>
      </c>
      <c r="G930" s="2" t="s">
        <v>14</v>
      </c>
      <c r="H930">
        <f t="shared" si="14"/>
        <v>3775.55</v>
      </c>
    </row>
    <row r="931" spans="1:8">
      <c r="A931" s="2">
        <v>930</v>
      </c>
      <c r="B931" s="2" t="s">
        <v>88</v>
      </c>
      <c r="C931" s="2" t="s">
        <v>22</v>
      </c>
      <c r="D931" s="2">
        <v>12</v>
      </c>
      <c r="E931" s="3">
        <v>96933</v>
      </c>
      <c r="F931" s="2" t="s">
        <v>9</v>
      </c>
      <c r="G931" s="2" t="s">
        <v>23</v>
      </c>
      <c r="H931">
        <f t="shared" si="14"/>
        <v>4846.6500000000005</v>
      </c>
    </row>
    <row r="932" spans="1:8">
      <c r="A932" s="2">
        <v>931</v>
      </c>
      <c r="B932" s="2" t="s">
        <v>44</v>
      </c>
      <c r="C932" s="2" t="s">
        <v>12</v>
      </c>
      <c r="D932" s="2">
        <v>39</v>
      </c>
      <c r="E932" s="3">
        <v>54028</v>
      </c>
      <c r="F932" s="2" t="s">
        <v>9</v>
      </c>
      <c r="G932" s="2" t="s">
        <v>14</v>
      </c>
      <c r="H932">
        <f t="shared" si="14"/>
        <v>2701.4</v>
      </c>
    </row>
    <row r="933" spans="1:8">
      <c r="A933" s="2">
        <v>932</v>
      </c>
      <c r="B933" s="2" t="s">
        <v>41</v>
      </c>
      <c r="C933" s="2" t="s">
        <v>12</v>
      </c>
      <c r="D933" s="2">
        <v>21</v>
      </c>
      <c r="E933" s="3">
        <v>61694</v>
      </c>
      <c r="F933" s="2" t="s">
        <v>13</v>
      </c>
      <c r="G933" s="2" t="s">
        <v>23</v>
      </c>
      <c r="H933">
        <f t="shared" si="14"/>
        <v>3084.7000000000003</v>
      </c>
    </row>
    <row r="934" spans="1:8">
      <c r="A934" s="2">
        <v>933</v>
      </c>
      <c r="B934" s="2" t="s">
        <v>87</v>
      </c>
      <c r="C934" s="2" t="s">
        <v>16</v>
      </c>
      <c r="D934" s="2">
        <v>40</v>
      </c>
      <c r="E934" s="3">
        <v>65016</v>
      </c>
      <c r="F934" s="2" t="s">
        <v>9</v>
      </c>
      <c r="G934" s="2" t="s">
        <v>18</v>
      </c>
      <c r="H934">
        <f t="shared" si="14"/>
        <v>3250.8</v>
      </c>
    </row>
    <row r="935" spans="1:8">
      <c r="A935" s="2">
        <v>934</v>
      </c>
      <c r="B935" s="2" t="s">
        <v>45</v>
      </c>
      <c r="C935" s="2" t="s">
        <v>8</v>
      </c>
      <c r="D935" s="2">
        <v>15</v>
      </c>
      <c r="E935" s="3">
        <v>75927</v>
      </c>
      <c r="F935" s="2" t="s">
        <v>20</v>
      </c>
      <c r="G935" s="2" t="s">
        <v>23</v>
      </c>
      <c r="H935">
        <f t="shared" si="14"/>
        <v>3796.3500000000004</v>
      </c>
    </row>
    <row r="936" spans="1:8">
      <c r="A936" s="2">
        <v>935</v>
      </c>
      <c r="B936" s="2" t="s">
        <v>73</v>
      </c>
      <c r="C936" s="2" t="s">
        <v>16</v>
      </c>
      <c r="D936" s="2">
        <v>41</v>
      </c>
      <c r="E936" s="3">
        <v>31787</v>
      </c>
      <c r="F936" s="2" t="s">
        <v>38</v>
      </c>
      <c r="G936" s="2" t="s">
        <v>23</v>
      </c>
      <c r="H936">
        <f t="shared" si="14"/>
        <v>1589.3500000000001</v>
      </c>
    </row>
    <row r="937" spans="1:8">
      <c r="A937" s="2">
        <v>936</v>
      </c>
      <c r="B937" s="2" t="s">
        <v>27</v>
      </c>
      <c r="C937" s="2" t="s">
        <v>8</v>
      </c>
      <c r="D937" s="2">
        <v>37</v>
      </c>
      <c r="E937" s="3">
        <v>61127</v>
      </c>
      <c r="F937" s="2" t="s">
        <v>32</v>
      </c>
      <c r="G937" s="2" t="s">
        <v>29</v>
      </c>
      <c r="H937">
        <f t="shared" si="14"/>
        <v>3056.3500000000004</v>
      </c>
    </row>
    <row r="938" spans="1:8">
      <c r="A938" s="2">
        <v>937</v>
      </c>
      <c r="B938" s="2" t="s">
        <v>53</v>
      </c>
      <c r="C938" s="2" t="s">
        <v>16</v>
      </c>
      <c r="D938" s="2">
        <v>7</v>
      </c>
      <c r="E938" s="3">
        <v>36331</v>
      </c>
      <c r="F938" s="2" t="s">
        <v>28</v>
      </c>
      <c r="G938" s="2" t="s">
        <v>10</v>
      </c>
      <c r="H938">
        <f t="shared" si="14"/>
        <v>1816.5500000000002</v>
      </c>
    </row>
    <row r="939" spans="1:8">
      <c r="A939" s="2">
        <v>938</v>
      </c>
      <c r="B939" s="2" t="s">
        <v>70</v>
      </c>
      <c r="C939" s="2" t="s">
        <v>12</v>
      </c>
      <c r="D939" s="2">
        <v>32</v>
      </c>
      <c r="E939" s="3">
        <v>36693</v>
      </c>
      <c r="F939" s="2" t="s">
        <v>32</v>
      </c>
      <c r="G939" s="2" t="s">
        <v>26</v>
      </c>
      <c r="H939">
        <f t="shared" si="14"/>
        <v>1834.65</v>
      </c>
    </row>
    <row r="940" spans="1:8">
      <c r="A940" s="2">
        <v>939</v>
      </c>
      <c r="B940" s="2" t="s">
        <v>53</v>
      </c>
      <c r="C940" s="2" t="s">
        <v>12</v>
      </c>
      <c r="D940" s="2">
        <v>10</v>
      </c>
      <c r="E940" s="3">
        <v>71062</v>
      </c>
      <c r="F940" s="2" t="s">
        <v>38</v>
      </c>
      <c r="G940" s="2" t="s">
        <v>26</v>
      </c>
      <c r="H940">
        <f t="shared" si="14"/>
        <v>3553.1000000000004</v>
      </c>
    </row>
    <row r="941" spans="1:8">
      <c r="A941" s="2">
        <v>940</v>
      </c>
      <c r="B941" s="2" t="s">
        <v>58</v>
      </c>
      <c r="C941" s="2" t="s">
        <v>22</v>
      </c>
      <c r="D941" s="2">
        <v>22</v>
      </c>
      <c r="E941" s="3">
        <v>95867</v>
      </c>
      <c r="F941" s="2" t="s">
        <v>25</v>
      </c>
      <c r="G941" s="2" t="s">
        <v>29</v>
      </c>
      <c r="H941">
        <f t="shared" si="14"/>
        <v>4793.3500000000004</v>
      </c>
    </row>
    <row r="942" spans="1:8">
      <c r="A942" s="2">
        <v>941</v>
      </c>
      <c r="B942" s="2" t="s">
        <v>74</v>
      </c>
      <c r="C942" s="2" t="s">
        <v>12</v>
      </c>
      <c r="D942" s="2">
        <v>48</v>
      </c>
      <c r="E942" s="3">
        <v>80425</v>
      </c>
      <c r="F942" s="2" t="s">
        <v>25</v>
      </c>
      <c r="G942" s="2" t="s">
        <v>18</v>
      </c>
      <c r="H942">
        <f t="shared" si="14"/>
        <v>4021.25</v>
      </c>
    </row>
    <row r="943" spans="1:8">
      <c r="A943" s="2">
        <v>942</v>
      </c>
      <c r="B943" s="2" t="s">
        <v>30</v>
      </c>
      <c r="C943" s="2" t="s">
        <v>12</v>
      </c>
      <c r="D943" s="2">
        <v>5</v>
      </c>
      <c r="E943" s="3">
        <v>30573</v>
      </c>
      <c r="F943" s="2" t="s">
        <v>38</v>
      </c>
      <c r="G943" s="2" t="s">
        <v>14</v>
      </c>
      <c r="H943">
        <f t="shared" si="14"/>
        <v>1528.65</v>
      </c>
    </row>
    <row r="944" spans="1:8">
      <c r="A944" s="2">
        <v>943</v>
      </c>
      <c r="B944" s="2" t="s">
        <v>85</v>
      </c>
      <c r="C944" s="2" t="s">
        <v>12</v>
      </c>
      <c r="D944" s="2">
        <v>16</v>
      </c>
      <c r="E944" s="3">
        <v>76158</v>
      </c>
      <c r="F944" s="2" t="s">
        <v>17</v>
      </c>
      <c r="G944" s="2" t="s">
        <v>29</v>
      </c>
      <c r="H944">
        <f t="shared" si="14"/>
        <v>3807.9</v>
      </c>
    </row>
    <row r="945" spans="1:8">
      <c r="A945" s="2">
        <v>944</v>
      </c>
      <c r="B945" s="2" t="s">
        <v>30</v>
      </c>
      <c r="C945" s="2" t="s">
        <v>12</v>
      </c>
      <c r="D945" s="2">
        <v>23</v>
      </c>
      <c r="E945" s="3">
        <v>29322</v>
      </c>
      <c r="F945" s="2" t="s">
        <v>38</v>
      </c>
      <c r="G945" s="2" t="s">
        <v>14</v>
      </c>
      <c r="H945">
        <f t="shared" si="14"/>
        <v>1466.1000000000001</v>
      </c>
    </row>
    <row r="946" spans="1:8">
      <c r="A946" s="2">
        <v>945</v>
      </c>
      <c r="B946" s="2" t="s">
        <v>84</v>
      </c>
      <c r="C946" s="2" t="s">
        <v>22</v>
      </c>
      <c r="D946" s="2">
        <v>21</v>
      </c>
      <c r="E946" s="3">
        <v>99228</v>
      </c>
      <c r="F946" s="2" t="s">
        <v>25</v>
      </c>
      <c r="G946" s="2" t="s">
        <v>29</v>
      </c>
      <c r="H946">
        <f t="shared" si="14"/>
        <v>4961.4000000000005</v>
      </c>
    </row>
    <row r="947" spans="1:8">
      <c r="A947" s="2">
        <v>946</v>
      </c>
      <c r="B947" s="2" t="s">
        <v>74</v>
      </c>
      <c r="C947" s="2" t="s">
        <v>8</v>
      </c>
      <c r="D947" s="2">
        <v>11</v>
      </c>
      <c r="E947" s="3">
        <v>46835</v>
      </c>
      <c r="F947" s="2" t="s">
        <v>38</v>
      </c>
      <c r="G947" s="2" t="s">
        <v>26</v>
      </c>
      <c r="H947">
        <f t="shared" si="14"/>
        <v>2341.75</v>
      </c>
    </row>
    <row r="948" spans="1:8">
      <c r="A948" s="2">
        <v>947</v>
      </c>
      <c r="B948" s="2" t="s">
        <v>11</v>
      </c>
      <c r="C948" s="2" t="s">
        <v>22</v>
      </c>
      <c r="D948" s="2">
        <v>41</v>
      </c>
      <c r="E948" s="3">
        <v>80653</v>
      </c>
      <c r="F948" s="2" t="s">
        <v>28</v>
      </c>
      <c r="G948" s="2" t="s">
        <v>10</v>
      </c>
      <c r="H948">
        <f t="shared" si="14"/>
        <v>4032.65</v>
      </c>
    </row>
    <row r="949" spans="1:8">
      <c r="A949" s="2">
        <v>948</v>
      </c>
      <c r="B949" s="2" t="s">
        <v>66</v>
      </c>
      <c r="C949" s="2" t="s">
        <v>22</v>
      </c>
      <c r="D949" s="2">
        <v>6</v>
      </c>
      <c r="E949" s="3">
        <v>91380</v>
      </c>
      <c r="F949" s="2" t="s">
        <v>17</v>
      </c>
      <c r="G949" s="2" t="s">
        <v>10</v>
      </c>
      <c r="H949">
        <f t="shared" si="14"/>
        <v>4569</v>
      </c>
    </row>
    <row r="950" spans="1:8">
      <c r="A950" s="2">
        <v>949</v>
      </c>
      <c r="B950" s="2" t="s">
        <v>30</v>
      </c>
      <c r="C950" s="2" t="s">
        <v>16</v>
      </c>
      <c r="D950" s="2">
        <v>46</v>
      </c>
      <c r="E950" s="3">
        <v>36673</v>
      </c>
      <c r="F950" s="2" t="s">
        <v>20</v>
      </c>
      <c r="G950" s="2" t="s">
        <v>29</v>
      </c>
      <c r="H950">
        <f t="shared" si="14"/>
        <v>1833.65</v>
      </c>
    </row>
    <row r="951" spans="1:8">
      <c r="A951" s="2">
        <v>950</v>
      </c>
      <c r="B951" s="2" t="s">
        <v>92</v>
      </c>
      <c r="C951" s="2" t="s">
        <v>8</v>
      </c>
      <c r="D951" s="2">
        <v>43</v>
      </c>
      <c r="E951" s="3">
        <v>58485</v>
      </c>
      <c r="F951" s="2" t="s">
        <v>38</v>
      </c>
      <c r="G951" s="2" t="s">
        <v>29</v>
      </c>
      <c r="H951">
        <f t="shared" si="14"/>
        <v>2924.25</v>
      </c>
    </row>
    <row r="952" spans="1:8">
      <c r="A952" s="2">
        <v>951</v>
      </c>
      <c r="B952" s="2" t="s">
        <v>90</v>
      </c>
      <c r="C952" s="2" t="s">
        <v>16</v>
      </c>
      <c r="D952" s="2">
        <v>41</v>
      </c>
      <c r="E952" s="3">
        <v>82720</v>
      </c>
      <c r="F952" s="2" t="s">
        <v>20</v>
      </c>
      <c r="G952" s="2" t="s">
        <v>26</v>
      </c>
      <c r="H952">
        <f t="shared" si="14"/>
        <v>4136</v>
      </c>
    </row>
    <row r="953" spans="1:8">
      <c r="A953" s="2">
        <v>952</v>
      </c>
      <c r="B953" s="2" t="s">
        <v>73</v>
      </c>
      <c r="C953" s="2" t="s">
        <v>22</v>
      </c>
      <c r="D953" s="2">
        <v>47</v>
      </c>
      <c r="E953" s="3">
        <v>25616</v>
      </c>
      <c r="F953" s="2" t="s">
        <v>13</v>
      </c>
      <c r="G953" s="2" t="s">
        <v>14</v>
      </c>
      <c r="H953">
        <f t="shared" si="14"/>
        <v>1280.8000000000002</v>
      </c>
    </row>
    <row r="954" spans="1:8">
      <c r="A954" s="2">
        <v>953</v>
      </c>
      <c r="B954" s="2" t="s">
        <v>78</v>
      </c>
      <c r="C954" s="2" t="s">
        <v>12</v>
      </c>
      <c r="D954" s="2">
        <v>22</v>
      </c>
      <c r="E954" s="3">
        <v>72803</v>
      </c>
      <c r="F954" s="2" t="s">
        <v>25</v>
      </c>
      <c r="G954" s="2" t="s">
        <v>14</v>
      </c>
      <c r="H954">
        <f t="shared" si="14"/>
        <v>3640.15</v>
      </c>
    </row>
    <row r="955" spans="1:8">
      <c r="A955" s="2">
        <v>954</v>
      </c>
      <c r="B955" s="2" t="s">
        <v>76</v>
      </c>
      <c r="C955" s="2" t="s">
        <v>8</v>
      </c>
      <c r="D955" s="2">
        <v>29</v>
      </c>
      <c r="E955" s="3">
        <v>62878</v>
      </c>
      <c r="F955" s="2" t="s">
        <v>25</v>
      </c>
      <c r="G955" s="2" t="s">
        <v>26</v>
      </c>
      <c r="H955">
        <f t="shared" si="14"/>
        <v>3143.9</v>
      </c>
    </row>
    <row r="956" spans="1:8">
      <c r="A956" s="2">
        <v>955</v>
      </c>
      <c r="B956" s="2" t="s">
        <v>64</v>
      </c>
      <c r="C956" s="2" t="s">
        <v>12</v>
      </c>
      <c r="D956" s="2">
        <v>1</v>
      </c>
      <c r="E956" s="3">
        <v>65450</v>
      </c>
      <c r="F956" s="2" t="s">
        <v>28</v>
      </c>
      <c r="G956" s="2" t="s">
        <v>18</v>
      </c>
      <c r="H956">
        <f t="shared" si="14"/>
        <v>3272.5</v>
      </c>
    </row>
    <row r="957" spans="1:8">
      <c r="A957" s="2">
        <v>956</v>
      </c>
      <c r="B957" s="2" t="s">
        <v>86</v>
      </c>
      <c r="C957" s="2" t="s">
        <v>22</v>
      </c>
      <c r="D957" s="2">
        <v>17</v>
      </c>
      <c r="E957" s="3">
        <v>84205</v>
      </c>
      <c r="F957" s="2" t="s">
        <v>25</v>
      </c>
      <c r="G957" s="2" t="s">
        <v>18</v>
      </c>
      <c r="H957">
        <f t="shared" si="14"/>
        <v>4210.25</v>
      </c>
    </row>
    <row r="958" spans="1:8">
      <c r="A958" s="2">
        <v>957</v>
      </c>
      <c r="B958" s="2" t="s">
        <v>75</v>
      </c>
      <c r="C958" s="2" t="s">
        <v>22</v>
      </c>
      <c r="D958" s="2">
        <v>14</v>
      </c>
      <c r="E958" s="3">
        <v>95995</v>
      </c>
      <c r="F958" s="2" t="s">
        <v>9</v>
      </c>
      <c r="G958" s="2" t="s">
        <v>29</v>
      </c>
      <c r="H958">
        <f t="shared" si="14"/>
        <v>4799.75</v>
      </c>
    </row>
    <row r="959" spans="1:8">
      <c r="A959" s="2">
        <v>958</v>
      </c>
      <c r="B959" s="2" t="s">
        <v>91</v>
      </c>
      <c r="C959" s="2" t="s">
        <v>22</v>
      </c>
      <c r="D959" s="2">
        <v>16</v>
      </c>
      <c r="E959" s="3">
        <v>61841</v>
      </c>
      <c r="F959" s="2" t="s">
        <v>17</v>
      </c>
      <c r="G959" s="2" t="s">
        <v>10</v>
      </c>
      <c r="H959">
        <f t="shared" si="14"/>
        <v>3092.05</v>
      </c>
    </row>
    <row r="960" spans="1:8">
      <c r="A960" s="2">
        <v>959</v>
      </c>
      <c r="B960" s="2" t="s">
        <v>15</v>
      </c>
      <c r="C960" s="2" t="s">
        <v>8</v>
      </c>
      <c r="D960" s="2">
        <v>45</v>
      </c>
      <c r="E960" s="3">
        <v>46920</v>
      </c>
      <c r="F960" s="2" t="s">
        <v>38</v>
      </c>
      <c r="G960" s="2" t="s">
        <v>18</v>
      </c>
      <c r="H960">
        <f t="shared" si="14"/>
        <v>2346</v>
      </c>
    </row>
    <row r="961" spans="1:8">
      <c r="A961" s="2">
        <v>960</v>
      </c>
      <c r="B961" s="2" t="s">
        <v>73</v>
      </c>
      <c r="C961" s="2" t="s">
        <v>16</v>
      </c>
      <c r="D961" s="2">
        <v>5</v>
      </c>
      <c r="E961" s="3">
        <v>96669</v>
      </c>
      <c r="F961" s="2" t="s">
        <v>20</v>
      </c>
      <c r="G961" s="2" t="s">
        <v>18</v>
      </c>
      <c r="H961">
        <f t="shared" si="14"/>
        <v>4833.45</v>
      </c>
    </row>
    <row r="962" spans="1:8">
      <c r="A962" s="2">
        <v>961</v>
      </c>
      <c r="B962" s="2" t="s">
        <v>73</v>
      </c>
      <c r="C962" s="2" t="s">
        <v>16</v>
      </c>
      <c r="D962" s="2">
        <v>23</v>
      </c>
      <c r="E962" s="3">
        <v>77711</v>
      </c>
      <c r="F962" s="2" t="s">
        <v>28</v>
      </c>
      <c r="G962" s="2" t="s">
        <v>23</v>
      </c>
      <c r="H962">
        <f t="shared" si="14"/>
        <v>3885.55</v>
      </c>
    </row>
    <row r="963" spans="1:8">
      <c r="A963" s="2">
        <v>962</v>
      </c>
      <c r="B963" s="2" t="s">
        <v>51</v>
      </c>
      <c r="C963" s="2" t="s">
        <v>12</v>
      </c>
      <c r="D963" s="2">
        <v>17</v>
      </c>
      <c r="E963" s="3">
        <v>94633</v>
      </c>
      <c r="F963" s="2" t="s">
        <v>17</v>
      </c>
      <c r="G963" s="2" t="s">
        <v>10</v>
      </c>
      <c r="H963">
        <f t="shared" ref="H963:H1001" si="15">E963*5%</f>
        <v>4731.6500000000005</v>
      </c>
    </row>
    <row r="964" spans="1:8">
      <c r="A964" s="2">
        <v>963</v>
      </c>
      <c r="B964" s="2" t="s">
        <v>76</v>
      </c>
      <c r="C964" s="2" t="s">
        <v>8</v>
      </c>
      <c r="D964" s="2">
        <v>7</v>
      </c>
      <c r="E964" s="3">
        <v>75292</v>
      </c>
      <c r="F964" s="2" t="s">
        <v>17</v>
      </c>
      <c r="G964" s="2" t="s">
        <v>14</v>
      </c>
      <c r="H964">
        <f t="shared" si="15"/>
        <v>3764.6000000000004</v>
      </c>
    </row>
    <row r="965" spans="1:8">
      <c r="A965" s="2">
        <v>964</v>
      </c>
      <c r="B965" s="2" t="s">
        <v>33</v>
      </c>
      <c r="C965" s="2" t="s">
        <v>12</v>
      </c>
      <c r="D965" s="2">
        <v>47</v>
      </c>
      <c r="E965" s="3">
        <v>62193</v>
      </c>
      <c r="F965" s="2" t="s">
        <v>13</v>
      </c>
      <c r="G965" s="2" t="s">
        <v>14</v>
      </c>
      <c r="H965">
        <f t="shared" si="15"/>
        <v>3109.65</v>
      </c>
    </row>
    <row r="966" spans="1:8">
      <c r="A966" s="2">
        <v>965</v>
      </c>
      <c r="B966" s="2" t="s">
        <v>37</v>
      </c>
      <c r="C966" s="2" t="s">
        <v>12</v>
      </c>
      <c r="D966" s="2">
        <v>1</v>
      </c>
      <c r="E966" s="3">
        <v>54846</v>
      </c>
      <c r="F966" s="2" t="s">
        <v>20</v>
      </c>
      <c r="G966" s="2" t="s">
        <v>26</v>
      </c>
      <c r="H966">
        <f t="shared" si="15"/>
        <v>2742.3</v>
      </c>
    </row>
    <row r="967" spans="1:8">
      <c r="A967" s="2">
        <v>966</v>
      </c>
      <c r="B967" s="2" t="s">
        <v>72</v>
      </c>
      <c r="C967" s="2" t="s">
        <v>16</v>
      </c>
      <c r="D967" s="2">
        <v>4</v>
      </c>
      <c r="E967" s="3">
        <v>33534</v>
      </c>
      <c r="F967" s="2" t="s">
        <v>13</v>
      </c>
      <c r="G967" s="2" t="s">
        <v>14</v>
      </c>
      <c r="H967">
        <f t="shared" si="15"/>
        <v>1676.7</v>
      </c>
    </row>
    <row r="968" spans="1:8">
      <c r="A968" s="2">
        <v>967</v>
      </c>
      <c r="B968" s="2" t="s">
        <v>70</v>
      </c>
      <c r="C968" s="2" t="s">
        <v>8</v>
      </c>
      <c r="D968" s="2">
        <v>25</v>
      </c>
      <c r="E968" s="3">
        <v>80947</v>
      </c>
      <c r="F968" s="2" t="s">
        <v>20</v>
      </c>
      <c r="G968" s="2" t="s">
        <v>23</v>
      </c>
      <c r="H968">
        <f t="shared" si="15"/>
        <v>4047.3500000000004</v>
      </c>
    </row>
    <row r="969" spans="1:8">
      <c r="A969" s="2">
        <v>968</v>
      </c>
      <c r="B969" s="2" t="s">
        <v>30</v>
      </c>
      <c r="C969" s="2" t="s">
        <v>22</v>
      </c>
      <c r="D969" s="2">
        <v>29</v>
      </c>
      <c r="E969" s="3">
        <v>98003</v>
      </c>
      <c r="F969" s="2" t="s">
        <v>28</v>
      </c>
      <c r="G969" s="2" t="s">
        <v>29</v>
      </c>
      <c r="H969">
        <f t="shared" si="15"/>
        <v>4900.1500000000005</v>
      </c>
    </row>
    <row r="970" spans="1:8">
      <c r="A970" s="2">
        <v>969</v>
      </c>
      <c r="B970" s="2" t="s">
        <v>36</v>
      </c>
      <c r="C970" s="2" t="s">
        <v>12</v>
      </c>
      <c r="D970" s="2">
        <v>47</v>
      </c>
      <c r="E970" s="3">
        <v>97568</v>
      </c>
      <c r="F970" s="2" t="s">
        <v>9</v>
      </c>
      <c r="G970" s="2" t="s">
        <v>29</v>
      </c>
      <c r="H970">
        <f t="shared" si="15"/>
        <v>4878.4000000000005</v>
      </c>
    </row>
    <row r="971" spans="1:8">
      <c r="A971" s="2">
        <v>970</v>
      </c>
      <c r="B971" s="2" t="s">
        <v>39</v>
      </c>
      <c r="C971" s="2" t="s">
        <v>22</v>
      </c>
      <c r="D971" s="2">
        <v>27</v>
      </c>
      <c r="E971" s="3">
        <v>74882</v>
      </c>
      <c r="F971" s="2" t="s">
        <v>25</v>
      </c>
      <c r="G971" s="2" t="s">
        <v>14</v>
      </c>
      <c r="H971">
        <f t="shared" si="15"/>
        <v>3744.1000000000004</v>
      </c>
    </row>
    <row r="972" spans="1:8">
      <c r="A972" s="2">
        <v>971</v>
      </c>
      <c r="B972" s="2" t="s">
        <v>79</v>
      </c>
      <c r="C972" s="2" t="s">
        <v>8</v>
      </c>
      <c r="D972" s="2">
        <v>11</v>
      </c>
      <c r="E972" s="3">
        <v>29709</v>
      </c>
      <c r="F972" s="2" t="s">
        <v>20</v>
      </c>
      <c r="G972" s="2" t="s">
        <v>10</v>
      </c>
      <c r="H972">
        <f t="shared" si="15"/>
        <v>1485.45</v>
      </c>
    </row>
    <row r="973" spans="1:8">
      <c r="A973" s="2">
        <v>972</v>
      </c>
      <c r="B973" s="2" t="s">
        <v>31</v>
      </c>
      <c r="C973" s="2" t="s">
        <v>12</v>
      </c>
      <c r="D973" s="2">
        <v>27</v>
      </c>
      <c r="E973" s="3">
        <v>42117</v>
      </c>
      <c r="F973" s="2" t="s">
        <v>28</v>
      </c>
      <c r="G973" s="2" t="s">
        <v>23</v>
      </c>
      <c r="H973">
        <f t="shared" si="15"/>
        <v>2105.85</v>
      </c>
    </row>
    <row r="974" spans="1:8">
      <c r="A974" s="2">
        <v>973</v>
      </c>
      <c r="B974" s="2" t="s">
        <v>64</v>
      </c>
      <c r="C974" s="2" t="s">
        <v>22</v>
      </c>
      <c r="D974" s="2">
        <v>32</v>
      </c>
      <c r="E974" s="3">
        <v>93180</v>
      </c>
      <c r="F974" s="2" t="s">
        <v>17</v>
      </c>
      <c r="G974" s="2" t="s">
        <v>14</v>
      </c>
      <c r="H974">
        <f t="shared" si="15"/>
        <v>4659</v>
      </c>
    </row>
    <row r="975" spans="1:8">
      <c r="A975" s="2">
        <v>974</v>
      </c>
      <c r="B975" s="2" t="s">
        <v>60</v>
      </c>
      <c r="C975" s="2" t="s">
        <v>22</v>
      </c>
      <c r="D975" s="2">
        <v>25</v>
      </c>
      <c r="E975" s="3">
        <v>36197</v>
      </c>
      <c r="F975" s="2" t="s">
        <v>13</v>
      </c>
      <c r="G975" s="2" t="s">
        <v>14</v>
      </c>
      <c r="H975">
        <f t="shared" si="15"/>
        <v>1809.8500000000001</v>
      </c>
    </row>
    <row r="976" spans="1:8">
      <c r="A976" s="2">
        <v>975</v>
      </c>
      <c r="B976" s="2" t="s">
        <v>88</v>
      </c>
      <c r="C976" s="2" t="s">
        <v>16</v>
      </c>
      <c r="D976" s="2">
        <v>23</v>
      </c>
      <c r="E976" s="3">
        <v>38286</v>
      </c>
      <c r="F976" s="2" t="s">
        <v>32</v>
      </c>
      <c r="G976" s="2" t="s">
        <v>29</v>
      </c>
      <c r="H976">
        <f t="shared" si="15"/>
        <v>1914.3000000000002</v>
      </c>
    </row>
    <row r="977" spans="1:8">
      <c r="A977" s="2">
        <v>976</v>
      </c>
      <c r="B977" s="2" t="s">
        <v>51</v>
      </c>
      <c r="C977" s="2" t="s">
        <v>8</v>
      </c>
      <c r="D977" s="2">
        <v>35</v>
      </c>
      <c r="E977" s="3">
        <v>55747</v>
      </c>
      <c r="F977" s="2" t="s">
        <v>32</v>
      </c>
      <c r="G977" s="2" t="s">
        <v>26</v>
      </c>
      <c r="H977">
        <f t="shared" si="15"/>
        <v>2787.3500000000004</v>
      </c>
    </row>
    <row r="978" spans="1:8">
      <c r="A978" s="2">
        <v>977</v>
      </c>
      <c r="B978" s="2" t="s">
        <v>91</v>
      </c>
      <c r="C978" s="2" t="s">
        <v>8</v>
      </c>
      <c r="D978" s="2">
        <v>25</v>
      </c>
      <c r="E978" s="3">
        <v>87534</v>
      </c>
      <c r="F978" s="2" t="s">
        <v>38</v>
      </c>
      <c r="G978" s="2" t="s">
        <v>10</v>
      </c>
      <c r="H978">
        <f t="shared" si="15"/>
        <v>4376.7</v>
      </c>
    </row>
    <row r="979" spans="1:8">
      <c r="A979" s="2">
        <v>978</v>
      </c>
      <c r="B979" s="2" t="s">
        <v>73</v>
      </c>
      <c r="C979" s="2" t="s">
        <v>8</v>
      </c>
      <c r="D979" s="2">
        <v>7</v>
      </c>
      <c r="E979" s="3">
        <v>69553</v>
      </c>
      <c r="F979" s="2" t="s">
        <v>20</v>
      </c>
      <c r="G979" s="2" t="s">
        <v>23</v>
      </c>
      <c r="H979">
        <f t="shared" si="15"/>
        <v>3477.65</v>
      </c>
    </row>
    <row r="980" spans="1:8">
      <c r="A980" s="2">
        <v>979</v>
      </c>
      <c r="B980" s="2" t="s">
        <v>86</v>
      </c>
      <c r="C980" s="2" t="s">
        <v>12</v>
      </c>
      <c r="D980" s="2">
        <v>31</v>
      </c>
      <c r="E980" s="3">
        <v>81839</v>
      </c>
      <c r="F980" s="2" t="s">
        <v>20</v>
      </c>
      <c r="G980" s="2" t="s">
        <v>23</v>
      </c>
      <c r="H980">
        <f t="shared" si="15"/>
        <v>4091.9500000000003</v>
      </c>
    </row>
    <row r="981" spans="1:8">
      <c r="A981" s="2">
        <v>980</v>
      </c>
      <c r="B981" s="2" t="s">
        <v>39</v>
      </c>
      <c r="C981" s="2" t="s">
        <v>16</v>
      </c>
      <c r="D981" s="2">
        <v>37</v>
      </c>
      <c r="E981" s="3">
        <v>44044</v>
      </c>
      <c r="F981" s="2" t="s">
        <v>9</v>
      </c>
      <c r="G981" s="2" t="s">
        <v>18</v>
      </c>
      <c r="H981">
        <f t="shared" si="15"/>
        <v>2202.2000000000003</v>
      </c>
    </row>
    <row r="982" spans="1:8">
      <c r="A982" s="2">
        <v>981</v>
      </c>
      <c r="B982" s="2" t="s">
        <v>70</v>
      </c>
      <c r="C982" s="2" t="s">
        <v>12</v>
      </c>
      <c r="D982" s="2">
        <v>42</v>
      </c>
      <c r="E982" s="3">
        <v>87637</v>
      </c>
      <c r="F982" s="2" t="s">
        <v>28</v>
      </c>
      <c r="G982" s="2" t="s">
        <v>10</v>
      </c>
      <c r="H982">
        <f t="shared" si="15"/>
        <v>4381.8500000000004</v>
      </c>
    </row>
    <row r="983" spans="1:8">
      <c r="A983" s="2">
        <v>982</v>
      </c>
      <c r="B983" s="2" t="s">
        <v>41</v>
      </c>
      <c r="C983" s="2" t="s">
        <v>8</v>
      </c>
      <c r="D983" s="2">
        <v>49</v>
      </c>
      <c r="E983" s="3">
        <v>32869</v>
      </c>
      <c r="F983" s="2" t="s">
        <v>13</v>
      </c>
      <c r="G983" s="2" t="s">
        <v>29</v>
      </c>
      <c r="H983">
        <f t="shared" si="15"/>
        <v>1643.45</v>
      </c>
    </row>
    <row r="984" spans="1:8">
      <c r="A984" s="2">
        <v>983</v>
      </c>
      <c r="B984" s="2" t="s">
        <v>73</v>
      </c>
      <c r="C984" s="2" t="s">
        <v>12</v>
      </c>
      <c r="D984" s="2">
        <v>44</v>
      </c>
      <c r="E984" s="3">
        <v>81338</v>
      </c>
      <c r="F984" s="2" t="s">
        <v>17</v>
      </c>
      <c r="G984" s="2" t="s">
        <v>26</v>
      </c>
      <c r="H984">
        <f t="shared" si="15"/>
        <v>4066.9</v>
      </c>
    </row>
    <row r="985" spans="1:8">
      <c r="A985" s="2">
        <v>984</v>
      </c>
      <c r="B985" s="2" t="s">
        <v>84</v>
      </c>
      <c r="C985" s="2" t="s">
        <v>22</v>
      </c>
      <c r="D985" s="2">
        <v>15</v>
      </c>
      <c r="E985" s="3">
        <v>29603</v>
      </c>
      <c r="F985" s="2" t="s">
        <v>28</v>
      </c>
      <c r="G985" s="2" t="s">
        <v>26</v>
      </c>
      <c r="H985">
        <f t="shared" si="15"/>
        <v>1480.15</v>
      </c>
    </row>
    <row r="986" spans="1:8">
      <c r="A986" s="2">
        <v>985</v>
      </c>
      <c r="B986" s="2" t="s">
        <v>80</v>
      </c>
      <c r="C986" s="2" t="s">
        <v>12</v>
      </c>
      <c r="D986" s="2">
        <v>11</v>
      </c>
      <c r="E986" s="3">
        <v>33914</v>
      </c>
      <c r="F986" s="2" t="s">
        <v>17</v>
      </c>
      <c r="G986" s="2" t="s">
        <v>18</v>
      </c>
      <c r="H986">
        <f t="shared" si="15"/>
        <v>1695.7</v>
      </c>
    </row>
    <row r="987" spans="1:8">
      <c r="A987" s="2">
        <v>986</v>
      </c>
      <c r="B987" s="2" t="s">
        <v>78</v>
      </c>
      <c r="C987" s="2" t="s">
        <v>12</v>
      </c>
      <c r="D987" s="2">
        <v>29</v>
      </c>
      <c r="E987" s="3">
        <v>74697</v>
      </c>
      <c r="F987" s="2" t="s">
        <v>25</v>
      </c>
      <c r="G987" s="2" t="s">
        <v>29</v>
      </c>
      <c r="H987">
        <f t="shared" si="15"/>
        <v>3734.8500000000004</v>
      </c>
    </row>
    <row r="988" spans="1:8">
      <c r="A988" s="2">
        <v>987</v>
      </c>
      <c r="B988" s="2" t="s">
        <v>30</v>
      </c>
      <c r="C988" s="2" t="s">
        <v>8</v>
      </c>
      <c r="D988" s="2">
        <v>5</v>
      </c>
      <c r="E988" s="3">
        <v>81285</v>
      </c>
      <c r="F988" s="2" t="s">
        <v>9</v>
      </c>
      <c r="G988" s="2" t="s">
        <v>14</v>
      </c>
      <c r="H988">
        <f t="shared" si="15"/>
        <v>4064.25</v>
      </c>
    </row>
    <row r="989" spans="1:8">
      <c r="A989" s="2">
        <v>988</v>
      </c>
      <c r="B989" s="2" t="s">
        <v>46</v>
      </c>
      <c r="C989" s="2" t="s">
        <v>22</v>
      </c>
      <c r="D989" s="2">
        <v>3</v>
      </c>
      <c r="E989" s="3">
        <v>52253</v>
      </c>
      <c r="F989" s="2" t="s">
        <v>9</v>
      </c>
      <c r="G989" s="2" t="s">
        <v>18</v>
      </c>
      <c r="H989">
        <f t="shared" si="15"/>
        <v>2612.65</v>
      </c>
    </row>
    <row r="990" spans="1:8">
      <c r="A990" s="2">
        <v>989</v>
      </c>
      <c r="B990" s="2" t="s">
        <v>79</v>
      </c>
      <c r="C990" s="2" t="s">
        <v>8</v>
      </c>
      <c r="D990" s="2">
        <v>19</v>
      </c>
      <c r="E990" s="3">
        <v>54230</v>
      </c>
      <c r="F990" s="2" t="s">
        <v>9</v>
      </c>
      <c r="G990" s="2" t="s">
        <v>29</v>
      </c>
      <c r="H990">
        <f t="shared" si="15"/>
        <v>2711.5</v>
      </c>
    </row>
    <row r="991" spans="1:8">
      <c r="A991" s="2">
        <v>990</v>
      </c>
      <c r="B991" s="2" t="s">
        <v>21</v>
      </c>
      <c r="C991" s="2" t="s">
        <v>22</v>
      </c>
      <c r="D991" s="2">
        <v>2</v>
      </c>
      <c r="E991" s="3">
        <v>70224</v>
      </c>
      <c r="F991" s="2" t="s">
        <v>25</v>
      </c>
      <c r="G991" s="2" t="s">
        <v>14</v>
      </c>
      <c r="H991">
        <f t="shared" si="15"/>
        <v>3511.2000000000003</v>
      </c>
    </row>
    <row r="992" spans="1:8">
      <c r="A992" s="2">
        <v>991</v>
      </c>
      <c r="B992" s="2" t="s">
        <v>63</v>
      </c>
      <c r="C992" s="2" t="s">
        <v>22</v>
      </c>
      <c r="D992" s="2">
        <v>21</v>
      </c>
      <c r="E992" s="3">
        <v>43663</v>
      </c>
      <c r="F992" s="2" t="s">
        <v>32</v>
      </c>
      <c r="G992" s="2" t="s">
        <v>29</v>
      </c>
      <c r="H992">
        <f t="shared" si="15"/>
        <v>2183.15</v>
      </c>
    </row>
    <row r="993" spans="1:8">
      <c r="A993" s="2">
        <v>992</v>
      </c>
      <c r="B993" s="2" t="s">
        <v>81</v>
      </c>
      <c r="C993" s="2" t="s">
        <v>22</v>
      </c>
      <c r="D993" s="2">
        <v>17</v>
      </c>
      <c r="E993" s="3">
        <v>81538</v>
      </c>
      <c r="F993" s="2" t="s">
        <v>28</v>
      </c>
      <c r="G993" s="2" t="s">
        <v>26</v>
      </c>
      <c r="H993">
        <f t="shared" si="15"/>
        <v>4076.9</v>
      </c>
    </row>
    <row r="994" spans="1:8">
      <c r="A994" s="2">
        <v>993</v>
      </c>
      <c r="B994" s="2" t="s">
        <v>46</v>
      </c>
      <c r="C994" s="2" t="s">
        <v>8</v>
      </c>
      <c r="D994" s="2">
        <v>7</v>
      </c>
      <c r="E994" s="3">
        <v>91264</v>
      </c>
      <c r="F994" s="2" t="s">
        <v>32</v>
      </c>
      <c r="G994" s="2" t="s">
        <v>10</v>
      </c>
      <c r="H994">
        <f t="shared" si="15"/>
        <v>4563.2</v>
      </c>
    </row>
    <row r="995" spans="1:8">
      <c r="A995" s="2">
        <v>994</v>
      </c>
      <c r="B995" s="2" t="s">
        <v>60</v>
      </c>
      <c r="C995" s="2" t="s">
        <v>22</v>
      </c>
      <c r="D995" s="2">
        <v>5</v>
      </c>
      <c r="E995" s="3">
        <v>37810</v>
      </c>
      <c r="F995" s="2" t="s">
        <v>38</v>
      </c>
      <c r="G995" s="2" t="s">
        <v>29</v>
      </c>
      <c r="H995">
        <f t="shared" si="15"/>
        <v>1890.5</v>
      </c>
    </row>
    <row r="996" spans="1:8">
      <c r="A996" s="2">
        <v>995</v>
      </c>
      <c r="B996" s="2" t="s">
        <v>62</v>
      </c>
      <c r="C996" s="2" t="s">
        <v>16</v>
      </c>
      <c r="D996" s="2">
        <v>22</v>
      </c>
      <c r="E996" s="3">
        <v>98131</v>
      </c>
      <c r="F996" s="2" t="s">
        <v>20</v>
      </c>
      <c r="G996" s="2" t="s">
        <v>10</v>
      </c>
      <c r="H996">
        <f t="shared" si="15"/>
        <v>4906.55</v>
      </c>
    </row>
    <row r="997" spans="1:8">
      <c r="A997" s="2">
        <v>996</v>
      </c>
      <c r="B997" s="2" t="s">
        <v>82</v>
      </c>
      <c r="C997" s="2" t="s">
        <v>16</v>
      </c>
      <c r="D997" s="2">
        <v>11</v>
      </c>
      <c r="E997" s="3">
        <v>89586</v>
      </c>
      <c r="F997" s="2" t="s">
        <v>38</v>
      </c>
      <c r="G997" s="2" t="s">
        <v>29</v>
      </c>
      <c r="H997">
        <f t="shared" si="15"/>
        <v>4479.3</v>
      </c>
    </row>
    <row r="998" spans="1:8">
      <c r="A998" s="2">
        <v>997</v>
      </c>
      <c r="B998" s="2" t="s">
        <v>69</v>
      </c>
      <c r="C998" s="2" t="s">
        <v>16</v>
      </c>
      <c r="D998" s="2">
        <v>25</v>
      </c>
      <c r="E998" s="3">
        <v>38270</v>
      </c>
      <c r="F998" s="2" t="s">
        <v>9</v>
      </c>
      <c r="G998" s="2" t="s">
        <v>14</v>
      </c>
      <c r="H998">
        <f t="shared" si="15"/>
        <v>1913.5</v>
      </c>
    </row>
    <row r="999" spans="1:8">
      <c r="A999" s="2">
        <v>998</v>
      </c>
      <c r="B999" s="2" t="s">
        <v>57</v>
      </c>
      <c r="C999" s="2" t="s">
        <v>16</v>
      </c>
      <c r="D999" s="2">
        <v>11</v>
      </c>
      <c r="E999" s="3">
        <v>32927</v>
      </c>
      <c r="F999" s="2" t="s">
        <v>20</v>
      </c>
      <c r="G999" s="2" t="s">
        <v>10</v>
      </c>
      <c r="H999">
        <f t="shared" si="15"/>
        <v>1646.3500000000001</v>
      </c>
    </row>
    <row r="1000" spans="1:8">
      <c r="A1000" s="2">
        <v>999</v>
      </c>
      <c r="B1000" s="2" t="s">
        <v>62</v>
      </c>
      <c r="C1000" s="2" t="s">
        <v>8</v>
      </c>
      <c r="D1000" s="2">
        <v>47</v>
      </c>
      <c r="E1000" s="3">
        <v>41625</v>
      </c>
      <c r="F1000" s="2" t="s">
        <v>32</v>
      </c>
      <c r="G1000" s="2" t="s">
        <v>23</v>
      </c>
      <c r="H1000">
        <f t="shared" si="15"/>
        <v>2081.25</v>
      </c>
    </row>
    <row r="1001" spans="1:8">
      <c r="A1001" s="2">
        <v>1000</v>
      </c>
      <c r="B1001" s="2" t="s">
        <v>45</v>
      </c>
      <c r="C1001" s="2" t="s">
        <v>12</v>
      </c>
      <c r="D1001" s="2">
        <v>5</v>
      </c>
      <c r="E1001" s="3">
        <v>34442</v>
      </c>
      <c r="F1001" s="2" t="s">
        <v>13</v>
      </c>
      <c r="G1001" s="2" t="s">
        <v>10</v>
      </c>
      <c r="H1001">
        <f t="shared" si="15"/>
        <v>1722.1000000000001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458B-F6AE-4B6E-9387-9F0306165A5F}">
  <sheetPr>
    <tabColor rgb="FF7030A0"/>
  </sheetPr>
  <dimension ref="A1:H1001"/>
  <sheetViews>
    <sheetView workbookViewId="0">
      <selection activeCell="J1009" sqref="J1009"/>
    </sheetView>
  </sheetViews>
  <sheetFormatPr defaultRowHeight="15"/>
  <cols>
    <col min="2" max="2" width="20.7109375" customWidth="1"/>
    <col min="3" max="3" width="10.42578125" customWidth="1"/>
    <col min="4" max="4" width="23.42578125" customWidth="1"/>
    <col min="5" max="5" width="15.28515625" customWidth="1"/>
    <col min="6" max="6" width="14.5703125" customWidth="1"/>
    <col min="7" max="7" width="10.28515625" customWidth="1"/>
  </cols>
  <sheetData>
    <row r="1" spans="1:8">
      <c r="A1" s="1" t="s">
        <v>0</v>
      </c>
      <c r="B1" s="1" t="s">
        <v>1</v>
      </c>
      <c r="C1" s="1" t="s">
        <v>2</v>
      </c>
      <c r="D1" s="1" t="s">
        <v>3</v>
      </c>
      <c r="E1" s="1" t="s">
        <v>4</v>
      </c>
      <c r="F1" s="1" t="s">
        <v>5</v>
      </c>
      <c r="G1" s="1" t="s">
        <v>6</v>
      </c>
      <c r="H1" s="1" t="s">
        <v>96</v>
      </c>
    </row>
    <row r="2" spans="1:8">
      <c r="A2" s="2">
        <v>1</v>
      </c>
      <c r="B2" s="2" t="s">
        <v>7</v>
      </c>
      <c r="C2" s="2" t="s">
        <v>8</v>
      </c>
      <c r="D2" s="2">
        <v>30</v>
      </c>
      <c r="E2" s="3">
        <v>77024</v>
      </c>
      <c r="F2" s="2" t="s">
        <v>9</v>
      </c>
      <c r="G2" s="2" t="s">
        <v>10</v>
      </c>
      <c r="H2" t="str">
        <f>IF(AND(F2="Electric",E2&gt;45000),"Urgent",IF(OR(F2="Hybrid",E2&gt;60000),"Review","Standard"))</f>
        <v>Review</v>
      </c>
    </row>
    <row r="3" spans="1:8">
      <c r="A3" s="2">
        <v>2</v>
      </c>
      <c r="B3" s="2" t="s">
        <v>11</v>
      </c>
      <c r="C3" s="2" t="s">
        <v>12</v>
      </c>
      <c r="D3" s="2">
        <v>15</v>
      </c>
      <c r="E3" s="3">
        <v>37515</v>
      </c>
      <c r="F3" s="2" t="s">
        <v>13</v>
      </c>
      <c r="G3" s="2" t="s">
        <v>14</v>
      </c>
      <c r="H3" t="str">
        <f t="shared" ref="H3:H66" si="0">IF(AND(F3="Electric",E3&gt;45000),"Urgent",IF(OR(F3="Hybrid",E3&gt;60000),"Review","Standard"))</f>
        <v>Standard</v>
      </c>
    </row>
    <row r="4" spans="1:8">
      <c r="A4" s="2">
        <v>3</v>
      </c>
      <c r="B4" s="2" t="s">
        <v>15</v>
      </c>
      <c r="C4" s="2" t="s">
        <v>16</v>
      </c>
      <c r="D4" s="2">
        <v>26</v>
      </c>
      <c r="E4" s="3">
        <v>93173</v>
      </c>
      <c r="F4" s="2" t="s">
        <v>17</v>
      </c>
      <c r="G4" s="2" t="s">
        <v>18</v>
      </c>
      <c r="H4" t="str">
        <f t="shared" si="0"/>
        <v>Review</v>
      </c>
    </row>
    <row r="5" spans="1:8">
      <c r="A5" s="2">
        <v>4</v>
      </c>
      <c r="B5" s="2" t="s">
        <v>19</v>
      </c>
      <c r="C5" s="2" t="s">
        <v>12</v>
      </c>
      <c r="D5" s="2">
        <v>41</v>
      </c>
      <c r="E5" s="3">
        <v>79996</v>
      </c>
      <c r="F5" s="2" t="s">
        <v>20</v>
      </c>
      <c r="G5" s="2" t="s">
        <v>18</v>
      </c>
      <c r="H5" t="str">
        <f t="shared" si="0"/>
        <v>Review</v>
      </c>
    </row>
    <row r="6" spans="1:8">
      <c r="A6" s="2">
        <v>5</v>
      </c>
      <c r="B6" s="2" t="s">
        <v>21</v>
      </c>
      <c r="C6" s="2" t="s">
        <v>22</v>
      </c>
      <c r="D6" s="2">
        <v>12</v>
      </c>
      <c r="E6" s="3">
        <v>31822</v>
      </c>
      <c r="F6" s="2" t="s">
        <v>13</v>
      </c>
      <c r="G6" s="2" t="s">
        <v>23</v>
      </c>
      <c r="H6" t="str">
        <f t="shared" si="0"/>
        <v>Standard</v>
      </c>
    </row>
    <row r="7" spans="1:8">
      <c r="A7" s="2">
        <v>6</v>
      </c>
      <c r="B7" s="2" t="s">
        <v>24</v>
      </c>
      <c r="C7" s="2" t="s">
        <v>16</v>
      </c>
      <c r="D7" s="2">
        <v>12</v>
      </c>
      <c r="E7" s="3">
        <v>75831</v>
      </c>
      <c r="F7" s="2" t="s">
        <v>25</v>
      </c>
      <c r="G7" s="2" t="s">
        <v>26</v>
      </c>
      <c r="H7" t="str">
        <f t="shared" si="0"/>
        <v>Review</v>
      </c>
    </row>
    <row r="8" spans="1:8">
      <c r="A8" s="2">
        <v>7</v>
      </c>
      <c r="B8" s="2" t="s">
        <v>27</v>
      </c>
      <c r="C8" s="2" t="s">
        <v>12</v>
      </c>
      <c r="D8" s="2">
        <v>41</v>
      </c>
      <c r="E8" s="3">
        <v>96909</v>
      </c>
      <c r="F8" s="2" t="s">
        <v>28</v>
      </c>
      <c r="G8" s="2" t="s">
        <v>29</v>
      </c>
      <c r="H8" t="str">
        <f t="shared" si="0"/>
        <v>Review</v>
      </c>
    </row>
    <row r="9" spans="1:8">
      <c r="A9" s="2">
        <v>8</v>
      </c>
      <c r="B9" s="2" t="s">
        <v>30</v>
      </c>
      <c r="C9" s="2" t="s">
        <v>8</v>
      </c>
      <c r="D9" s="2">
        <v>43</v>
      </c>
      <c r="E9" s="3">
        <v>98569</v>
      </c>
      <c r="F9" s="2" t="s">
        <v>9</v>
      </c>
      <c r="G9" s="2" t="s">
        <v>14</v>
      </c>
      <c r="H9" t="str">
        <f t="shared" si="0"/>
        <v>Review</v>
      </c>
    </row>
    <row r="10" spans="1:8">
      <c r="A10" s="2">
        <v>9</v>
      </c>
      <c r="B10" s="2" t="s">
        <v>31</v>
      </c>
      <c r="C10" s="2" t="s">
        <v>22</v>
      </c>
      <c r="D10" s="2">
        <v>28</v>
      </c>
      <c r="E10" s="3">
        <v>78423</v>
      </c>
      <c r="F10" s="2" t="s">
        <v>32</v>
      </c>
      <c r="G10" s="2" t="s">
        <v>26</v>
      </c>
      <c r="H10" t="str">
        <f t="shared" si="0"/>
        <v>Review</v>
      </c>
    </row>
    <row r="11" spans="1:8">
      <c r="A11" s="2">
        <v>10</v>
      </c>
      <c r="B11" s="2" t="s">
        <v>33</v>
      </c>
      <c r="C11" s="2" t="s">
        <v>12</v>
      </c>
      <c r="D11" s="2">
        <v>26</v>
      </c>
      <c r="E11" s="3">
        <v>29769</v>
      </c>
      <c r="F11" s="2" t="s">
        <v>20</v>
      </c>
      <c r="G11" s="2" t="s">
        <v>29</v>
      </c>
      <c r="H11" t="str">
        <f t="shared" si="0"/>
        <v>Standard</v>
      </c>
    </row>
    <row r="12" spans="1:8">
      <c r="A12" s="2">
        <v>11</v>
      </c>
      <c r="B12" s="2" t="s">
        <v>34</v>
      </c>
      <c r="C12" s="2" t="s">
        <v>22</v>
      </c>
      <c r="D12" s="2">
        <v>2</v>
      </c>
      <c r="E12" s="3">
        <v>59644</v>
      </c>
      <c r="F12" s="2" t="s">
        <v>28</v>
      </c>
      <c r="G12" s="2" t="s">
        <v>26</v>
      </c>
      <c r="H12" t="str">
        <f t="shared" si="0"/>
        <v>Standard</v>
      </c>
    </row>
    <row r="13" spans="1:8">
      <c r="A13" s="2">
        <v>12</v>
      </c>
      <c r="B13" s="2" t="s">
        <v>35</v>
      </c>
      <c r="C13" s="2" t="s">
        <v>12</v>
      </c>
      <c r="D13" s="2">
        <v>48</v>
      </c>
      <c r="E13" s="3">
        <v>84311</v>
      </c>
      <c r="F13" s="2" t="s">
        <v>13</v>
      </c>
      <c r="G13" s="2" t="s">
        <v>18</v>
      </c>
      <c r="H13" t="str">
        <f t="shared" si="0"/>
        <v>Review</v>
      </c>
    </row>
    <row r="14" spans="1:8">
      <c r="A14" s="2">
        <v>13</v>
      </c>
      <c r="B14" s="2" t="s">
        <v>36</v>
      </c>
      <c r="C14" s="2" t="s">
        <v>8</v>
      </c>
      <c r="D14" s="2">
        <v>40</v>
      </c>
      <c r="E14" s="3">
        <v>65822</v>
      </c>
      <c r="F14" s="2" t="s">
        <v>28</v>
      </c>
      <c r="G14" s="2" t="s">
        <v>18</v>
      </c>
      <c r="H14" t="str">
        <f t="shared" si="0"/>
        <v>Review</v>
      </c>
    </row>
    <row r="15" spans="1:8">
      <c r="A15" s="2">
        <v>14</v>
      </c>
      <c r="B15" s="2" t="s">
        <v>7</v>
      </c>
      <c r="C15" s="2" t="s">
        <v>16</v>
      </c>
      <c r="D15" s="2">
        <v>13</v>
      </c>
      <c r="E15" s="3">
        <v>41907</v>
      </c>
      <c r="F15" s="2" t="s">
        <v>32</v>
      </c>
      <c r="G15" s="2" t="s">
        <v>14</v>
      </c>
      <c r="H15" t="str">
        <f t="shared" si="0"/>
        <v>Standard</v>
      </c>
    </row>
    <row r="16" spans="1:8">
      <c r="A16" s="2">
        <v>15</v>
      </c>
      <c r="B16" s="2" t="s">
        <v>37</v>
      </c>
      <c r="C16" s="2" t="s">
        <v>12</v>
      </c>
      <c r="D16" s="2">
        <v>29</v>
      </c>
      <c r="E16" s="3">
        <v>32717</v>
      </c>
      <c r="F16" s="2" t="s">
        <v>38</v>
      </c>
      <c r="G16" s="2" t="s">
        <v>18</v>
      </c>
      <c r="H16" t="str">
        <f t="shared" si="0"/>
        <v>Standard</v>
      </c>
    </row>
    <row r="17" spans="1:8">
      <c r="A17" s="2">
        <v>16</v>
      </c>
      <c r="B17" s="2" t="s">
        <v>21</v>
      </c>
      <c r="C17" s="2" t="s">
        <v>22</v>
      </c>
      <c r="D17" s="2">
        <v>38</v>
      </c>
      <c r="E17" s="3">
        <v>70228</v>
      </c>
      <c r="F17" s="2" t="s">
        <v>38</v>
      </c>
      <c r="G17" s="2" t="s">
        <v>18</v>
      </c>
      <c r="H17" t="str">
        <f t="shared" si="0"/>
        <v>Review</v>
      </c>
    </row>
    <row r="18" spans="1:8">
      <c r="A18" s="2">
        <v>17</v>
      </c>
      <c r="B18" s="2" t="s">
        <v>39</v>
      </c>
      <c r="C18" s="2" t="s">
        <v>8</v>
      </c>
      <c r="D18" s="2">
        <v>28</v>
      </c>
      <c r="E18" s="3">
        <v>63314</v>
      </c>
      <c r="F18" s="2" t="s">
        <v>20</v>
      </c>
      <c r="G18" s="2" t="s">
        <v>23</v>
      </c>
      <c r="H18" t="str">
        <f t="shared" si="0"/>
        <v>Review</v>
      </c>
    </row>
    <row r="19" spans="1:8">
      <c r="A19" s="2">
        <v>18</v>
      </c>
      <c r="B19" s="2" t="s">
        <v>40</v>
      </c>
      <c r="C19" s="2" t="s">
        <v>16</v>
      </c>
      <c r="D19" s="2">
        <v>25</v>
      </c>
      <c r="E19" s="3">
        <v>58509</v>
      </c>
      <c r="F19" s="2" t="s">
        <v>38</v>
      </c>
      <c r="G19" s="2" t="s">
        <v>23</v>
      </c>
      <c r="H19" t="str">
        <f t="shared" si="0"/>
        <v>Standard</v>
      </c>
    </row>
    <row r="20" spans="1:8">
      <c r="A20" s="2">
        <v>19</v>
      </c>
      <c r="B20" s="2" t="s">
        <v>36</v>
      </c>
      <c r="C20" s="2" t="s">
        <v>22</v>
      </c>
      <c r="D20" s="2">
        <v>1</v>
      </c>
      <c r="E20" s="3">
        <v>46884</v>
      </c>
      <c r="F20" s="2" t="s">
        <v>13</v>
      </c>
      <c r="G20" s="2" t="s">
        <v>18</v>
      </c>
      <c r="H20" t="str">
        <f t="shared" si="0"/>
        <v>Standard</v>
      </c>
    </row>
    <row r="21" spans="1:8">
      <c r="A21" s="2">
        <v>20</v>
      </c>
      <c r="B21" s="2" t="s">
        <v>30</v>
      </c>
      <c r="C21" s="2" t="s">
        <v>8</v>
      </c>
      <c r="D21" s="2">
        <v>46</v>
      </c>
      <c r="E21" s="3">
        <v>49657</v>
      </c>
      <c r="F21" s="2" t="s">
        <v>32</v>
      </c>
      <c r="G21" s="2" t="s">
        <v>14</v>
      </c>
      <c r="H21" t="str">
        <f t="shared" si="0"/>
        <v>Standard</v>
      </c>
    </row>
    <row r="22" spans="1:8">
      <c r="A22" s="2">
        <v>21</v>
      </c>
      <c r="B22" s="2" t="s">
        <v>37</v>
      </c>
      <c r="C22" s="2" t="s">
        <v>22</v>
      </c>
      <c r="D22" s="2">
        <v>14</v>
      </c>
      <c r="E22" s="3">
        <v>78900</v>
      </c>
      <c r="F22" s="2" t="s">
        <v>17</v>
      </c>
      <c r="G22" s="2" t="s">
        <v>14</v>
      </c>
      <c r="H22" t="str">
        <f t="shared" si="0"/>
        <v>Review</v>
      </c>
    </row>
    <row r="23" spans="1:8">
      <c r="A23" s="2">
        <v>22</v>
      </c>
      <c r="B23" s="2" t="s">
        <v>39</v>
      </c>
      <c r="C23" s="2" t="s">
        <v>8</v>
      </c>
      <c r="D23" s="2">
        <v>14</v>
      </c>
      <c r="E23" s="3">
        <v>72159</v>
      </c>
      <c r="F23" s="2" t="s">
        <v>13</v>
      </c>
      <c r="G23" s="2" t="s">
        <v>26</v>
      </c>
      <c r="H23" t="str">
        <f t="shared" si="0"/>
        <v>Review</v>
      </c>
    </row>
    <row r="24" spans="1:8">
      <c r="A24" s="2">
        <v>23</v>
      </c>
      <c r="B24" s="2" t="s">
        <v>41</v>
      </c>
      <c r="C24" s="2" t="s">
        <v>16</v>
      </c>
      <c r="D24" s="2">
        <v>18</v>
      </c>
      <c r="E24" s="3">
        <v>55875</v>
      </c>
      <c r="F24" s="2" t="s">
        <v>17</v>
      </c>
      <c r="G24" s="2" t="s">
        <v>18</v>
      </c>
      <c r="H24" t="str">
        <f t="shared" si="0"/>
        <v>Standard</v>
      </c>
    </row>
    <row r="25" spans="1:8">
      <c r="A25" s="2">
        <v>24</v>
      </c>
      <c r="B25" s="2" t="s">
        <v>42</v>
      </c>
      <c r="C25" s="2" t="s">
        <v>16</v>
      </c>
      <c r="D25" s="2">
        <v>49</v>
      </c>
      <c r="E25" s="3">
        <v>40668</v>
      </c>
      <c r="F25" s="2" t="s">
        <v>20</v>
      </c>
      <c r="G25" s="2" t="s">
        <v>18</v>
      </c>
      <c r="H25" t="str">
        <f t="shared" si="0"/>
        <v>Standard</v>
      </c>
    </row>
    <row r="26" spans="1:8">
      <c r="A26" s="2">
        <v>25</v>
      </c>
      <c r="B26" s="2" t="s">
        <v>43</v>
      </c>
      <c r="C26" s="2" t="s">
        <v>22</v>
      </c>
      <c r="D26" s="2">
        <v>46</v>
      </c>
      <c r="E26" s="3">
        <v>29660</v>
      </c>
      <c r="F26" s="2" t="s">
        <v>25</v>
      </c>
      <c r="G26" s="2" t="s">
        <v>10</v>
      </c>
      <c r="H26" t="str">
        <f t="shared" si="0"/>
        <v>Standard</v>
      </c>
    </row>
    <row r="27" spans="1:8">
      <c r="A27" s="2">
        <v>26</v>
      </c>
      <c r="B27" s="2" t="s">
        <v>40</v>
      </c>
      <c r="C27" s="2" t="s">
        <v>8</v>
      </c>
      <c r="D27" s="2">
        <v>5</v>
      </c>
      <c r="E27" s="3">
        <v>40017</v>
      </c>
      <c r="F27" s="2" t="s">
        <v>13</v>
      </c>
      <c r="G27" s="2" t="s">
        <v>26</v>
      </c>
      <c r="H27" t="str">
        <f t="shared" si="0"/>
        <v>Standard</v>
      </c>
    </row>
    <row r="28" spans="1:8">
      <c r="A28" s="2">
        <v>27</v>
      </c>
      <c r="B28" s="2" t="s">
        <v>44</v>
      </c>
      <c r="C28" s="2" t="s">
        <v>12</v>
      </c>
      <c r="D28" s="2">
        <v>37</v>
      </c>
      <c r="E28" s="3">
        <v>67150</v>
      </c>
      <c r="F28" s="2" t="s">
        <v>28</v>
      </c>
      <c r="G28" s="2" t="s">
        <v>23</v>
      </c>
      <c r="H28" t="str">
        <f t="shared" si="0"/>
        <v>Review</v>
      </c>
    </row>
    <row r="29" spans="1:8">
      <c r="A29" s="2">
        <v>28</v>
      </c>
      <c r="B29" s="2" t="s">
        <v>45</v>
      </c>
      <c r="C29" s="2" t="s">
        <v>16</v>
      </c>
      <c r="D29" s="2">
        <v>7</v>
      </c>
      <c r="E29" s="3">
        <v>60180</v>
      </c>
      <c r="F29" s="2" t="s">
        <v>28</v>
      </c>
      <c r="G29" s="2" t="s">
        <v>23</v>
      </c>
      <c r="H29" t="str">
        <f t="shared" si="0"/>
        <v>Review</v>
      </c>
    </row>
    <row r="30" spans="1:8">
      <c r="A30" s="2">
        <v>29</v>
      </c>
      <c r="B30" s="2" t="s">
        <v>46</v>
      </c>
      <c r="C30" s="2" t="s">
        <v>12</v>
      </c>
      <c r="D30" s="2">
        <v>35</v>
      </c>
      <c r="E30" s="3">
        <v>96396</v>
      </c>
      <c r="F30" s="2" t="s">
        <v>13</v>
      </c>
      <c r="G30" s="2" t="s">
        <v>14</v>
      </c>
      <c r="H30" t="str">
        <f t="shared" si="0"/>
        <v>Review</v>
      </c>
    </row>
    <row r="31" spans="1:8">
      <c r="A31" s="2">
        <v>30</v>
      </c>
      <c r="B31" s="2" t="s">
        <v>47</v>
      </c>
      <c r="C31" s="2" t="s">
        <v>12</v>
      </c>
      <c r="D31" s="2">
        <v>12</v>
      </c>
      <c r="E31" s="3">
        <v>96639</v>
      </c>
      <c r="F31" s="2" t="s">
        <v>17</v>
      </c>
      <c r="G31" s="2" t="s">
        <v>29</v>
      </c>
      <c r="H31" t="str">
        <f t="shared" si="0"/>
        <v>Review</v>
      </c>
    </row>
    <row r="32" spans="1:8">
      <c r="A32" s="2">
        <v>31</v>
      </c>
      <c r="B32" s="2" t="s">
        <v>48</v>
      </c>
      <c r="C32" s="2" t="s">
        <v>22</v>
      </c>
      <c r="D32" s="2">
        <v>24</v>
      </c>
      <c r="E32" s="3">
        <v>67390</v>
      </c>
      <c r="F32" s="2" t="s">
        <v>28</v>
      </c>
      <c r="G32" s="2" t="s">
        <v>29</v>
      </c>
      <c r="H32" t="str">
        <f t="shared" si="0"/>
        <v>Review</v>
      </c>
    </row>
    <row r="33" spans="1:8">
      <c r="A33" s="2">
        <v>32</v>
      </c>
      <c r="B33" s="2" t="s">
        <v>49</v>
      </c>
      <c r="C33" s="2" t="s">
        <v>22</v>
      </c>
      <c r="D33" s="2">
        <v>21</v>
      </c>
      <c r="E33" s="3">
        <v>34904</v>
      </c>
      <c r="F33" s="2" t="s">
        <v>13</v>
      </c>
      <c r="G33" s="2" t="s">
        <v>18</v>
      </c>
      <c r="H33" t="str">
        <f t="shared" si="0"/>
        <v>Standard</v>
      </c>
    </row>
    <row r="34" spans="1:8">
      <c r="A34" s="2">
        <v>33</v>
      </c>
      <c r="B34" s="2" t="s">
        <v>50</v>
      </c>
      <c r="C34" s="2" t="s">
        <v>22</v>
      </c>
      <c r="D34" s="2">
        <v>13</v>
      </c>
      <c r="E34" s="3">
        <v>96628</v>
      </c>
      <c r="F34" s="2" t="s">
        <v>32</v>
      </c>
      <c r="G34" s="2" t="s">
        <v>18</v>
      </c>
      <c r="H34" t="str">
        <f t="shared" si="0"/>
        <v>Review</v>
      </c>
    </row>
    <row r="35" spans="1:8">
      <c r="A35" s="2">
        <v>34</v>
      </c>
      <c r="B35" s="2" t="s">
        <v>42</v>
      </c>
      <c r="C35" s="2" t="s">
        <v>8</v>
      </c>
      <c r="D35" s="2">
        <v>30</v>
      </c>
      <c r="E35" s="3">
        <v>75254</v>
      </c>
      <c r="F35" s="2" t="s">
        <v>13</v>
      </c>
      <c r="G35" s="2" t="s">
        <v>26</v>
      </c>
      <c r="H35" t="str">
        <f t="shared" si="0"/>
        <v>Review</v>
      </c>
    </row>
    <row r="36" spans="1:8">
      <c r="A36" s="2">
        <v>35</v>
      </c>
      <c r="B36" s="2" t="s">
        <v>48</v>
      </c>
      <c r="C36" s="2" t="s">
        <v>16</v>
      </c>
      <c r="D36" s="2">
        <v>8</v>
      </c>
      <c r="E36" s="3">
        <v>80934</v>
      </c>
      <c r="F36" s="2" t="s">
        <v>9</v>
      </c>
      <c r="G36" s="2" t="s">
        <v>10</v>
      </c>
      <c r="H36" t="str">
        <f t="shared" si="0"/>
        <v>Review</v>
      </c>
    </row>
    <row r="37" spans="1:8">
      <c r="A37" s="2">
        <v>36</v>
      </c>
      <c r="B37" s="2" t="s">
        <v>27</v>
      </c>
      <c r="C37" s="2" t="s">
        <v>16</v>
      </c>
      <c r="D37" s="2">
        <v>17</v>
      </c>
      <c r="E37" s="3">
        <v>65565</v>
      </c>
      <c r="F37" s="2" t="s">
        <v>25</v>
      </c>
      <c r="G37" s="2" t="s">
        <v>10</v>
      </c>
      <c r="H37" t="str">
        <f t="shared" si="0"/>
        <v>Review</v>
      </c>
    </row>
    <row r="38" spans="1:8">
      <c r="A38" s="2">
        <v>37</v>
      </c>
      <c r="B38" s="2" t="s">
        <v>31</v>
      </c>
      <c r="C38" s="2" t="s">
        <v>12</v>
      </c>
      <c r="D38" s="2">
        <v>43</v>
      </c>
      <c r="E38" s="3">
        <v>84273</v>
      </c>
      <c r="F38" s="2" t="s">
        <v>17</v>
      </c>
      <c r="G38" s="2" t="s">
        <v>14</v>
      </c>
      <c r="H38" t="str">
        <f t="shared" si="0"/>
        <v>Review</v>
      </c>
    </row>
    <row r="39" spans="1:8">
      <c r="A39" s="2">
        <v>38</v>
      </c>
      <c r="B39" s="2" t="s">
        <v>34</v>
      </c>
      <c r="C39" s="2" t="s">
        <v>22</v>
      </c>
      <c r="D39" s="2">
        <v>32</v>
      </c>
      <c r="E39" s="3">
        <v>37016</v>
      </c>
      <c r="F39" s="2" t="s">
        <v>9</v>
      </c>
      <c r="G39" s="2" t="s">
        <v>26</v>
      </c>
      <c r="H39" t="str">
        <f t="shared" si="0"/>
        <v>Standard</v>
      </c>
    </row>
    <row r="40" spans="1:8">
      <c r="A40" s="2">
        <v>39</v>
      </c>
      <c r="B40" s="2" t="s">
        <v>51</v>
      </c>
      <c r="C40" s="2" t="s">
        <v>8</v>
      </c>
      <c r="D40" s="2">
        <v>34</v>
      </c>
      <c r="E40" s="3">
        <v>54005</v>
      </c>
      <c r="F40" s="2" t="s">
        <v>28</v>
      </c>
      <c r="G40" s="2" t="s">
        <v>29</v>
      </c>
      <c r="H40" t="str">
        <f t="shared" si="0"/>
        <v>Standard</v>
      </c>
    </row>
    <row r="41" spans="1:8">
      <c r="A41" s="2">
        <v>40</v>
      </c>
      <c r="B41" s="2" t="s">
        <v>52</v>
      </c>
      <c r="C41" s="2" t="s">
        <v>16</v>
      </c>
      <c r="D41" s="2">
        <v>41</v>
      </c>
      <c r="E41" s="3">
        <v>86030</v>
      </c>
      <c r="F41" s="2" t="s">
        <v>28</v>
      </c>
      <c r="G41" s="2" t="s">
        <v>10</v>
      </c>
      <c r="H41" t="str">
        <f t="shared" si="0"/>
        <v>Review</v>
      </c>
    </row>
    <row r="42" spans="1:8">
      <c r="A42" s="2">
        <v>41</v>
      </c>
      <c r="B42" s="2" t="s">
        <v>53</v>
      </c>
      <c r="C42" s="2" t="s">
        <v>8</v>
      </c>
      <c r="D42" s="2">
        <v>21</v>
      </c>
      <c r="E42" s="3">
        <v>93030</v>
      </c>
      <c r="F42" s="2" t="s">
        <v>17</v>
      </c>
      <c r="G42" s="2" t="s">
        <v>29</v>
      </c>
      <c r="H42" t="str">
        <f t="shared" si="0"/>
        <v>Review</v>
      </c>
    </row>
    <row r="43" spans="1:8">
      <c r="A43" s="2">
        <v>42</v>
      </c>
      <c r="B43" s="2" t="s">
        <v>54</v>
      </c>
      <c r="C43" s="2" t="s">
        <v>22</v>
      </c>
      <c r="D43" s="2">
        <v>39</v>
      </c>
      <c r="E43" s="3">
        <v>52788</v>
      </c>
      <c r="F43" s="2" t="s">
        <v>13</v>
      </c>
      <c r="G43" s="2" t="s">
        <v>26</v>
      </c>
      <c r="H43" t="str">
        <f t="shared" si="0"/>
        <v>Standard</v>
      </c>
    </row>
    <row r="44" spans="1:8">
      <c r="A44" s="2">
        <v>43</v>
      </c>
      <c r="B44" s="2" t="s">
        <v>55</v>
      </c>
      <c r="C44" s="2" t="s">
        <v>22</v>
      </c>
      <c r="D44" s="2">
        <v>25</v>
      </c>
      <c r="E44" s="3">
        <v>81201</v>
      </c>
      <c r="F44" s="2" t="s">
        <v>25</v>
      </c>
      <c r="G44" s="2" t="s">
        <v>10</v>
      </c>
      <c r="H44" t="str">
        <f t="shared" si="0"/>
        <v>Review</v>
      </c>
    </row>
    <row r="45" spans="1:8">
      <c r="A45" s="2">
        <v>44</v>
      </c>
      <c r="B45" s="2" t="s">
        <v>45</v>
      </c>
      <c r="C45" s="2" t="s">
        <v>16</v>
      </c>
      <c r="D45" s="2">
        <v>40</v>
      </c>
      <c r="E45" s="3">
        <v>83974</v>
      </c>
      <c r="F45" s="2" t="s">
        <v>20</v>
      </c>
      <c r="G45" s="2" t="s">
        <v>23</v>
      </c>
      <c r="H45" t="str">
        <f t="shared" si="0"/>
        <v>Review</v>
      </c>
    </row>
    <row r="46" spans="1:8">
      <c r="A46" s="2">
        <v>45</v>
      </c>
      <c r="B46" s="2" t="s">
        <v>56</v>
      </c>
      <c r="C46" s="2" t="s">
        <v>12</v>
      </c>
      <c r="D46" s="2">
        <v>26</v>
      </c>
      <c r="E46" s="3">
        <v>67158</v>
      </c>
      <c r="F46" s="2" t="s">
        <v>32</v>
      </c>
      <c r="G46" s="2" t="s">
        <v>18</v>
      </c>
      <c r="H46" t="str">
        <f t="shared" si="0"/>
        <v>Review</v>
      </c>
    </row>
    <row r="47" spans="1:8">
      <c r="A47" s="2">
        <v>46</v>
      </c>
      <c r="B47" s="2" t="s">
        <v>57</v>
      </c>
      <c r="C47" s="2" t="s">
        <v>12</v>
      </c>
      <c r="D47" s="2">
        <v>38</v>
      </c>
      <c r="E47" s="3">
        <v>28192</v>
      </c>
      <c r="F47" s="2" t="s">
        <v>9</v>
      </c>
      <c r="G47" s="2" t="s">
        <v>10</v>
      </c>
      <c r="H47" t="str">
        <f t="shared" si="0"/>
        <v>Standard</v>
      </c>
    </row>
    <row r="48" spans="1:8">
      <c r="A48" s="2">
        <v>47</v>
      </c>
      <c r="B48" s="2" t="s">
        <v>58</v>
      </c>
      <c r="C48" s="2" t="s">
        <v>22</v>
      </c>
      <c r="D48" s="2">
        <v>8</v>
      </c>
      <c r="E48" s="3">
        <v>38766</v>
      </c>
      <c r="F48" s="2" t="s">
        <v>25</v>
      </c>
      <c r="G48" s="2" t="s">
        <v>10</v>
      </c>
      <c r="H48" t="str">
        <f t="shared" si="0"/>
        <v>Standard</v>
      </c>
    </row>
    <row r="49" spans="1:8">
      <c r="A49" s="2">
        <v>48</v>
      </c>
      <c r="B49" s="2" t="s">
        <v>59</v>
      </c>
      <c r="C49" s="2" t="s">
        <v>22</v>
      </c>
      <c r="D49" s="2">
        <v>23</v>
      </c>
      <c r="E49" s="3">
        <v>93042</v>
      </c>
      <c r="F49" s="2" t="s">
        <v>20</v>
      </c>
      <c r="G49" s="2" t="s">
        <v>26</v>
      </c>
      <c r="H49" t="str">
        <f t="shared" si="0"/>
        <v>Review</v>
      </c>
    </row>
    <row r="50" spans="1:8">
      <c r="A50" s="2">
        <v>49</v>
      </c>
      <c r="B50" s="2" t="s">
        <v>60</v>
      </c>
      <c r="C50" s="2" t="s">
        <v>12</v>
      </c>
      <c r="D50" s="2">
        <v>23</v>
      </c>
      <c r="E50" s="3">
        <v>37039</v>
      </c>
      <c r="F50" s="2" t="s">
        <v>32</v>
      </c>
      <c r="G50" s="2" t="s">
        <v>14</v>
      </c>
      <c r="H50" t="str">
        <f t="shared" si="0"/>
        <v>Standard</v>
      </c>
    </row>
    <row r="51" spans="1:8">
      <c r="A51" s="2">
        <v>50</v>
      </c>
      <c r="B51" s="2" t="s">
        <v>61</v>
      </c>
      <c r="C51" s="2" t="s">
        <v>22</v>
      </c>
      <c r="D51" s="2">
        <v>30</v>
      </c>
      <c r="E51" s="3">
        <v>75522</v>
      </c>
      <c r="F51" s="2" t="s">
        <v>13</v>
      </c>
      <c r="G51" s="2" t="s">
        <v>23</v>
      </c>
      <c r="H51" t="str">
        <f t="shared" si="0"/>
        <v>Review</v>
      </c>
    </row>
    <row r="52" spans="1:8">
      <c r="A52" s="2">
        <v>51</v>
      </c>
      <c r="B52" s="2" t="s">
        <v>62</v>
      </c>
      <c r="C52" s="2" t="s">
        <v>16</v>
      </c>
      <c r="D52" s="2">
        <v>40</v>
      </c>
      <c r="E52" s="3">
        <v>63907</v>
      </c>
      <c r="F52" s="2" t="s">
        <v>17</v>
      </c>
      <c r="G52" s="2" t="s">
        <v>18</v>
      </c>
      <c r="H52" t="str">
        <f t="shared" si="0"/>
        <v>Review</v>
      </c>
    </row>
    <row r="53" spans="1:8">
      <c r="A53" s="2">
        <v>52</v>
      </c>
      <c r="B53" s="2" t="s">
        <v>63</v>
      </c>
      <c r="C53" s="2" t="s">
        <v>16</v>
      </c>
      <c r="D53" s="2">
        <v>12</v>
      </c>
      <c r="E53" s="3">
        <v>30965</v>
      </c>
      <c r="F53" s="2" t="s">
        <v>38</v>
      </c>
      <c r="G53" s="2" t="s">
        <v>23</v>
      </c>
      <c r="H53" t="str">
        <f t="shared" si="0"/>
        <v>Standard</v>
      </c>
    </row>
    <row r="54" spans="1:8">
      <c r="A54" s="2">
        <v>53</v>
      </c>
      <c r="B54" s="2" t="s">
        <v>53</v>
      </c>
      <c r="C54" s="2" t="s">
        <v>8</v>
      </c>
      <c r="D54" s="2">
        <v>44</v>
      </c>
      <c r="E54" s="3">
        <v>87144</v>
      </c>
      <c r="F54" s="2" t="s">
        <v>25</v>
      </c>
      <c r="G54" s="2" t="s">
        <v>26</v>
      </c>
      <c r="H54" t="str">
        <f t="shared" si="0"/>
        <v>Review</v>
      </c>
    </row>
    <row r="55" spans="1:8">
      <c r="A55" s="2">
        <v>54</v>
      </c>
      <c r="B55" s="2" t="s">
        <v>54</v>
      </c>
      <c r="C55" s="2" t="s">
        <v>12</v>
      </c>
      <c r="D55" s="2">
        <v>46</v>
      </c>
      <c r="E55" s="3">
        <v>65150</v>
      </c>
      <c r="F55" s="2" t="s">
        <v>13</v>
      </c>
      <c r="G55" s="2" t="s">
        <v>26</v>
      </c>
      <c r="H55" t="str">
        <f t="shared" si="0"/>
        <v>Review</v>
      </c>
    </row>
    <row r="56" spans="1:8">
      <c r="A56" s="2">
        <v>55</v>
      </c>
      <c r="B56" s="2" t="s">
        <v>64</v>
      </c>
      <c r="C56" s="2" t="s">
        <v>22</v>
      </c>
      <c r="D56" s="2">
        <v>20</v>
      </c>
      <c r="E56" s="3">
        <v>60773</v>
      </c>
      <c r="F56" s="2" t="s">
        <v>38</v>
      </c>
      <c r="G56" s="2" t="s">
        <v>18</v>
      </c>
      <c r="H56" t="str">
        <f t="shared" si="0"/>
        <v>Review</v>
      </c>
    </row>
    <row r="57" spans="1:8">
      <c r="A57" s="2">
        <v>56</v>
      </c>
      <c r="B57" s="2" t="s">
        <v>65</v>
      </c>
      <c r="C57" s="2" t="s">
        <v>8</v>
      </c>
      <c r="D57" s="2">
        <v>40</v>
      </c>
      <c r="E57" s="3">
        <v>83223</v>
      </c>
      <c r="F57" s="2" t="s">
        <v>20</v>
      </c>
      <c r="G57" s="2" t="s">
        <v>23</v>
      </c>
      <c r="H57" t="str">
        <f t="shared" si="0"/>
        <v>Review</v>
      </c>
    </row>
    <row r="58" spans="1:8">
      <c r="A58" s="2">
        <v>57</v>
      </c>
      <c r="B58" s="2" t="s">
        <v>35</v>
      </c>
      <c r="C58" s="2" t="s">
        <v>16</v>
      </c>
      <c r="D58" s="2">
        <v>38</v>
      </c>
      <c r="E58" s="3">
        <v>90033</v>
      </c>
      <c r="F58" s="2" t="s">
        <v>25</v>
      </c>
      <c r="G58" s="2" t="s">
        <v>23</v>
      </c>
      <c r="H58" t="str">
        <f t="shared" si="0"/>
        <v>Review</v>
      </c>
    </row>
    <row r="59" spans="1:8">
      <c r="A59" s="2">
        <v>58</v>
      </c>
      <c r="B59" s="2" t="s">
        <v>64</v>
      </c>
      <c r="C59" s="2" t="s">
        <v>12</v>
      </c>
      <c r="D59" s="2">
        <v>6</v>
      </c>
      <c r="E59" s="3">
        <v>29674</v>
      </c>
      <c r="F59" s="2" t="s">
        <v>9</v>
      </c>
      <c r="G59" s="2" t="s">
        <v>14</v>
      </c>
      <c r="H59" t="str">
        <f t="shared" si="0"/>
        <v>Standard</v>
      </c>
    </row>
    <row r="60" spans="1:8">
      <c r="A60" s="2">
        <v>59</v>
      </c>
      <c r="B60" s="2" t="s">
        <v>49</v>
      </c>
      <c r="C60" s="2" t="s">
        <v>16</v>
      </c>
      <c r="D60" s="2">
        <v>44</v>
      </c>
      <c r="E60" s="3">
        <v>63119</v>
      </c>
      <c r="F60" s="2" t="s">
        <v>13</v>
      </c>
      <c r="G60" s="2" t="s">
        <v>29</v>
      </c>
      <c r="H60" t="str">
        <f t="shared" si="0"/>
        <v>Review</v>
      </c>
    </row>
    <row r="61" spans="1:8">
      <c r="A61" s="2">
        <v>60</v>
      </c>
      <c r="B61" s="2" t="s">
        <v>27</v>
      </c>
      <c r="C61" s="2" t="s">
        <v>22</v>
      </c>
      <c r="D61" s="2">
        <v>9</v>
      </c>
      <c r="E61" s="3">
        <v>46509</v>
      </c>
      <c r="F61" s="2" t="s">
        <v>20</v>
      </c>
      <c r="G61" s="2" t="s">
        <v>23</v>
      </c>
      <c r="H61" t="str">
        <f t="shared" si="0"/>
        <v>Standard</v>
      </c>
    </row>
    <row r="62" spans="1:8">
      <c r="A62" s="2">
        <v>61</v>
      </c>
      <c r="B62" s="2" t="s">
        <v>66</v>
      </c>
      <c r="C62" s="2" t="s">
        <v>8</v>
      </c>
      <c r="D62" s="2">
        <v>21</v>
      </c>
      <c r="E62" s="3">
        <v>37152</v>
      </c>
      <c r="F62" s="2" t="s">
        <v>20</v>
      </c>
      <c r="G62" s="2" t="s">
        <v>26</v>
      </c>
      <c r="H62" t="str">
        <f t="shared" si="0"/>
        <v>Standard</v>
      </c>
    </row>
    <row r="63" spans="1:8">
      <c r="A63" s="2">
        <v>62</v>
      </c>
      <c r="B63" s="2" t="s">
        <v>51</v>
      </c>
      <c r="C63" s="2" t="s">
        <v>22</v>
      </c>
      <c r="D63" s="2">
        <v>8</v>
      </c>
      <c r="E63" s="3">
        <v>93097</v>
      </c>
      <c r="F63" s="2" t="s">
        <v>28</v>
      </c>
      <c r="G63" s="2" t="s">
        <v>18</v>
      </c>
      <c r="H63" t="str">
        <f t="shared" si="0"/>
        <v>Review</v>
      </c>
    </row>
    <row r="64" spans="1:8">
      <c r="A64" s="2">
        <v>63</v>
      </c>
      <c r="B64" s="2" t="s">
        <v>47</v>
      </c>
      <c r="C64" s="2" t="s">
        <v>22</v>
      </c>
      <c r="D64" s="2">
        <v>16</v>
      </c>
      <c r="E64" s="3">
        <v>55208</v>
      </c>
      <c r="F64" s="2" t="s">
        <v>32</v>
      </c>
      <c r="G64" s="2" t="s">
        <v>18</v>
      </c>
      <c r="H64" t="str">
        <f t="shared" si="0"/>
        <v>Standard</v>
      </c>
    </row>
    <row r="65" spans="1:8">
      <c r="A65" s="2">
        <v>64</v>
      </c>
      <c r="B65" s="2" t="s">
        <v>55</v>
      </c>
      <c r="C65" s="2" t="s">
        <v>12</v>
      </c>
      <c r="D65" s="2">
        <v>20</v>
      </c>
      <c r="E65" s="3">
        <v>70627</v>
      </c>
      <c r="F65" s="2" t="s">
        <v>17</v>
      </c>
      <c r="G65" s="2" t="s">
        <v>14</v>
      </c>
      <c r="H65" t="str">
        <f t="shared" si="0"/>
        <v>Review</v>
      </c>
    </row>
    <row r="66" spans="1:8">
      <c r="A66" s="2">
        <v>65</v>
      </c>
      <c r="B66" s="2" t="s">
        <v>43</v>
      </c>
      <c r="C66" s="2" t="s">
        <v>12</v>
      </c>
      <c r="D66" s="2">
        <v>8</v>
      </c>
      <c r="E66" s="3">
        <v>64098</v>
      </c>
      <c r="F66" s="2" t="s">
        <v>20</v>
      </c>
      <c r="G66" s="2" t="s">
        <v>29</v>
      </c>
      <c r="H66" t="str">
        <f t="shared" si="0"/>
        <v>Review</v>
      </c>
    </row>
    <row r="67" spans="1:8">
      <c r="A67" s="2">
        <v>66</v>
      </c>
      <c r="B67" s="2" t="s">
        <v>67</v>
      </c>
      <c r="C67" s="2" t="s">
        <v>22</v>
      </c>
      <c r="D67" s="2">
        <v>12</v>
      </c>
      <c r="E67" s="3">
        <v>58827</v>
      </c>
      <c r="F67" s="2" t="s">
        <v>38</v>
      </c>
      <c r="G67" s="2" t="s">
        <v>18</v>
      </c>
      <c r="H67" t="str">
        <f t="shared" ref="H67:H130" si="1">IF(AND(F67="Electric",E67&gt;45000),"Urgent",IF(OR(F67="Hybrid",E67&gt;60000),"Review","Standard"))</f>
        <v>Standard</v>
      </c>
    </row>
    <row r="68" spans="1:8">
      <c r="A68" s="2">
        <v>67</v>
      </c>
      <c r="B68" s="2" t="s">
        <v>68</v>
      </c>
      <c r="C68" s="2" t="s">
        <v>12</v>
      </c>
      <c r="D68" s="2">
        <v>24</v>
      </c>
      <c r="E68" s="3">
        <v>65852</v>
      </c>
      <c r="F68" s="2" t="s">
        <v>13</v>
      </c>
      <c r="G68" s="2" t="s">
        <v>14</v>
      </c>
      <c r="H68" t="str">
        <f t="shared" si="1"/>
        <v>Review</v>
      </c>
    </row>
    <row r="69" spans="1:8">
      <c r="A69" s="2">
        <v>68</v>
      </c>
      <c r="B69" s="2" t="s">
        <v>53</v>
      </c>
      <c r="C69" s="2" t="s">
        <v>8</v>
      </c>
      <c r="D69" s="2">
        <v>45</v>
      </c>
      <c r="E69" s="3">
        <v>61904</v>
      </c>
      <c r="F69" s="2" t="s">
        <v>13</v>
      </c>
      <c r="G69" s="2" t="s">
        <v>18</v>
      </c>
      <c r="H69" t="str">
        <f t="shared" si="1"/>
        <v>Review</v>
      </c>
    </row>
    <row r="70" spans="1:8">
      <c r="A70" s="2">
        <v>69</v>
      </c>
      <c r="B70" s="2" t="s">
        <v>69</v>
      </c>
      <c r="C70" s="2" t="s">
        <v>8</v>
      </c>
      <c r="D70" s="2">
        <v>10</v>
      </c>
      <c r="E70" s="3">
        <v>96255</v>
      </c>
      <c r="F70" s="2" t="s">
        <v>28</v>
      </c>
      <c r="G70" s="2" t="s">
        <v>10</v>
      </c>
      <c r="H70" t="str">
        <f t="shared" si="1"/>
        <v>Review</v>
      </c>
    </row>
    <row r="71" spans="1:8">
      <c r="A71" s="2">
        <v>70</v>
      </c>
      <c r="B71" s="2" t="s">
        <v>37</v>
      </c>
      <c r="C71" s="2" t="s">
        <v>22</v>
      </c>
      <c r="D71" s="2">
        <v>33</v>
      </c>
      <c r="E71" s="3">
        <v>82405</v>
      </c>
      <c r="F71" s="2" t="s">
        <v>38</v>
      </c>
      <c r="G71" s="2" t="s">
        <v>26</v>
      </c>
      <c r="H71" t="str">
        <f t="shared" si="1"/>
        <v>Review</v>
      </c>
    </row>
    <row r="72" spans="1:8">
      <c r="A72" s="2">
        <v>71</v>
      </c>
      <c r="B72" s="2" t="s">
        <v>70</v>
      </c>
      <c r="C72" s="2" t="s">
        <v>8</v>
      </c>
      <c r="D72" s="2">
        <v>25</v>
      </c>
      <c r="E72" s="3">
        <v>51773</v>
      </c>
      <c r="F72" s="2" t="s">
        <v>25</v>
      </c>
      <c r="G72" s="2" t="s">
        <v>23</v>
      </c>
      <c r="H72" t="str">
        <f t="shared" si="1"/>
        <v>Standard</v>
      </c>
    </row>
    <row r="73" spans="1:8">
      <c r="A73" s="2">
        <v>72</v>
      </c>
      <c r="B73" s="2" t="s">
        <v>27</v>
      </c>
      <c r="C73" s="2" t="s">
        <v>22</v>
      </c>
      <c r="D73" s="2">
        <v>27</v>
      </c>
      <c r="E73" s="3">
        <v>60691</v>
      </c>
      <c r="F73" s="2" t="s">
        <v>9</v>
      </c>
      <c r="G73" s="2" t="s">
        <v>29</v>
      </c>
      <c r="H73" t="str">
        <f t="shared" si="1"/>
        <v>Review</v>
      </c>
    </row>
    <row r="74" spans="1:8">
      <c r="A74" s="2">
        <v>73</v>
      </c>
      <c r="B74" s="2" t="s">
        <v>71</v>
      </c>
      <c r="C74" s="2" t="s">
        <v>8</v>
      </c>
      <c r="D74" s="2">
        <v>39</v>
      </c>
      <c r="E74" s="3">
        <v>32869</v>
      </c>
      <c r="F74" s="2" t="s">
        <v>9</v>
      </c>
      <c r="G74" s="2" t="s">
        <v>23</v>
      </c>
      <c r="H74" t="str">
        <f t="shared" si="1"/>
        <v>Standard</v>
      </c>
    </row>
    <row r="75" spans="1:8">
      <c r="A75" s="2">
        <v>74</v>
      </c>
      <c r="B75" s="2" t="s">
        <v>72</v>
      </c>
      <c r="C75" s="2" t="s">
        <v>16</v>
      </c>
      <c r="D75" s="2">
        <v>9</v>
      </c>
      <c r="E75" s="3">
        <v>28555</v>
      </c>
      <c r="F75" s="2" t="s">
        <v>38</v>
      </c>
      <c r="G75" s="2" t="s">
        <v>23</v>
      </c>
      <c r="H75" t="str">
        <f t="shared" si="1"/>
        <v>Standard</v>
      </c>
    </row>
    <row r="76" spans="1:8">
      <c r="A76" s="2">
        <v>75</v>
      </c>
      <c r="B76" s="2" t="s">
        <v>57</v>
      </c>
      <c r="C76" s="2" t="s">
        <v>22</v>
      </c>
      <c r="D76" s="2">
        <v>37</v>
      </c>
      <c r="E76" s="3">
        <v>39519</v>
      </c>
      <c r="F76" s="2" t="s">
        <v>32</v>
      </c>
      <c r="G76" s="2" t="s">
        <v>10</v>
      </c>
      <c r="H76" t="str">
        <f t="shared" si="1"/>
        <v>Standard</v>
      </c>
    </row>
    <row r="77" spans="1:8">
      <c r="A77" s="2">
        <v>76</v>
      </c>
      <c r="B77" s="2" t="s">
        <v>19</v>
      </c>
      <c r="C77" s="2" t="s">
        <v>8</v>
      </c>
      <c r="D77" s="2">
        <v>25</v>
      </c>
      <c r="E77" s="3">
        <v>84785</v>
      </c>
      <c r="F77" s="2" t="s">
        <v>28</v>
      </c>
      <c r="G77" s="2" t="s">
        <v>29</v>
      </c>
      <c r="H77" t="str">
        <f t="shared" si="1"/>
        <v>Review</v>
      </c>
    </row>
    <row r="78" spans="1:8">
      <c r="A78" s="2">
        <v>77</v>
      </c>
      <c r="B78" s="2" t="s">
        <v>50</v>
      </c>
      <c r="C78" s="2" t="s">
        <v>16</v>
      </c>
      <c r="D78" s="2">
        <v>28</v>
      </c>
      <c r="E78" s="3">
        <v>31027</v>
      </c>
      <c r="F78" s="2" t="s">
        <v>32</v>
      </c>
      <c r="G78" s="2" t="s">
        <v>23</v>
      </c>
      <c r="H78" t="str">
        <f t="shared" si="1"/>
        <v>Standard</v>
      </c>
    </row>
    <row r="79" spans="1:8">
      <c r="A79" s="2">
        <v>78</v>
      </c>
      <c r="B79" s="2" t="s">
        <v>73</v>
      </c>
      <c r="C79" s="2" t="s">
        <v>22</v>
      </c>
      <c r="D79" s="2">
        <v>12</v>
      </c>
      <c r="E79" s="3">
        <v>79362</v>
      </c>
      <c r="F79" s="2" t="s">
        <v>38</v>
      </c>
      <c r="G79" s="2" t="s">
        <v>14</v>
      </c>
      <c r="H79" t="str">
        <f t="shared" si="1"/>
        <v>Review</v>
      </c>
    </row>
    <row r="80" spans="1:8">
      <c r="A80" s="2">
        <v>79</v>
      </c>
      <c r="B80" s="2" t="s">
        <v>74</v>
      </c>
      <c r="C80" s="2" t="s">
        <v>8</v>
      </c>
      <c r="D80" s="2">
        <v>32</v>
      </c>
      <c r="E80" s="3">
        <v>49083</v>
      </c>
      <c r="F80" s="2" t="s">
        <v>32</v>
      </c>
      <c r="G80" s="2" t="s">
        <v>18</v>
      </c>
      <c r="H80" t="str">
        <f t="shared" si="1"/>
        <v>Standard</v>
      </c>
    </row>
    <row r="81" spans="1:8">
      <c r="A81" s="2">
        <v>80</v>
      </c>
      <c r="B81" s="2" t="s">
        <v>62</v>
      </c>
      <c r="C81" s="2" t="s">
        <v>8</v>
      </c>
      <c r="D81" s="2">
        <v>41</v>
      </c>
      <c r="E81" s="3">
        <v>66335</v>
      </c>
      <c r="F81" s="2" t="s">
        <v>25</v>
      </c>
      <c r="G81" s="2" t="s">
        <v>26</v>
      </c>
      <c r="H81" t="str">
        <f t="shared" si="1"/>
        <v>Review</v>
      </c>
    </row>
    <row r="82" spans="1:8">
      <c r="A82" s="2">
        <v>81</v>
      </c>
      <c r="B82" s="2" t="s">
        <v>75</v>
      </c>
      <c r="C82" s="2" t="s">
        <v>16</v>
      </c>
      <c r="D82" s="2">
        <v>35</v>
      </c>
      <c r="E82" s="3">
        <v>93382</v>
      </c>
      <c r="F82" s="2" t="s">
        <v>38</v>
      </c>
      <c r="G82" s="2" t="s">
        <v>18</v>
      </c>
      <c r="H82" t="str">
        <f t="shared" si="1"/>
        <v>Review</v>
      </c>
    </row>
    <row r="83" spans="1:8">
      <c r="A83" s="2">
        <v>82</v>
      </c>
      <c r="B83" s="2" t="s">
        <v>64</v>
      </c>
      <c r="C83" s="2" t="s">
        <v>12</v>
      </c>
      <c r="D83" s="2">
        <v>45</v>
      </c>
      <c r="E83" s="3">
        <v>52078</v>
      </c>
      <c r="F83" s="2" t="s">
        <v>17</v>
      </c>
      <c r="G83" s="2" t="s">
        <v>26</v>
      </c>
      <c r="H83" t="str">
        <f t="shared" si="1"/>
        <v>Standard</v>
      </c>
    </row>
    <row r="84" spans="1:8">
      <c r="A84" s="2">
        <v>83</v>
      </c>
      <c r="B84" s="2" t="s">
        <v>69</v>
      </c>
      <c r="C84" s="2" t="s">
        <v>12</v>
      </c>
      <c r="D84" s="2">
        <v>42</v>
      </c>
      <c r="E84" s="3">
        <v>65316</v>
      </c>
      <c r="F84" s="2" t="s">
        <v>32</v>
      </c>
      <c r="G84" s="2" t="s">
        <v>14</v>
      </c>
      <c r="H84" t="str">
        <f t="shared" si="1"/>
        <v>Review</v>
      </c>
    </row>
    <row r="85" spans="1:8">
      <c r="A85" s="2">
        <v>84</v>
      </c>
      <c r="B85" s="2" t="s">
        <v>11</v>
      </c>
      <c r="C85" s="2" t="s">
        <v>16</v>
      </c>
      <c r="D85" s="2">
        <v>12</v>
      </c>
      <c r="E85" s="3">
        <v>45607</v>
      </c>
      <c r="F85" s="2" t="s">
        <v>38</v>
      </c>
      <c r="G85" s="2" t="s">
        <v>18</v>
      </c>
      <c r="H85" t="str">
        <f t="shared" si="1"/>
        <v>Standard</v>
      </c>
    </row>
    <row r="86" spans="1:8">
      <c r="A86" s="2">
        <v>85</v>
      </c>
      <c r="B86" s="2" t="s">
        <v>42</v>
      </c>
      <c r="C86" s="2" t="s">
        <v>16</v>
      </c>
      <c r="D86" s="2">
        <v>36</v>
      </c>
      <c r="E86" s="3">
        <v>35768</v>
      </c>
      <c r="F86" s="2" t="s">
        <v>25</v>
      </c>
      <c r="G86" s="2" t="s">
        <v>10</v>
      </c>
      <c r="H86" t="str">
        <f t="shared" si="1"/>
        <v>Standard</v>
      </c>
    </row>
    <row r="87" spans="1:8">
      <c r="A87" s="2">
        <v>86</v>
      </c>
      <c r="B87" s="2" t="s">
        <v>76</v>
      </c>
      <c r="C87" s="2" t="s">
        <v>22</v>
      </c>
      <c r="D87" s="2">
        <v>11</v>
      </c>
      <c r="E87" s="3">
        <v>42146</v>
      </c>
      <c r="F87" s="2" t="s">
        <v>20</v>
      </c>
      <c r="G87" s="2" t="s">
        <v>14</v>
      </c>
      <c r="H87" t="str">
        <f t="shared" si="1"/>
        <v>Standard</v>
      </c>
    </row>
    <row r="88" spans="1:8">
      <c r="A88" s="2">
        <v>87</v>
      </c>
      <c r="B88" s="2" t="s">
        <v>48</v>
      </c>
      <c r="C88" s="2" t="s">
        <v>12</v>
      </c>
      <c r="D88" s="2">
        <v>32</v>
      </c>
      <c r="E88" s="3">
        <v>37839</v>
      </c>
      <c r="F88" s="2" t="s">
        <v>28</v>
      </c>
      <c r="G88" s="2" t="s">
        <v>10</v>
      </c>
      <c r="H88" t="str">
        <f t="shared" si="1"/>
        <v>Standard</v>
      </c>
    </row>
    <row r="89" spans="1:8">
      <c r="A89" s="2">
        <v>88</v>
      </c>
      <c r="B89" s="2" t="s">
        <v>47</v>
      </c>
      <c r="C89" s="2" t="s">
        <v>22</v>
      </c>
      <c r="D89" s="2">
        <v>19</v>
      </c>
      <c r="E89" s="3">
        <v>51734</v>
      </c>
      <c r="F89" s="2" t="s">
        <v>13</v>
      </c>
      <c r="G89" s="2" t="s">
        <v>29</v>
      </c>
      <c r="H89" t="str">
        <f t="shared" si="1"/>
        <v>Standard</v>
      </c>
    </row>
    <row r="90" spans="1:8">
      <c r="A90" s="2">
        <v>89</v>
      </c>
      <c r="B90" s="2" t="s">
        <v>70</v>
      </c>
      <c r="C90" s="2" t="s">
        <v>8</v>
      </c>
      <c r="D90" s="2">
        <v>9</v>
      </c>
      <c r="E90" s="3">
        <v>67678</v>
      </c>
      <c r="F90" s="2" t="s">
        <v>17</v>
      </c>
      <c r="G90" s="2" t="s">
        <v>18</v>
      </c>
      <c r="H90" t="str">
        <f t="shared" si="1"/>
        <v>Review</v>
      </c>
    </row>
    <row r="91" spans="1:8">
      <c r="A91" s="2">
        <v>90</v>
      </c>
      <c r="B91" s="2" t="s">
        <v>65</v>
      </c>
      <c r="C91" s="2" t="s">
        <v>16</v>
      </c>
      <c r="D91" s="2">
        <v>12</v>
      </c>
      <c r="E91" s="3">
        <v>59718</v>
      </c>
      <c r="F91" s="2" t="s">
        <v>13</v>
      </c>
      <c r="G91" s="2" t="s">
        <v>10</v>
      </c>
      <c r="H91" t="str">
        <f t="shared" si="1"/>
        <v>Standard</v>
      </c>
    </row>
    <row r="92" spans="1:8">
      <c r="A92" s="2">
        <v>91</v>
      </c>
      <c r="B92" s="2" t="s">
        <v>21</v>
      </c>
      <c r="C92" s="2" t="s">
        <v>22</v>
      </c>
      <c r="D92" s="2">
        <v>21</v>
      </c>
      <c r="E92" s="3">
        <v>62827</v>
      </c>
      <c r="F92" s="2" t="s">
        <v>13</v>
      </c>
      <c r="G92" s="2" t="s">
        <v>18</v>
      </c>
      <c r="H92" t="str">
        <f t="shared" si="1"/>
        <v>Review</v>
      </c>
    </row>
    <row r="93" spans="1:8">
      <c r="A93" s="2">
        <v>92</v>
      </c>
      <c r="B93" s="2" t="s">
        <v>63</v>
      </c>
      <c r="C93" s="2" t="s">
        <v>16</v>
      </c>
      <c r="D93" s="2">
        <v>29</v>
      </c>
      <c r="E93" s="3">
        <v>36230</v>
      </c>
      <c r="F93" s="2" t="s">
        <v>32</v>
      </c>
      <c r="G93" s="2" t="s">
        <v>29</v>
      </c>
      <c r="H93" t="str">
        <f t="shared" si="1"/>
        <v>Standard</v>
      </c>
    </row>
    <row r="94" spans="1:8">
      <c r="A94" s="2">
        <v>93</v>
      </c>
      <c r="B94" s="2" t="s">
        <v>77</v>
      </c>
      <c r="C94" s="2" t="s">
        <v>22</v>
      </c>
      <c r="D94" s="2">
        <v>40</v>
      </c>
      <c r="E94" s="3">
        <v>56668</v>
      </c>
      <c r="F94" s="2" t="s">
        <v>38</v>
      </c>
      <c r="G94" s="2" t="s">
        <v>23</v>
      </c>
      <c r="H94" t="str">
        <f t="shared" si="1"/>
        <v>Standard</v>
      </c>
    </row>
    <row r="95" spans="1:8">
      <c r="A95" s="2">
        <v>94</v>
      </c>
      <c r="B95" s="2" t="s">
        <v>42</v>
      </c>
      <c r="C95" s="2" t="s">
        <v>8</v>
      </c>
      <c r="D95" s="2">
        <v>4</v>
      </c>
      <c r="E95" s="3">
        <v>25173</v>
      </c>
      <c r="F95" s="2" t="s">
        <v>20</v>
      </c>
      <c r="G95" s="2" t="s">
        <v>18</v>
      </c>
      <c r="H95" t="str">
        <f t="shared" si="1"/>
        <v>Standard</v>
      </c>
    </row>
    <row r="96" spans="1:8">
      <c r="A96" s="2">
        <v>95</v>
      </c>
      <c r="B96" s="2" t="s">
        <v>78</v>
      </c>
      <c r="C96" s="2" t="s">
        <v>8</v>
      </c>
      <c r="D96" s="2">
        <v>23</v>
      </c>
      <c r="E96" s="3">
        <v>28990</v>
      </c>
      <c r="F96" s="2" t="s">
        <v>20</v>
      </c>
      <c r="G96" s="2" t="s">
        <v>29</v>
      </c>
      <c r="H96" t="str">
        <f t="shared" si="1"/>
        <v>Standard</v>
      </c>
    </row>
    <row r="97" spans="1:8">
      <c r="A97" s="2">
        <v>96</v>
      </c>
      <c r="B97" s="2" t="s">
        <v>79</v>
      </c>
      <c r="C97" s="2" t="s">
        <v>12</v>
      </c>
      <c r="D97" s="2">
        <v>1</v>
      </c>
      <c r="E97" s="3">
        <v>26440</v>
      </c>
      <c r="F97" s="2" t="s">
        <v>28</v>
      </c>
      <c r="G97" s="2" t="s">
        <v>14</v>
      </c>
      <c r="H97" t="str">
        <f t="shared" si="1"/>
        <v>Standard</v>
      </c>
    </row>
    <row r="98" spans="1:8">
      <c r="A98" s="2">
        <v>97</v>
      </c>
      <c r="B98" s="2" t="s">
        <v>43</v>
      </c>
      <c r="C98" s="2" t="s">
        <v>12</v>
      </c>
      <c r="D98" s="2">
        <v>32</v>
      </c>
      <c r="E98" s="3">
        <v>76505</v>
      </c>
      <c r="F98" s="2" t="s">
        <v>17</v>
      </c>
      <c r="G98" s="2" t="s">
        <v>18</v>
      </c>
      <c r="H98" t="str">
        <f t="shared" si="1"/>
        <v>Review</v>
      </c>
    </row>
    <row r="99" spans="1:8">
      <c r="A99" s="2">
        <v>98</v>
      </c>
      <c r="B99" s="2" t="s">
        <v>72</v>
      </c>
      <c r="C99" s="2" t="s">
        <v>8</v>
      </c>
      <c r="D99" s="2">
        <v>9</v>
      </c>
      <c r="E99" s="3">
        <v>86067</v>
      </c>
      <c r="F99" s="2" t="s">
        <v>17</v>
      </c>
      <c r="G99" s="2" t="s">
        <v>14</v>
      </c>
      <c r="H99" t="str">
        <f t="shared" si="1"/>
        <v>Review</v>
      </c>
    </row>
    <row r="100" spans="1:8">
      <c r="A100" s="2">
        <v>99</v>
      </c>
      <c r="B100" s="2" t="s">
        <v>49</v>
      </c>
      <c r="C100" s="2" t="s">
        <v>22</v>
      </c>
      <c r="D100" s="2">
        <v>13</v>
      </c>
      <c r="E100" s="3">
        <v>40674</v>
      </c>
      <c r="F100" s="2" t="s">
        <v>28</v>
      </c>
      <c r="G100" s="2" t="s">
        <v>29</v>
      </c>
      <c r="H100" t="str">
        <f t="shared" si="1"/>
        <v>Standard</v>
      </c>
    </row>
    <row r="101" spans="1:8">
      <c r="A101" s="2">
        <v>100</v>
      </c>
      <c r="B101" s="2" t="s">
        <v>68</v>
      </c>
      <c r="C101" s="2" t="s">
        <v>16</v>
      </c>
      <c r="D101" s="2">
        <v>25</v>
      </c>
      <c r="E101" s="3">
        <v>82750</v>
      </c>
      <c r="F101" s="2" t="s">
        <v>32</v>
      </c>
      <c r="G101" s="2" t="s">
        <v>14</v>
      </c>
      <c r="H101" t="str">
        <f t="shared" si="1"/>
        <v>Review</v>
      </c>
    </row>
    <row r="102" spans="1:8">
      <c r="A102" s="2">
        <v>101</v>
      </c>
      <c r="B102" s="2" t="s">
        <v>80</v>
      </c>
      <c r="C102" s="2" t="s">
        <v>8</v>
      </c>
      <c r="D102" s="2">
        <v>36</v>
      </c>
      <c r="E102" s="3">
        <v>62409</v>
      </c>
      <c r="F102" s="2" t="s">
        <v>32</v>
      </c>
      <c r="G102" s="2" t="s">
        <v>10</v>
      </c>
      <c r="H102" t="str">
        <f t="shared" si="1"/>
        <v>Review</v>
      </c>
    </row>
    <row r="103" spans="1:8">
      <c r="A103" s="2">
        <v>102</v>
      </c>
      <c r="B103" s="2" t="s">
        <v>39</v>
      </c>
      <c r="C103" s="2" t="s">
        <v>8</v>
      </c>
      <c r="D103" s="2">
        <v>33</v>
      </c>
      <c r="E103" s="3">
        <v>61410</v>
      </c>
      <c r="F103" s="2" t="s">
        <v>9</v>
      </c>
      <c r="G103" s="2" t="s">
        <v>23</v>
      </c>
      <c r="H103" t="str">
        <f t="shared" si="1"/>
        <v>Review</v>
      </c>
    </row>
    <row r="104" spans="1:8">
      <c r="A104" s="2">
        <v>103</v>
      </c>
      <c r="B104" s="2" t="s">
        <v>81</v>
      </c>
      <c r="C104" s="2" t="s">
        <v>22</v>
      </c>
      <c r="D104" s="2">
        <v>42</v>
      </c>
      <c r="E104" s="3">
        <v>64707</v>
      </c>
      <c r="F104" s="2" t="s">
        <v>13</v>
      </c>
      <c r="G104" s="2" t="s">
        <v>14</v>
      </c>
      <c r="H104" t="str">
        <f t="shared" si="1"/>
        <v>Review</v>
      </c>
    </row>
    <row r="105" spans="1:8">
      <c r="A105" s="2">
        <v>104</v>
      </c>
      <c r="B105" s="2" t="s">
        <v>55</v>
      </c>
      <c r="C105" s="2" t="s">
        <v>8</v>
      </c>
      <c r="D105" s="2">
        <v>32</v>
      </c>
      <c r="E105" s="3">
        <v>80119</v>
      </c>
      <c r="F105" s="2" t="s">
        <v>38</v>
      </c>
      <c r="G105" s="2" t="s">
        <v>10</v>
      </c>
      <c r="H105" t="str">
        <f t="shared" si="1"/>
        <v>Review</v>
      </c>
    </row>
    <row r="106" spans="1:8">
      <c r="A106" s="2">
        <v>105</v>
      </c>
      <c r="B106" s="2" t="s">
        <v>54</v>
      </c>
      <c r="C106" s="2" t="s">
        <v>8</v>
      </c>
      <c r="D106" s="2">
        <v>27</v>
      </c>
      <c r="E106" s="3">
        <v>58807</v>
      </c>
      <c r="F106" s="2" t="s">
        <v>28</v>
      </c>
      <c r="G106" s="2" t="s">
        <v>23</v>
      </c>
      <c r="H106" t="str">
        <f t="shared" si="1"/>
        <v>Standard</v>
      </c>
    </row>
    <row r="107" spans="1:8">
      <c r="A107" s="2">
        <v>106</v>
      </c>
      <c r="B107" s="2" t="s">
        <v>82</v>
      </c>
      <c r="C107" s="2" t="s">
        <v>22</v>
      </c>
      <c r="D107" s="2">
        <v>44</v>
      </c>
      <c r="E107" s="3">
        <v>58282</v>
      </c>
      <c r="F107" s="2" t="s">
        <v>25</v>
      </c>
      <c r="G107" s="2" t="s">
        <v>29</v>
      </c>
      <c r="H107" t="str">
        <f t="shared" si="1"/>
        <v>Standard</v>
      </c>
    </row>
    <row r="108" spans="1:8">
      <c r="A108" s="2">
        <v>107</v>
      </c>
      <c r="B108" s="2" t="s">
        <v>71</v>
      </c>
      <c r="C108" s="2" t="s">
        <v>8</v>
      </c>
      <c r="D108" s="2">
        <v>32</v>
      </c>
      <c r="E108" s="3">
        <v>87144</v>
      </c>
      <c r="F108" s="2" t="s">
        <v>13</v>
      </c>
      <c r="G108" s="2" t="s">
        <v>29</v>
      </c>
      <c r="H108" t="str">
        <f t="shared" si="1"/>
        <v>Review</v>
      </c>
    </row>
    <row r="109" spans="1:8">
      <c r="A109" s="2">
        <v>108</v>
      </c>
      <c r="B109" s="2" t="s">
        <v>41</v>
      </c>
      <c r="C109" s="2" t="s">
        <v>12</v>
      </c>
      <c r="D109" s="2">
        <v>27</v>
      </c>
      <c r="E109" s="3">
        <v>65200</v>
      </c>
      <c r="F109" s="2" t="s">
        <v>20</v>
      </c>
      <c r="G109" s="2" t="s">
        <v>18</v>
      </c>
      <c r="H109" t="str">
        <f t="shared" si="1"/>
        <v>Review</v>
      </c>
    </row>
    <row r="110" spans="1:8">
      <c r="A110" s="2">
        <v>109</v>
      </c>
      <c r="B110" s="2" t="s">
        <v>52</v>
      </c>
      <c r="C110" s="2" t="s">
        <v>12</v>
      </c>
      <c r="D110" s="2">
        <v>46</v>
      </c>
      <c r="E110" s="3">
        <v>63043</v>
      </c>
      <c r="F110" s="2" t="s">
        <v>20</v>
      </c>
      <c r="G110" s="2" t="s">
        <v>10</v>
      </c>
      <c r="H110" t="str">
        <f t="shared" si="1"/>
        <v>Review</v>
      </c>
    </row>
    <row r="111" spans="1:8">
      <c r="A111" s="2">
        <v>110</v>
      </c>
      <c r="B111" s="2" t="s">
        <v>37</v>
      </c>
      <c r="C111" s="2" t="s">
        <v>12</v>
      </c>
      <c r="D111" s="2">
        <v>29</v>
      </c>
      <c r="E111" s="3">
        <v>50521</v>
      </c>
      <c r="F111" s="2" t="s">
        <v>28</v>
      </c>
      <c r="G111" s="2" t="s">
        <v>26</v>
      </c>
      <c r="H111" t="str">
        <f t="shared" si="1"/>
        <v>Standard</v>
      </c>
    </row>
    <row r="112" spans="1:8">
      <c r="A112" s="2">
        <v>111</v>
      </c>
      <c r="B112" s="2" t="s">
        <v>83</v>
      </c>
      <c r="C112" s="2" t="s">
        <v>12</v>
      </c>
      <c r="D112" s="2">
        <v>32</v>
      </c>
      <c r="E112" s="3">
        <v>40846</v>
      </c>
      <c r="F112" s="2" t="s">
        <v>17</v>
      </c>
      <c r="G112" s="2" t="s">
        <v>23</v>
      </c>
      <c r="H112" t="str">
        <f t="shared" si="1"/>
        <v>Standard</v>
      </c>
    </row>
    <row r="113" spans="1:8">
      <c r="A113" s="2">
        <v>112</v>
      </c>
      <c r="B113" s="2" t="s">
        <v>57</v>
      </c>
      <c r="C113" s="2" t="s">
        <v>8</v>
      </c>
      <c r="D113" s="2">
        <v>11</v>
      </c>
      <c r="E113" s="3">
        <v>34294</v>
      </c>
      <c r="F113" s="2" t="s">
        <v>20</v>
      </c>
      <c r="G113" s="2" t="s">
        <v>18</v>
      </c>
      <c r="H113" t="str">
        <f t="shared" si="1"/>
        <v>Standard</v>
      </c>
    </row>
    <row r="114" spans="1:8">
      <c r="A114" s="2">
        <v>113</v>
      </c>
      <c r="B114" s="2" t="s">
        <v>84</v>
      </c>
      <c r="C114" s="2" t="s">
        <v>16</v>
      </c>
      <c r="D114" s="2">
        <v>6</v>
      </c>
      <c r="E114" s="3">
        <v>64172</v>
      </c>
      <c r="F114" s="2" t="s">
        <v>28</v>
      </c>
      <c r="G114" s="2" t="s">
        <v>18</v>
      </c>
      <c r="H114" t="str">
        <f t="shared" si="1"/>
        <v>Review</v>
      </c>
    </row>
    <row r="115" spans="1:8">
      <c r="A115" s="2">
        <v>114</v>
      </c>
      <c r="B115" s="2" t="s">
        <v>31</v>
      </c>
      <c r="C115" s="2" t="s">
        <v>12</v>
      </c>
      <c r="D115" s="2">
        <v>37</v>
      </c>
      <c r="E115" s="3">
        <v>71689</v>
      </c>
      <c r="F115" s="2" t="s">
        <v>28</v>
      </c>
      <c r="G115" s="2" t="s">
        <v>29</v>
      </c>
      <c r="H115" t="str">
        <f t="shared" si="1"/>
        <v>Review</v>
      </c>
    </row>
    <row r="116" spans="1:8">
      <c r="A116" s="2">
        <v>115</v>
      </c>
      <c r="B116" s="2" t="s">
        <v>85</v>
      </c>
      <c r="C116" s="2" t="s">
        <v>12</v>
      </c>
      <c r="D116" s="2">
        <v>2</v>
      </c>
      <c r="E116" s="3">
        <v>63110</v>
      </c>
      <c r="F116" s="2" t="s">
        <v>9</v>
      </c>
      <c r="G116" s="2" t="s">
        <v>14</v>
      </c>
      <c r="H116" t="str">
        <f t="shared" si="1"/>
        <v>Review</v>
      </c>
    </row>
    <row r="117" spans="1:8">
      <c r="A117" s="2">
        <v>116</v>
      </c>
      <c r="B117" s="2" t="s">
        <v>7</v>
      </c>
      <c r="C117" s="2" t="s">
        <v>8</v>
      </c>
      <c r="D117" s="2">
        <v>49</v>
      </c>
      <c r="E117" s="3">
        <v>66332</v>
      </c>
      <c r="F117" s="2" t="s">
        <v>13</v>
      </c>
      <c r="G117" s="2" t="s">
        <v>23</v>
      </c>
      <c r="H117" t="str">
        <f t="shared" si="1"/>
        <v>Review</v>
      </c>
    </row>
    <row r="118" spans="1:8">
      <c r="A118" s="2">
        <v>117</v>
      </c>
      <c r="B118" s="2" t="s">
        <v>50</v>
      </c>
      <c r="C118" s="2" t="s">
        <v>8</v>
      </c>
      <c r="D118" s="2">
        <v>15</v>
      </c>
      <c r="E118" s="3">
        <v>81488</v>
      </c>
      <c r="F118" s="2" t="s">
        <v>9</v>
      </c>
      <c r="G118" s="2" t="s">
        <v>26</v>
      </c>
      <c r="H118" t="str">
        <f t="shared" si="1"/>
        <v>Review</v>
      </c>
    </row>
    <row r="119" spans="1:8">
      <c r="A119" s="2">
        <v>118</v>
      </c>
      <c r="B119" s="2" t="s">
        <v>50</v>
      </c>
      <c r="C119" s="2" t="s">
        <v>22</v>
      </c>
      <c r="D119" s="2">
        <v>19</v>
      </c>
      <c r="E119" s="3">
        <v>97032</v>
      </c>
      <c r="F119" s="2" t="s">
        <v>32</v>
      </c>
      <c r="G119" s="2" t="s">
        <v>29</v>
      </c>
      <c r="H119" t="str">
        <f t="shared" si="1"/>
        <v>Review</v>
      </c>
    </row>
    <row r="120" spans="1:8">
      <c r="A120" s="2">
        <v>119</v>
      </c>
      <c r="B120" s="2" t="s">
        <v>34</v>
      </c>
      <c r="C120" s="2" t="s">
        <v>12</v>
      </c>
      <c r="D120" s="2">
        <v>3</v>
      </c>
      <c r="E120" s="3">
        <v>60843</v>
      </c>
      <c r="F120" s="2" t="s">
        <v>17</v>
      </c>
      <c r="G120" s="2" t="s">
        <v>29</v>
      </c>
      <c r="H120" t="str">
        <f t="shared" si="1"/>
        <v>Review</v>
      </c>
    </row>
    <row r="121" spans="1:8">
      <c r="A121" s="2">
        <v>120</v>
      </c>
      <c r="B121" s="2" t="s">
        <v>33</v>
      </c>
      <c r="C121" s="2" t="s">
        <v>22</v>
      </c>
      <c r="D121" s="2">
        <v>18</v>
      </c>
      <c r="E121" s="3">
        <v>87914</v>
      </c>
      <c r="F121" s="2" t="s">
        <v>9</v>
      </c>
      <c r="G121" s="2" t="s">
        <v>26</v>
      </c>
      <c r="H121" t="str">
        <f t="shared" si="1"/>
        <v>Review</v>
      </c>
    </row>
    <row r="122" spans="1:8">
      <c r="A122" s="2">
        <v>121</v>
      </c>
      <c r="B122" s="2" t="s">
        <v>58</v>
      </c>
      <c r="C122" s="2" t="s">
        <v>12</v>
      </c>
      <c r="D122" s="2">
        <v>15</v>
      </c>
      <c r="E122" s="3">
        <v>84063</v>
      </c>
      <c r="F122" s="2" t="s">
        <v>9</v>
      </c>
      <c r="G122" s="2" t="s">
        <v>14</v>
      </c>
      <c r="H122" t="str">
        <f t="shared" si="1"/>
        <v>Review</v>
      </c>
    </row>
    <row r="123" spans="1:8">
      <c r="A123" s="2">
        <v>122</v>
      </c>
      <c r="B123" s="2" t="s">
        <v>59</v>
      </c>
      <c r="C123" s="2" t="s">
        <v>16</v>
      </c>
      <c r="D123" s="2">
        <v>35</v>
      </c>
      <c r="E123" s="3">
        <v>58054</v>
      </c>
      <c r="F123" s="2" t="s">
        <v>38</v>
      </c>
      <c r="G123" s="2" t="s">
        <v>10</v>
      </c>
      <c r="H123" t="str">
        <f t="shared" si="1"/>
        <v>Standard</v>
      </c>
    </row>
    <row r="124" spans="1:8">
      <c r="A124" s="2">
        <v>123</v>
      </c>
      <c r="B124" s="2" t="s">
        <v>34</v>
      </c>
      <c r="C124" s="2" t="s">
        <v>8</v>
      </c>
      <c r="D124" s="2">
        <v>19</v>
      </c>
      <c r="E124" s="3">
        <v>54524</v>
      </c>
      <c r="F124" s="2" t="s">
        <v>9</v>
      </c>
      <c r="G124" s="2" t="s">
        <v>10</v>
      </c>
      <c r="H124" t="str">
        <f t="shared" si="1"/>
        <v>Standard</v>
      </c>
    </row>
    <row r="125" spans="1:8">
      <c r="A125" s="2">
        <v>124</v>
      </c>
      <c r="B125" s="2" t="s">
        <v>40</v>
      </c>
      <c r="C125" s="2" t="s">
        <v>8</v>
      </c>
      <c r="D125" s="2">
        <v>11</v>
      </c>
      <c r="E125" s="3">
        <v>44167</v>
      </c>
      <c r="F125" s="2" t="s">
        <v>20</v>
      </c>
      <c r="G125" s="2" t="s">
        <v>26</v>
      </c>
      <c r="H125" t="str">
        <f t="shared" si="1"/>
        <v>Standard</v>
      </c>
    </row>
    <row r="126" spans="1:8">
      <c r="A126" s="2">
        <v>125</v>
      </c>
      <c r="B126" s="2" t="s">
        <v>78</v>
      </c>
      <c r="C126" s="2" t="s">
        <v>22</v>
      </c>
      <c r="D126" s="2">
        <v>50</v>
      </c>
      <c r="E126" s="3">
        <v>71582</v>
      </c>
      <c r="F126" s="2" t="s">
        <v>28</v>
      </c>
      <c r="G126" s="2" t="s">
        <v>23</v>
      </c>
      <c r="H126" t="str">
        <f t="shared" si="1"/>
        <v>Review</v>
      </c>
    </row>
    <row r="127" spans="1:8">
      <c r="A127" s="2">
        <v>126</v>
      </c>
      <c r="B127" s="2" t="s">
        <v>39</v>
      </c>
      <c r="C127" s="2" t="s">
        <v>22</v>
      </c>
      <c r="D127" s="2">
        <v>30</v>
      </c>
      <c r="E127" s="3">
        <v>33399</v>
      </c>
      <c r="F127" s="2" t="s">
        <v>20</v>
      </c>
      <c r="G127" s="2" t="s">
        <v>14</v>
      </c>
      <c r="H127" t="str">
        <f t="shared" si="1"/>
        <v>Standard</v>
      </c>
    </row>
    <row r="128" spans="1:8">
      <c r="A128" s="2">
        <v>127</v>
      </c>
      <c r="B128" s="2" t="s">
        <v>86</v>
      </c>
      <c r="C128" s="2" t="s">
        <v>8</v>
      </c>
      <c r="D128" s="2">
        <v>37</v>
      </c>
      <c r="E128" s="3">
        <v>31121</v>
      </c>
      <c r="F128" s="2" t="s">
        <v>13</v>
      </c>
      <c r="G128" s="2" t="s">
        <v>14</v>
      </c>
      <c r="H128" t="str">
        <f t="shared" si="1"/>
        <v>Standard</v>
      </c>
    </row>
    <row r="129" spans="1:8">
      <c r="A129" s="2">
        <v>128</v>
      </c>
      <c r="B129" s="2" t="s">
        <v>87</v>
      </c>
      <c r="C129" s="2" t="s">
        <v>8</v>
      </c>
      <c r="D129" s="2">
        <v>48</v>
      </c>
      <c r="E129" s="3">
        <v>34404</v>
      </c>
      <c r="F129" s="2" t="s">
        <v>32</v>
      </c>
      <c r="G129" s="2" t="s">
        <v>18</v>
      </c>
      <c r="H129" t="str">
        <f t="shared" si="1"/>
        <v>Standard</v>
      </c>
    </row>
    <row r="130" spans="1:8">
      <c r="A130" s="2">
        <v>129</v>
      </c>
      <c r="B130" s="2" t="s">
        <v>45</v>
      </c>
      <c r="C130" s="2" t="s">
        <v>8</v>
      </c>
      <c r="D130" s="2">
        <v>50</v>
      </c>
      <c r="E130" s="3">
        <v>58260</v>
      </c>
      <c r="F130" s="2" t="s">
        <v>32</v>
      </c>
      <c r="G130" s="2" t="s">
        <v>14</v>
      </c>
      <c r="H130" t="str">
        <f t="shared" si="1"/>
        <v>Standard</v>
      </c>
    </row>
    <row r="131" spans="1:8">
      <c r="A131" s="2">
        <v>130</v>
      </c>
      <c r="B131" s="2" t="s">
        <v>65</v>
      </c>
      <c r="C131" s="2" t="s">
        <v>12</v>
      </c>
      <c r="D131" s="2">
        <v>50</v>
      </c>
      <c r="E131" s="3">
        <v>37098</v>
      </c>
      <c r="F131" s="2" t="s">
        <v>17</v>
      </c>
      <c r="G131" s="2" t="s">
        <v>26</v>
      </c>
      <c r="H131" t="str">
        <f t="shared" ref="H131:H194" si="2">IF(AND(F131="Electric",E131&gt;45000),"Urgent",IF(OR(F131="Hybrid",E131&gt;60000),"Review","Standard"))</f>
        <v>Standard</v>
      </c>
    </row>
    <row r="132" spans="1:8">
      <c r="A132" s="2">
        <v>131</v>
      </c>
      <c r="B132" s="2" t="s">
        <v>75</v>
      </c>
      <c r="C132" s="2" t="s">
        <v>12</v>
      </c>
      <c r="D132" s="2">
        <v>32</v>
      </c>
      <c r="E132" s="3">
        <v>82343</v>
      </c>
      <c r="F132" s="2" t="s">
        <v>13</v>
      </c>
      <c r="G132" s="2" t="s">
        <v>23</v>
      </c>
      <c r="H132" t="str">
        <f t="shared" si="2"/>
        <v>Review</v>
      </c>
    </row>
    <row r="133" spans="1:8">
      <c r="A133" s="2">
        <v>132</v>
      </c>
      <c r="B133" s="2" t="s">
        <v>62</v>
      </c>
      <c r="C133" s="2" t="s">
        <v>16</v>
      </c>
      <c r="D133" s="2">
        <v>36</v>
      </c>
      <c r="E133" s="3">
        <v>78187</v>
      </c>
      <c r="F133" s="2" t="s">
        <v>17</v>
      </c>
      <c r="G133" s="2" t="s">
        <v>14</v>
      </c>
      <c r="H133" t="str">
        <f t="shared" si="2"/>
        <v>Review</v>
      </c>
    </row>
    <row r="134" spans="1:8">
      <c r="A134" s="2">
        <v>133</v>
      </c>
      <c r="B134" s="2" t="s">
        <v>48</v>
      </c>
      <c r="C134" s="2" t="s">
        <v>12</v>
      </c>
      <c r="D134" s="2">
        <v>33</v>
      </c>
      <c r="E134" s="3">
        <v>58490</v>
      </c>
      <c r="F134" s="2" t="s">
        <v>38</v>
      </c>
      <c r="G134" s="2" t="s">
        <v>18</v>
      </c>
      <c r="H134" t="str">
        <f t="shared" si="2"/>
        <v>Standard</v>
      </c>
    </row>
    <row r="135" spans="1:8">
      <c r="A135" s="2">
        <v>134</v>
      </c>
      <c r="B135" s="2" t="s">
        <v>60</v>
      </c>
      <c r="C135" s="2" t="s">
        <v>8</v>
      </c>
      <c r="D135" s="2">
        <v>8</v>
      </c>
      <c r="E135" s="3">
        <v>67914</v>
      </c>
      <c r="F135" s="2" t="s">
        <v>28</v>
      </c>
      <c r="G135" s="2" t="s">
        <v>10</v>
      </c>
      <c r="H135" t="str">
        <f t="shared" si="2"/>
        <v>Review</v>
      </c>
    </row>
    <row r="136" spans="1:8">
      <c r="A136" s="2">
        <v>135</v>
      </c>
      <c r="B136" s="2" t="s">
        <v>55</v>
      </c>
      <c r="C136" s="2" t="s">
        <v>12</v>
      </c>
      <c r="D136" s="2">
        <v>37</v>
      </c>
      <c r="E136" s="3">
        <v>46197</v>
      </c>
      <c r="F136" s="2" t="s">
        <v>32</v>
      </c>
      <c r="G136" s="2" t="s">
        <v>14</v>
      </c>
      <c r="H136" t="str">
        <f t="shared" si="2"/>
        <v>Standard</v>
      </c>
    </row>
    <row r="137" spans="1:8">
      <c r="A137" s="2">
        <v>136</v>
      </c>
      <c r="B137" s="2" t="s">
        <v>41</v>
      </c>
      <c r="C137" s="2" t="s">
        <v>22</v>
      </c>
      <c r="D137" s="2">
        <v>8</v>
      </c>
      <c r="E137" s="3">
        <v>71320</v>
      </c>
      <c r="F137" s="2" t="s">
        <v>28</v>
      </c>
      <c r="G137" s="2" t="s">
        <v>14</v>
      </c>
      <c r="H137" t="str">
        <f t="shared" si="2"/>
        <v>Review</v>
      </c>
    </row>
    <row r="138" spans="1:8">
      <c r="A138" s="2">
        <v>137</v>
      </c>
      <c r="B138" s="2" t="s">
        <v>68</v>
      </c>
      <c r="C138" s="2" t="s">
        <v>8</v>
      </c>
      <c r="D138" s="2">
        <v>18</v>
      </c>
      <c r="E138" s="3">
        <v>84233</v>
      </c>
      <c r="F138" s="2" t="s">
        <v>20</v>
      </c>
      <c r="G138" s="2" t="s">
        <v>23</v>
      </c>
      <c r="H138" t="str">
        <f t="shared" si="2"/>
        <v>Review</v>
      </c>
    </row>
    <row r="139" spans="1:8">
      <c r="A139" s="2">
        <v>138</v>
      </c>
      <c r="B139" s="2" t="s">
        <v>88</v>
      </c>
      <c r="C139" s="2" t="s">
        <v>12</v>
      </c>
      <c r="D139" s="2">
        <v>50</v>
      </c>
      <c r="E139" s="3">
        <v>71143</v>
      </c>
      <c r="F139" s="2" t="s">
        <v>13</v>
      </c>
      <c r="G139" s="2" t="s">
        <v>26</v>
      </c>
      <c r="H139" t="str">
        <f t="shared" si="2"/>
        <v>Review</v>
      </c>
    </row>
    <row r="140" spans="1:8">
      <c r="A140" s="2">
        <v>139</v>
      </c>
      <c r="B140" s="2" t="s">
        <v>45</v>
      </c>
      <c r="C140" s="2" t="s">
        <v>8</v>
      </c>
      <c r="D140" s="2">
        <v>35</v>
      </c>
      <c r="E140" s="3">
        <v>77511</v>
      </c>
      <c r="F140" s="2" t="s">
        <v>17</v>
      </c>
      <c r="G140" s="2" t="s">
        <v>26</v>
      </c>
      <c r="H140" t="str">
        <f t="shared" si="2"/>
        <v>Review</v>
      </c>
    </row>
    <row r="141" spans="1:8">
      <c r="A141" s="2">
        <v>140</v>
      </c>
      <c r="B141" s="2" t="s">
        <v>86</v>
      </c>
      <c r="C141" s="2" t="s">
        <v>22</v>
      </c>
      <c r="D141" s="2">
        <v>24</v>
      </c>
      <c r="E141" s="3">
        <v>68349</v>
      </c>
      <c r="F141" s="2" t="s">
        <v>20</v>
      </c>
      <c r="G141" s="2" t="s">
        <v>18</v>
      </c>
      <c r="H141" t="str">
        <f t="shared" si="2"/>
        <v>Review</v>
      </c>
    </row>
    <row r="142" spans="1:8">
      <c r="A142" s="2">
        <v>141</v>
      </c>
      <c r="B142" s="2" t="s">
        <v>30</v>
      </c>
      <c r="C142" s="2" t="s">
        <v>22</v>
      </c>
      <c r="D142" s="2">
        <v>35</v>
      </c>
      <c r="E142" s="3">
        <v>91751</v>
      </c>
      <c r="F142" s="2" t="s">
        <v>25</v>
      </c>
      <c r="G142" s="2" t="s">
        <v>14</v>
      </c>
      <c r="H142" t="str">
        <f t="shared" si="2"/>
        <v>Review</v>
      </c>
    </row>
    <row r="143" spans="1:8">
      <c r="A143" s="2">
        <v>142</v>
      </c>
      <c r="B143" s="2" t="s">
        <v>72</v>
      </c>
      <c r="C143" s="2" t="s">
        <v>12</v>
      </c>
      <c r="D143" s="2">
        <v>49</v>
      </c>
      <c r="E143" s="3">
        <v>40733</v>
      </c>
      <c r="F143" s="2" t="s">
        <v>9</v>
      </c>
      <c r="G143" s="2" t="s">
        <v>23</v>
      </c>
      <c r="H143" t="str">
        <f t="shared" si="2"/>
        <v>Standard</v>
      </c>
    </row>
    <row r="144" spans="1:8">
      <c r="A144" s="2">
        <v>143</v>
      </c>
      <c r="B144" s="2" t="s">
        <v>61</v>
      </c>
      <c r="C144" s="2" t="s">
        <v>8</v>
      </c>
      <c r="D144" s="2">
        <v>3</v>
      </c>
      <c r="E144" s="3">
        <v>39716</v>
      </c>
      <c r="F144" s="2" t="s">
        <v>17</v>
      </c>
      <c r="G144" s="2" t="s">
        <v>18</v>
      </c>
      <c r="H144" t="str">
        <f t="shared" si="2"/>
        <v>Standard</v>
      </c>
    </row>
    <row r="145" spans="1:8">
      <c r="A145" s="2">
        <v>144</v>
      </c>
      <c r="B145" s="2" t="s">
        <v>51</v>
      </c>
      <c r="C145" s="2" t="s">
        <v>16</v>
      </c>
      <c r="D145" s="2">
        <v>49</v>
      </c>
      <c r="E145" s="3">
        <v>70187</v>
      </c>
      <c r="F145" s="2" t="s">
        <v>17</v>
      </c>
      <c r="G145" s="2" t="s">
        <v>26</v>
      </c>
      <c r="H145" t="str">
        <f t="shared" si="2"/>
        <v>Review</v>
      </c>
    </row>
    <row r="146" spans="1:8">
      <c r="A146" s="2">
        <v>145</v>
      </c>
      <c r="B146" s="2" t="s">
        <v>15</v>
      </c>
      <c r="C146" s="2" t="s">
        <v>22</v>
      </c>
      <c r="D146" s="2">
        <v>47</v>
      </c>
      <c r="E146" s="3">
        <v>47401</v>
      </c>
      <c r="F146" s="2" t="s">
        <v>32</v>
      </c>
      <c r="G146" s="2" t="s">
        <v>29</v>
      </c>
      <c r="H146" t="str">
        <f t="shared" si="2"/>
        <v>Standard</v>
      </c>
    </row>
    <row r="147" spans="1:8">
      <c r="A147" s="2">
        <v>146</v>
      </c>
      <c r="B147" s="2" t="s">
        <v>81</v>
      </c>
      <c r="C147" s="2" t="s">
        <v>16</v>
      </c>
      <c r="D147" s="2">
        <v>29</v>
      </c>
      <c r="E147" s="3">
        <v>92848</v>
      </c>
      <c r="F147" s="2" t="s">
        <v>28</v>
      </c>
      <c r="G147" s="2" t="s">
        <v>18</v>
      </c>
      <c r="H147" t="str">
        <f t="shared" si="2"/>
        <v>Review</v>
      </c>
    </row>
    <row r="148" spans="1:8">
      <c r="A148" s="2">
        <v>147</v>
      </c>
      <c r="B148" s="2" t="s">
        <v>63</v>
      </c>
      <c r="C148" s="2" t="s">
        <v>12</v>
      </c>
      <c r="D148" s="2">
        <v>35</v>
      </c>
      <c r="E148" s="3">
        <v>66070</v>
      </c>
      <c r="F148" s="2" t="s">
        <v>25</v>
      </c>
      <c r="G148" s="2" t="s">
        <v>29</v>
      </c>
      <c r="H148" t="str">
        <f t="shared" si="2"/>
        <v>Review</v>
      </c>
    </row>
    <row r="149" spans="1:8">
      <c r="A149" s="2">
        <v>148</v>
      </c>
      <c r="B149" s="2" t="s">
        <v>19</v>
      </c>
      <c r="C149" s="2" t="s">
        <v>22</v>
      </c>
      <c r="D149" s="2">
        <v>14</v>
      </c>
      <c r="E149" s="3">
        <v>80936</v>
      </c>
      <c r="F149" s="2" t="s">
        <v>32</v>
      </c>
      <c r="G149" s="2" t="s">
        <v>29</v>
      </c>
      <c r="H149" t="str">
        <f t="shared" si="2"/>
        <v>Review</v>
      </c>
    </row>
    <row r="150" spans="1:8">
      <c r="A150" s="2">
        <v>149</v>
      </c>
      <c r="B150" s="2" t="s">
        <v>68</v>
      </c>
      <c r="C150" s="2" t="s">
        <v>16</v>
      </c>
      <c r="D150" s="2">
        <v>28</v>
      </c>
      <c r="E150" s="3">
        <v>60649</v>
      </c>
      <c r="F150" s="2" t="s">
        <v>9</v>
      </c>
      <c r="G150" s="2" t="s">
        <v>18</v>
      </c>
      <c r="H150" t="str">
        <f t="shared" si="2"/>
        <v>Review</v>
      </c>
    </row>
    <row r="151" spans="1:8">
      <c r="A151" s="2">
        <v>150</v>
      </c>
      <c r="B151" s="2" t="s">
        <v>69</v>
      </c>
      <c r="C151" s="2" t="s">
        <v>22</v>
      </c>
      <c r="D151" s="2">
        <v>7</v>
      </c>
      <c r="E151" s="3">
        <v>37395</v>
      </c>
      <c r="F151" s="2" t="s">
        <v>32</v>
      </c>
      <c r="G151" s="2" t="s">
        <v>18</v>
      </c>
      <c r="H151" t="str">
        <f t="shared" si="2"/>
        <v>Standard</v>
      </c>
    </row>
    <row r="152" spans="1:8">
      <c r="A152" s="2">
        <v>151</v>
      </c>
      <c r="B152" s="2" t="s">
        <v>72</v>
      </c>
      <c r="C152" s="2" t="s">
        <v>16</v>
      </c>
      <c r="D152" s="2">
        <v>48</v>
      </c>
      <c r="E152" s="3">
        <v>67138</v>
      </c>
      <c r="F152" s="2" t="s">
        <v>32</v>
      </c>
      <c r="G152" s="2" t="s">
        <v>23</v>
      </c>
      <c r="H152" t="str">
        <f t="shared" si="2"/>
        <v>Review</v>
      </c>
    </row>
    <row r="153" spans="1:8">
      <c r="A153" s="2">
        <v>152</v>
      </c>
      <c r="B153" s="2" t="s">
        <v>75</v>
      </c>
      <c r="C153" s="2" t="s">
        <v>8</v>
      </c>
      <c r="D153" s="2">
        <v>42</v>
      </c>
      <c r="E153" s="3">
        <v>98941</v>
      </c>
      <c r="F153" s="2" t="s">
        <v>32</v>
      </c>
      <c r="G153" s="2" t="s">
        <v>18</v>
      </c>
      <c r="H153" t="str">
        <f t="shared" si="2"/>
        <v>Review</v>
      </c>
    </row>
    <row r="154" spans="1:8">
      <c r="A154" s="2">
        <v>153</v>
      </c>
      <c r="B154" s="2" t="s">
        <v>87</v>
      </c>
      <c r="C154" s="2" t="s">
        <v>8</v>
      </c>
      <c r="D154" s="2">
        <v>49</v>
      </c>
      <c r="E154" s="3">
        <v>28134</v>
      </c>
      <c r="F154" s="2" t="s">
        <v>28</v>
      </c>
      <c r="G154" s="2" t="s">
        <v>10</v>
      </c>
      <c r="H154" t="str">
        <f t="shared" si="2"/>
        <v>Standard</v>
      </c>
    </row>
    <row r="155" spans="1:8">
      <c r="A155" s="2">
        <v>154</v>
      </c>
      <c r="B155" s="2" t="s">
        <v>85</v>
      </c>
      <c r="C155" s="2" t="s">
        <v>12</v>
      </c>
      <c r="D155" s="2">
        <v>16</v>
      </c>
      <c r="E155" s="3">
        <v>93947</v>
      </c>
      <c r="F155" s="2" t="s">
        <v>32</v>
      </c>
      <c r="G155" s="2" t="s">
        <v>26</v>
      </c>
      <c r="H155" t="str">
        <f t="shared" si="2"/>
        <v>Review</v>
      </c>
    </row>
    <row r="156" spans="1:8">
      <c r="A156" s="2">
        <v>155</v>
      </c>
      <c r="B156" s="2" t="s">
        <v>71</v>
      </c>
      <c r="C156" s="2" t="s">
        <v>22</v>
      </c>
      <c r="D156" s="2">
        <v>20</v>
      </c>
      <c r="E156" s="3">
        <v>90093</v>
      </c>
      <c r="F156" s="2" t="s">
        <v>32</v>
      </c>
      <c r="G156" s="2" t="s">
        <v>14</v>
      </c>
      <c r="H156" t="str">
        <f t="shared" si="2"/>
        <v>Review</v>
      </c>
    </row>
    <row r="157" spans="1:8">
      <c r="A157" s="2">
        <v>156</v>
      </c>
      <c r="B157" s="2" t="s">
        <v>69</v>
      </c>
      <c r="C157" s="2" t="s">
        <v>16</v>
      </c>
      <c r="D157" s="2">
        <v>3</v>
      </c>
      <c r="E157" s="3">
        <v>68509</v>
      </c>
      <c r="F157" s="2" t="s">
        <v>32</v>
      </c>
      <c r="G157" s="2" t="s">
        <v>18</v>
      </c>
      <c r="H157" t="str">
        <f t="shared" si="2"/>
        <v>Review</v>
      </c>
    </row>
    <row r="158" spans="1:8">
      <c r="A158" s="2">
        <v>157</v>
      </c>
      <c r="B158" s="2" t="s">
        <v>88</v>
      </c>
      <c r="C158" s="2" t="s">
        <v>12</v>
      </c>
      <c r="D158" s="2">
        <v>29</v>
      </c>
      <c r="E158" s="3">
        <v>96428</v>
      </c>
      <c r="F158" s="2" t="s">
        <v>32</v>
      </c>
      <c r="G158" s="2" t="s">
        <v>29</v>
      </c>
      <c r="H158" t="str">
        <f t="shared" si="2"/>
        <v>Review</v>
      </c>
    </row>
    <row r="159" spans="1:8">
      <c r="A159" s="2">
        <v>158</v>
      </c>
      <c r="B159" s="2" t="s">
        <v>89</v>
      </c>
      <c r="C159" s="2" t="s">
        <v>8</v>
      </c>
      <c r="D159" s="2">
        <v>17</v>
      </c>
      <c r="E159" s="3">
        <v>62641</v>
      </c>
      <c r="F159" s="2" t="s">
        <v>17</v>
      </c>
      <c r="G159" s="2" t="s">
        <v>29</v>
      </c>
      <c r="H159" t="str">
        <f t="shared" si="2"/>
        <v>Review</v>
      </c>
    </row>
    <row r="160" spans="1:8">
      <c r="A160" s="2">
        <v>159</v>
      </c>
      <c r="B160" s="2" t="s">
        <v>27</v>
      </c>
      <c r="C160" s="2" t="s">
        <v>8</v>
      </c>
      <c r="D160" s="2">
        <v>23</v>
      </c>
      <c r="E160" s="3">
        <v>32831</v>
      </c>
      <c r="F160" s="2" t="s">
        <v>25</v>
      </c>
      <c r="G160" s="2" t="s">
        <v>18</v>
      </c>
      <c r="H160" t="str">
        <f t="shared" si="2"/>
        <v>Standard</v>
      </c>
    </row>
    <row r="161" spans="1:8">
      <c r="A161" s="2">
        <v>160</v>
      </c>
      <c r="B161" s="2" t="s">
        <v>48</v>
      </c>
      <c r="C161" s="2" t="s">
        <v>12</v>
      </c>
      <c r="D161" s="2">
        <v>6</v>
      </c>
      <c r="E161" s="3">
        <v>76091</v>
      </c>
      <c r="F161" s="2" t="s">
        <v>20</v>
      </c>
      <c r="G161" s="2" t="s">
        <v>14</v>
      </c>
      <c r="H161" t="str">
        <f t="shared" si="2"/>
        <v>Review</v>
      </c>
    </row>
    <row r="162" spans="1:8">
      <c r="A162" s="2">
        <v>161</v>
      </c>
      <c r="B162" s="2" t="s">
        <v>55</v>
      </c>
      <c r="C162" s="2" t="s">
        <v>22</v>
      </c>
      <c r="D162" s="2">
        <v>29</v>
      </c>
      <c r="E162" s="3">
        <v>63718</v>
      </c>
      <c r="F162" s="2" t="s">
        <v>20</v>
      </c>
      <c r="G162" s="2" t="s">
        <v>14</v>
      </c>
      <c r="H162" t="str">
        <f t="shared" si="2"/>
        <v>Review</v>
      </c>
    </row>
    <row r="163" spans="1:8">
      <c r="A163" s="2">
        <v>162</v>
      </c>
      <c r="B163" s="2" t="s">
        <v>37</v>
      </c>
      <c r="C163" s="2" t="s">
        <v>16</v>
      </c>
      <c r="D163" s="2">
        <v>8</v>
      </c>
      <c r="E163" s="3">
        <v>58159</v>
      </c>
      <c r="F163" s="2" t="s">
        <v>20</v>
      </c>
      <c r="G163" s="2" t="s">
        <v>23</v>
      </c>
      <c r="H163" t="str">
        <f t="shared" si="2"/>
        <v>Standard</v>
      </c>
    </row>
    <row r="164" spans="1:8">
      <c r="A164" s="2">
        <v>163</v>
      </c>
      <c r="B164" s="2" t="s">
        <v>36</v>
      </c>
      <c r="C164" s="2" t="s">
        <v>8</v>
      </c>
      <c r="D164" s="2">
        <v>50</v>
      </c>
      <c r="E164" s="3">
        <v>40952</v>
      </c>
      <c r="F164" s="2" t="s">
        <v>9</v>
      </c>
      <c r="G164" s="2" t="s">
        <v>23</v>
      </c>
      <c r="H164" t="str">
        <f t="shared" si="2"/>
        <v>Standard</v>
      </c>
    </row>
    <row r="165" spans="1:8">
      <c r="A165" s="2">
        <v>164</v>
      </c>
      <c r="B165" s="2" t="s">
        <v>19</v>
      </c>
      <c r="C165" s="2" t="s">
        <v>12</v>
      </c>
      <c r="D165" s="2">
        <v>16</v>
      </c>
      <c r="E165" s="3">
        <v>48902</v>
      </c>
      <c r="F165" s="2" t="s">
        <v>38</v>
      </c>
      <c r="G165" s="2" t="s">
        <v>23</v>
      </c>
      <c r="H165" t="str">
        <f t="shared" si="2"/>
        <v>Standard</v>
      </c>
    </row>
    <row r="166" spans="1:8">
      <c r="A166" s="2">
        <v>165</v>
      </c>
      <c r="B166" s="2" t="s">
        <v>90</v>
      </c>
      <c r="C166" s="2" t="s">
        <v>8</v>
      </c>
      <c r="D166" s="2">
        <v>14</v>
      </c>
      <c r="E166" s="3">
        <v>52021</v>
      </c>
      <c r="F166" s="2" t="s">
        <v>38</v>
      </c>
      <c r="G166" s="2" t="s">
        <v>14</v>
      </c>
      <c r="H166" t="str">
        <f t="shared" si="2"/>
        <v>Standard</v>
      </c>
    </row>
    <row r="167" spans="1:8">
      <c r="A167" s="2">
        <v>166</v>
      </c>
      <c r="B167" s="2" t="s">
        <v>58</v>
      </c>
      <c r="C167" s="2" t="s">
        <v>8</v>
      </c>
      <c r="D167" s="2">
        <v>48</v>
      </c>
      <c r="E167" s="3">
        <v>67975</v>
      </c>
      <c r="F167" s="2" t="s">
        <v>9</v>
      </c>
      <c r="G167" s="2" t="s">
        <v>29</v>
      </c>
      <c r="H167" t="str">
        <f t="shared" si="2"/>
        <v>Review</v>
      </c>
    </row>
    <row r="168" spans="1:8">
      <c r="A168" s="2">
        <v>167</v>
      </c>
      <c r="B168" s="2" t="s">
        <v>51</v>
      </c>
      <c r="C168" s="2" t="s">
        <v>16</v>
      </c>
      <c r="D168" s="2">
        <v>38</v>
      </c>
      <c r="E168" s="3">
        <v>99278</v>
      </c>
      <c r="F168" s="2" t="s">
        <v>17</v>
      </c>
      <c r="G168" s="2" t="s">
        <v>23</v>
      </c>
      <c r="H168" t="str">
        <f t="shared" si="2"/>
        <v>Review</v>
      </c>
    </row>
    <row r="169" spans="1:8">
      <c r="A169" s="2">
        <v>168</v>
      </c>
      <c r="B169" s="2" t="s">
        <v>73</v>
      </c>
      <c r="C169" s="2" t="s">
        <v>22</v>
      </c>
      <c r="D169" s="2">
        <v>45</v>
      </c>
      <c r="E169" s="3">
        <v>99881</v>
      </c>
      <c r="F169" s="2" t="s">
        <v>17</v>
      </c>
      <c r="G169" s="2" t="s">
        <v>18</v>
      </c>
      <c r="H169" t="str">
        <f t="shared" si="2"/>
        <v>Review</v>
      </c>
    </row>
    <row r="170" spans="1:8">
      <c r="A170" s="2">
        <v>169</v>
      </c>
      <c r="B170" s="2" t="s">
        <v>51</v>
      </c>
      <c r="C170" s="2" t="s">
        <v>22</v>
      </c>
      <c r="D170" s="2">
        <v>23</v>
      </c>
      <c r="E170" s="3">
        <v>39851</v>
      </c>
      <c r="F170" s="2" t="s">
        <v>9</v>
      </c>
      <c r="G170" s="2" t="s">
        <v>23</v>
      </c>
      <c r="H170" t="str">
        <f t="shared" si="2"/>
        <v>Standard</v>
      </c>
    </row>
    <row r="171" spans="1:8">
      <c r="A171" s="2">
        <v>170</v>
      </c>
      <c r="B171" s="2" t="s">
        <v>57</v>
      </c>
      <c r="C171" s="2" t="s">
        <v>16</v>
      </c>
      <c r="D171" s="2">
        <v>46</v>
      </c>
      <c r="E171" s="3">
        <v>57598</v>
      </c>
      <c r="F171" s="2" t="s">
        <v>28</v>
      </c>
      <c r="G171" s="2" t="s">
        <v>18</v>
      </c>
      <c r="H171" t="str">
        <f t="shared" si="2"/>
        <v>Standard</v>
      </c>
    </row>
    <row r="172" spans="1:8">
      <c r="A172" s="2">
        <v>171</v>
      </c>
      <c r="B172" s="2" t="s">
        <v>91</v>
      </c>
      <c r="C172" s="2" t="s">
        <v>12</v>
      </c>
      <c r="D172" s="2">
        <v>40</v>
      </c>
      <c r="E172" s="3">
        <v>59472</v>
      </c>
      <c r="F172" s="2" t="s">
        <v>9</v>
      </c>
      <c r="G172" s="2" t="s">
        <v>18</v>
      </c>
      <c r="H172" t="str">
        <f t="shared" si="2"/>
        <v>Standard</v>
      </c>
    </row>
    <row r="173" spans="1:8">
      <c r="A173" s="2">
        <v>172</v>
      </c>
      <c r="B173" s="2" t="s">
        <v>68</v>
      </c>
      <c r="C173" s="2" t="s">
        <v>12</v>
      </c>
      <c r="D173" s="2">
        <v>41</v>
      </c>
      <c r="E173" s="3">
        <v>83041</v>
      </c>
      <c r="F173" s="2" t="s">
        <v>25</v>
      </c>
      <c r="G173" s="2" t="s">
        <v>29</v>
      </c>
      <c r="H173" t="str">
        <f t="shared" si="2"/>
        <v>Review</v>
      </c>
    </row>
    <row r="174" spans="1:8">
      <c r="A174" s="2">
        <v>173</v>
      </c>
      <c r="B174" s="2" t="s">
        <v>88</v>
      </c>
      <c r="C174" s="2" t="s">
        <v>22</v>
      </c>
      <c r="D174" s="2">
        <v>28</v>
      </c>
      <c r="E174" s="3">
        <v>72013</v>
      </c>
      <c r="F174" s="2" t="s">
        <v>28</v>
      </c>
      <c r="G174" s="2" t="s">
        <v>26</v>
      </c>
      <c r="H174" t="str">
        <f t="shared" si="2"/>
        <v>Review</v>
      </c>
    </row>
    <row r="175" spans="1:8">
      <c r="A175" s="2">
        <v>174</v>
      </c>
      <c r="B175" s="2" t="s">
        <v>61</v>
      </c>
      <c r="C175" s="2" t="s">
        <v>8</v>
      </c>
      <c r="D175" s="2">
        <v>11</v>
      </c>
      <c r="E175" s="3">
        <v>50120</v>
      </c>
      <c r="F175" s="2" t="s">
        <v>13</v>
      </c>
      <c r="G175" s="2" t="s">
        <v>18</v>
      </c>
      <c r="H175" t="str">
        <f t="shared" si="2"/>
        <v>Standard</v>
      </c>
    </row>
    <row r="176" spans="1:8">
      <c r="A176" s="2">
        <v>175</v>
      </c>
      <c r="B176" s="2" t="s">
        <v>24</v>
      </c>
      <c r="C176" s="2" t="s">
        <v>8</v>
      </c>
      <c r="D176" s="2">
        <v>40</v>
      </c>
      <c r="E176" s="3">
        <v>80386</v>
      </c>
      <c r="F176" s="2" t="s">
        <v>32</v>
      </c>
      <c r="G176" s="2" t="s">
        <v>23</v>
      </c>
      <c r="H176" t="str">
        <f t="shared" si="2"/>
        <v>Review</v>
      </c>
    </row>
    <row r="177" spans="1:8">
      <c r="A177" s="2">
        <v>176</v>
      </c>
      <c r="B177" s="2" t="s">
        <v>15</v>
      </c>
      <c r="C177" s="2" t="s">
        <v>12</v>
      </c>
      <c r="D177" s="2">
        <v>9</v>
      </c>
      <c r="E177" s="3">
        <v>54810</v>
      </c>
      <c r="F177" s="2" t="s">
        <v>25</v>
      </c>
      <c r="G177" s="2" t="s">
        <v>29</v>
      </c>
      <c r="H177" t="str">
        <f t="shared" si="2"/>
        <v>Standard</v>
      </c>
    </row>
    <row r="178" spans="1:8">
      <c r="A178" s="2">
        <v>177</v>
      </c>
      <c r="B178" s="2" t="s">
        <v>81</v>
      </c>
      <c r="C178" s="2" t="s">
        <v>16</v>
      </c>
      <c r="D178" s="2">
        <v>14</v>
      </c>
      <c r="E178" s="3">
        <v>54102</v>
      </c>
      <c r="F178" s="2" t="s">
        <v>38</v>
      </c>
      <c r="G178" s="2" t="s">
        <v>29</v>
      </c>
      <c r="H178" t="str">
        <f t="shared" si="2"/>
        <v>Standard</v>
      </c>
    </row>
    <row r="179" spans="1:8">
      <c r="A179" s="2">
        <v>178</v>
      </c>
      <c r="B179" s="2" t="s">
        <v>90</v>
      </c>
      <c r="C179" s="2" t="s">
        <v>8</v>
      </c>
      <c r="D179" s="2">
        <v>14</v>
      </c>
      <c r="E179" s="3">
        <v>51592</v>
      </c>
      <c r="F179" s="2" t="s">
        <v>13</v>
      </c>
      <c r="G179" s="2" t="s">
        <v>14</v>
      </c>
      <c r="H179" t="str">
        <f t="shared" si="2"/>
        <v>Standard</v>
      </c>
    </row>
    <row r="180" spans="1:8">
      <c r="A180" s="2">
        <v>179</v>
      </c>
      <c r="B180" s="2" t="s">
        <v>82</v>
      </c>
      <c r="C180" s="2" t="s">
        <v>12</v>
      </c>
      <c r="D180" s="2">
        <v>4</v>
      </c>
      <c r="E180" s="3">
        <v>85527</v>
      </c>
      <c r="F180" s="2" t="s">
        <v>9</v>
      </c>
      <c r="G180" s="2" t="s">
        <v>18</v>
      </c>
      <c r="H180" t="str">
        <f t="shared" si="2"/>
        <v>Review</v>
      </c>
    </row>
    <row r="181" spans="1:8">
      <c r="A181" s="2">
        <v>180</v>
      </c>
      <c r="B181" s="2" t="s">
        <v>19</v>
      </c>
      <c r="C181" s="2" t="s">
        <v>16</v>
      </c>
      <c r="D181" s="2">
        <v>37</v>
      </c>
      <c r="E181" s="3">
        <v>44533</v>
      </c>
      <c r="F181" s="2" t="s">
        <v>38</v>
      </c>
      <c r="G181" s="2" t="s">
        <v>23</v>
      </c>
      <c r="H181" t="str">
        <f t="shared" si="2"/>
        <v>Standard</v>
      </c>
    </row>
    <row r="182" spans="1:8">
      <c r="A182" s="2">
        <v>181</v>
      </c>
      <c r="B182" s="2" t="s">
        <v>81</v>
      </c>
      <c r="C182" s="2" t="s">
        <v>22</v>
      </c>
      <c r="D182" s="2">
        <v>23</v>
      </c>
      <c r="E182" s="3">
        <v>63058</v>
      </c>
      <c r="F182" s="2" t="s">
        <v>17</v>
      </c>
      <c r="G182" s="2" t="s">
        <v>18</v>
      </c>
      <c r="H182" t="str">
        <f t="shared" si="2"/>
        <v>Review</v>
      </c>
    </row>
    <row r="183" spans="1:8">
      <c r="A183" s="2">
        <v>182</v>
      </c>
      <c r="B183" s="2" t="s">
        <v>64</v>
      </c>
      <c r="C183" s="2" t="s">
        <v>16</v>
      </c>
      <c r="D183" s="2">
        <v>35</v>
      </c>
      <c r="E183" s="3">
        <v>38871</v>
      </c>
      <c r="F183" s="2" t="s">
        <v>13</v>
      </c>
      <c r="G183" s="2" t="s">
        <v>23</v>
      </c>
      <c r="H183" t="str">
        <f t="shared" si="2"/>
        <v>Standard</v>
      </c>
    </row>
    <row r="184" spans="1:8">
      <c r="A184" s="2">
        <v>183</v>
      </c>
      <c r="B184" s="2" t="s">
        <v>15</v>
      </c>
      <c r="C184" s="2" t="s">
        <v>22</v>
      </c>
      <c r="D184" s="2">
        <v>18</v>
      </c>
      <c r="E184" s="3">
        <v>80593</v>
      </c>
      <c r="F184" s="2" t="s">
        <v>25</v>
      </c>
      <c r="G184" s="2" t="s">
        <v>10</v>
      </c>
      <c r="H184" t="str">
        <f t="shared" si="2"/>
        <v>Review</v>
      </c>
    </row>
    <row r="185" spans="1:8">
      <c r="A185" s="2">
        <v>184</v>
      </c>
      <c r="B185" s="2" t="s">
        <v>82</v>
      </c>
      <c r="C185" s="2" t="s">
        <v>12</v>
      </c>
      <c r="D185" s="2">
        <v>39</v>
      </c>
      <c r="E185" s="3">
        <v>43935</v>
      </c>
      <c r="F185" s="2" t="s">
        <v>9</v>
      </c>
      <c r="G185" s="2" t="s">
        <v>14</v>
      </c>
      <c r="H185" t="str">
        <f t="shared" si="2"/>
        <v>Standard</v>
      </c>
    </row>
    <row r="186" spans="1:8">
      <c r="A186" s="2">
        <v>185</v>
      </c>
      <c r="B186" s="2" t="s">
        <v>92</v>
      </c>
      <c r="C186" s="2" t="s">
        <v>16</v>
      </c>
      <c r="D186" s="2">
        <v>35</v>
      </c>
      <c r="E186" s="3">
        <v>38057</v>
      </c>
      <c r="F186" s="2" t="s">
        <v>20</v>
      </c>
      <c r="G186" s="2" t="s">
        <v>29</v>
      </c>
      <c r="H186" t="str">
        <f t="shared" si="2"/>
        <v>Standard</v>
      </c>
    </row>
    <row r="187" spans="1:8">
      <c r="A187" s="2">
        <v>186</v>
      </c>
      <c r="B187" s="2" t="s">
        <v>73</v>
      </c>
      <c r="C187" s="2" t="s">
        <v>12</v>
      </c>
      <c r="D187" s="2">
        <v>11</v>
      </c>
      <c r="E187" s="3">
        <v>72444</v>
      </c>
      <c r="F187" s="2" t="s">
        <v>9</v>
      </c>
      <c r="G187" s="2" t="s">
        <v>14</v>
      </c>
      <c r="H187" t="str">
        <f t="shared" si="2"/>
        <v>Review</v>
      </c>
    </row>
    <row r="188" spans="1:8">
      <c r="A188" s="2">
        <v>187</v>
      </c>
      <c r="B188" s="2" t="s">
        <v>81</v>
      </c>
      <c r="C188" s="2" t="s">
        <v>22</v>
      </c>
      <c r="D188" s="2">
        <v>21</v>
      </c>
      <c r="E188" s="3">
        <v>92351</v>
      </c>
      <c r="F188" s="2" t="s">
        <v>17</v>
      </c>
      <c r="G188" s="2" t="s">
        <v>10</v>
      </c>
      <c r="H188" t="str">
        <f t="shared" si="2"/>
        <v>Review</v>
      </c>
    </row>
    <row r="189" spans="1:8">
      <c r="A189" s="2">
        <v>188</v>
      </c>
      <c r="B189" s="2" t="s">
        <v>73</v>
      </c>
      <c r="C189" s="2" t="s">
        <v>8</v>
      </c>
      <c r="D189" s="2">
        <v>46</v>
      </c>
      <c r="E189" s="3">
        <v>33600</v>
      </c>
      <c r="F189" s="2" t="s">
        <v>38</v>
      </c>
      <c r="G189" s="2" t="s">
        <v>26</v>
      </c>
      <c r="H189" t="str">
        <f t="shared" si="2"/>
        <v>Standard</v>
      </c>
    </row>
    <row r="190" spans="1:8">
      <c r="A190" s="2">
        <v>189</v>
      </c>
      <c r="B190" s="2" t="s">
        <v>27</v>
      </c>
      <c r="C190" s="2" t="s">
        <v>8</v>
      </c>
      <c r="D190" s="2">
        <v>19</v>
      </c>
      <c r="E190" s="3">
        <v>70785</v>
      </c>
      <c r="F190" s="2" t="s">
        <v>38</v>
      </c>
      <c r="G190" s="2" t="s">
        <v>14</v>
      </c>
      <c r="H190" t="str">
        <f t="shared" si="2"/>
        <v>Review</v>
      </c>
    </row>
    <row r="191" spans="1:8">
      <c r="A191" s="2">
        <v>190</v>
      </c>
      <c r="B191" s="2" t="s">
        <v>80</v>
      </c>
      <c r="C191" s="2" t="s">
        <v>22</v>
      </c>
      <c r="D191" s="2">
        <v>19</v>
      </c>
      <c r="E191" s="3">
        <v>70172</v>
      </c>
      <c r="F191" s="2" t="s">
        <v>32</v>
      </c>
      <c r="G191" s="2" t="s">
        <v>14</v>
      </c>
      <c r="H191" t="str">
        <f t="shared" si="2"/>
        <v>Review</v>
      </c>
    </row>
    <row r="192" spans="1:8">
      <c r="A192" s="2">
        <v>191</v>
      </c>
      <c r="B192" s="2" t="s">
        <v>21</v>
      </c>
      <c r="C192" s="2" t="s">
        <v>8</v>
      </c>
      <c r="D192" s="2">
        <v>37</v>
      </c>
      <c r="E192" s="3">
        <v>63485</v>
      </c>
      <c r="F192" s="2" t="s">
        <v>13</v>
      </c>
      <c r="G192" s="2" t="s">
        <v>10</v>
      </c>
      <c r="H192" t="str">
        <f t="shared" si="2"/>
        <v>Review</v>
      </c>
    </row>
    <row r="193" spans="1:8">
      <c r="A193" s="2">
        <v>192</v>
      </c>
      <c r="B193" s="2" t="s">
        <v>27</v>
      </c>
      <c r="C193" s="2" t="s">
        <v>8</v>
      </c>
      <c r="D193" s="2">
        <v>18</v>
      </c>
      <c r="E193" s="3">
        <v>25687</v>
      </c>
      <c r="F193" s="2" t="s">
        <v>20</v>
      </c>
      <c r="G193" s="2" t="s">
        <v>14</v>
      </c>
      <c r="H193" t="str">
        <f t="shared" si="2"/>
        <v>Standard</v>
      </c>
    </row>
    <row r="194" spans="1:8">
      <c r="A194" s="2">
        <v>193</v>
      </c>
      <c r="B194" s="2" t="s">
        <v>48</v>
      </c>
      <c r="C194" s="2" t="s">
        <v>16</v>
      </c>
      <c r="D194" s="2">
        <v>33</v>
      </c>
      <c r="E194" s="3">
        <v>56913</v>
      </c>
      <c r="F194" s="2" t="s">
        <v>17</v>
      </c>
      <c r="G194" s="2" t="s">
        <v>14</v>
      </c>
      <c r="H194" t="str">
        <f t="shared" si="2"/>
        <v>Standard</v>
      </c>
    </row>
    <row r="195" spans="1:8">
      <c r="A195" s="2">
        <v>194</v>
      </c>
      <c r="B195" s="2" t="s">
        <v>76</v>
      </c>
      <c r="C195" s="2" t="s">
        <v>16</v>
      </c>
      <c r="D195" s="2">
        <v>44</v>
      </c>
      <c r="E195" s="3">
        <v>80258</v>
      </c>
      <c r="F195" s="2" t="s">
        <v>17</v>
      </c>
      <c r="G195" s="2" t="s">
        <v>10</v>
      </c>
      <c r="H195" t="str">
        <f t="shared" ref="H195:H258" si="3">IF(AND(F195="Electric",E195&gt;45000),"Urgent",IF(OR(F195="Hybrid",E195&gt;60000),"Review","Standard"))</f>
        <v>Review</v>
      </c>
    </row>
    <row r="196" spans="1:8">
      <c r="A196" s="2">
        <v>195</v>
      </c>
      <c r="B196" s="2" t="s">
        <v>90</v>
      </c>
      <c r="C196" s="2" t="s">
        <v>8</v>
      </c>
      <c r="D196" s="2">
        <v>7</v>
      </c>
      <c r="E196" s="3">
        <v>98948</v>
      </c>
      <c r="F196" s="2" t="s">
        <v>28</v>
      </c>
      <c r="G196" s="2" t="s">
        <v>10</v>
      </c>
      <c r="H196" t="str">
        <f t="shared" si="3"/>
        <v>Review</v>
      </c>
    </row>
    <row r="197" spans="1:8">
      <c r="A197" s="2">
        <v>196</v>
      </c>
      <c r="B197" s="2" t="s">
        <v>39</v>
      </c>
      <c r="C197" s="2" t="s">
        <v>16</v>
      </c>
      <c r="D197" s="2">
        <v>9</v>
      </c>
      <c r="E197" s="3">
        <v>49380</v>
      </c>
      <c r="F197" s="2" t="s">
        <v>25</v>
      </c>
      <c r="G197" s="2" t="s">
        <v>29</v>
      </c>
      <c r="H197" t="str">
        <f t="shared" si="3"/>
        <v>Standard</v>
      </c>
    </row>
    <row r="198" spans="1:8">
      <c r="A198" s="2">
        <v>197</v>
      </c>
      <c r="B198" s="2" t="s">
        <v>19</v>
      </c>
      <c r="C198" s="2" t="s">
        <v>22</v>
      </c>
      <c r="D198" s="2">
        <v>49</v>
      </c>
      <c r="E198" s="3">
        <v>96080</v>
      </c>
      <c r="F198" s="2" t="s">
        <v>28</v>
      </c>
      <c r="G198" s="2" t="s">
        <v>26</v>
      </c>
      <c r="H198" t="str">
        <f t="shared" si="3"/>
        <v>Review</v>
      </c>
    </row>
    <row r="199" spans="1:8">
      <c r="A199" s="2">
        <v>198</v>
      </c>
      <c r="B199" s="2" t="s">
        <v>33</v>
      </c>
      <c r="C199" s="2" t="s">
        <v>16</v>
      </c>
      <c r="D199" s="2">
        <v>27</v>
      </c>
      <c r="E199" s="3">
        <v>61805</v>
      </c>
      <c r="F199" s="2" t="s">
        <v>32</v>
      </c>
      <c r="G199" s="2" t="s">
        <v>23</v>
      </c>
      <c r="H199" t="str">
        <f t="shared" si="3"/>
        <v>Review</v>
      </c>
    </row>
    <row r="200" spans="1:8">
      <c r="A200" s="2">
        <v>199</v>
      </c>
      <c r="B200" s="2" t="s">
        <v>21</v>
      </c>
      <c r="C200" s="2" t="s">
        <v>16</v>
      </c>
      <c r="D200" s="2">
        <v>4</v>
      </c>
      <c r="E200" s="3">
        <v>57181</v>
      </c>
      <c r="F200" s="2" t="s">
        <v>28</v>
      </c>
      <c r="G200" s="2" t="s">
        <v>23</v>
      </c>
      <c r="H200" t="str">
        <f t="shared" si="3"/>
        <v>Standard</v>
      </c>
    </row>
    <row r="201" spans="1:8">
      <c r="A201" s="2">
        <v>200</v>
      </c>
      <c r="B201" s="2" t="s">
        <v>76</v>
      </c>
      <c r="C201" s="2" t="s">
        <v>16</v>
      </c>
      <c r="D201" s="2">
        <v>18</v>
      </c>
      <c r="E201" s="3">
        <v>94661</v>
      </c>
      <c r="F201" s="2" t="s">
        <v>9</v>
      </c>
      <c r="G201" s="2" t="s">
        <v>26</v>
      </c>
      <c r="H201" t="str">
        <f t="shared" si="3"/>
        <v>Review</v>
      </c>
    </row>
    <row r="202" spans="1:8">
      <c r="A202" s="2">
        <v>201</v>
      </c>
      <c r="B202" s="2" t="s">
        <v>7</v>
      </c>
      <c r="C202" s="2" t="s">
        <v>12</v>
      </c>
      <c r="D202" s="2">
        <v>42</v>
      </c>
      <c r="E202" s="3">
        <v>57117</v>
      </c>
      <c r="F202" s="2" t="s">
        <v>17</v>
      </c>
      <c r="G202" s="2" t="s">
        <v>26</v>
      </c>
      <c r="H202" t="str">
        <f t="shared" si="3"/>
        <v>Standard</v>
      </c>
    </row>
    <row r="203" spans="1:8">
      <c r="A203" s="2">
        <v>202</v>
      </c>
      <c r="B203" s="2" t="s">
        <v>45</v>
      </c>
      <c r="C203" s="2" t="s">
        <v>22</v>
      </c>
      <c r="D203" s="2">
        <v>9</v>
      </c>
      <c r="E203" s="3">
        <v>92239</v>
      </c>
      <c r="F203" s="2" t="s">
        <v>17</v>
      </c>
      <c r="G203" s="2" t="s">
        <v>26</v>
      </c>
      <c r="H203" t="str">
        <f t="shared" si="3"/>
        <v>Review</v>
      </c>
    </row>
    <row r="204" spans="1:8">
      <c r="A204" s="2">
        <v>203</v>
      </c>
      <c r="B204" s="2" t="s">
        <v>42</v>
      </c>
      <c r="C204" s="2" t="s">
        <v>8</v>
      </c>
      <c r="D204" s="2">
        <v>45</v>
      </c>
      <c r="E204" s="3">
        <v>99016</v>
      </c>
      <c r="F204" s="2" t="s">
        <v>25</v>
      </c>
      <c r="G204" s="2" t="s">
        <v>10</v>
      </c>
      <c r="H204" t="str">
        <f t="shared" si="3"/>
        <v>Review</v>
      </c>
    </row>
    <row r="205" spans="1:8">
      <c r="A205" s="2">
        <v>204</v>
      </c>
      <c r="B205" s="2" t="s">
        <v>58</v>
      </c>
      <c r="C205" s="2" t="s">
        <v>8</v>
      </c>
      <c r="D205" s="2">
        <v>9</v>
      </c>
      <c r="E205" s="3">
        <v>98275</v>
      </c>
      <c r="F205" s="2" t="s">
        <v>9</v>
      </c>
      <c r="G205" s="2" t="s">
        <v>23</v>
      </c>
      <c r="H205" t="str">
        <f t="shared" si="3"/>
        <v>Review</v>
      </c>
    </row>
    <row r="206" spans="1:8">
      <c r="A206" s="2">
        <v>205</v>
      </c>
      <c r="B206" s="2" t="s">
        <v>35</v>
      </c>
      <c r="C206" s="2" t="s">
        <v>12</v>
      </c>
      <c r="D206" s="2">
        <v>16</v>
      </c>
      <c r="E206" s="3">
        <v>87305</v>
      </c>
      <c r="F206" s="2" t="s">
        <v>13</v>
      </c>
      <c r="G206" s="2" t="s">
        <v>18</v>
      </c>
      <c r="H206" t="str">
        <f t="shared" si="3"/>
        <v>Review</v>
      </c>
    </row>
    <row r="207" spans="1:8">
      <c r="A207" s="2">
        <v>206</v>
      </c>
      <c r="B207" s="2" t="s">
        <v>69</v>
      </c>
      <c r="C207" s="2" t="s">
        <v>16</v>
      </c>
      <c r="D207" s="2">
        <v>10</v>
      </c>
      <c r="E207" s="3">
        <v>54003</v>
      </c>
      <c r="F207" s="2" t="s">
        <v>32</v>
      </c>
      <c r="G207" s="2" t="s">
        <v>18</v>
      </c>
      <c r="H207" t="str">
        <f t="shared" si="3"/>
        <v>Standard</v>
      </c>
    </row>
    <row r="208" spans="1:8">
      <c r="A208" s="2">
        <v>207</v>
      </c>
      <c r="B208" s="2" t="s">
        <v>27</v>
      </c>
      <c r="C208" s="2" t="s">
        <v>22</v>
      </c>
      <c r="D208" s="2">
        <v>46</v>
      </c>
      <c r="E208" s="3">
        <v>75129</v>
      </c>
      <c r="F208" s="2" t="s">
        <v>13</v>
      </c>
      <c r="G208" s="2" t="s">
        <v>18</v>
      </c>
      <c r="H208" t="str">
        <f t="shared" si="3"/>
        <v>Review</v>
      </c>
    </row>
    <row r="209" spans="1:8">
      <c r="A209" s="2">
        <v>208</v>
      </c>
      <c r="B209" s="2" t="s">
        <v>39</v>
      </c>
      <c r="C209" s="2" t="s">
        <v>22</v>
      </c>
      <c r="D209" s="2">
        <v>21</v>
      </c>
      <c r="E209" s="3">
        <v>67432</v>
      </c>
      <c r="F209" s="2" t="s">
        <v>17</v>
      </c>
      <c r="G209" s="2" t="s">
        <v>29</v>
      </c>
      <c r="H209" t="str">
        <f t="shared" si="3"/>
        <v>Review</v>
      </c>
    </row>
    <row r="210" spans="1:8">
      <c r="A210" s="2">
        <v>209</v>
      </c>
      <c r="B210" s="2" t="s">
        <v>42</v>
      </c>
      <c r="C210" s="2" t="s">
        <v>8</v>
      </c>
      <c r="D210" s="2">
        <v>16</v>
      </c>
      <c r="E210" s="3">
        <v>89967</v>
      </c>
      <c r="F210" s="2" t="s">
        <v>17</v>
      </c>
      <c r="G210" s="2" t="s">
        <v>26</v>
      </c>
      <c r="H210" t="str">
        <f t="shared" si="3"/>
        <v>Review</v>
      </c>
    </row>
    <row r="211" spans="1:8">
      <c r="A211" s="2">
        <v>210</v>
      </c>
      <c r="B211" s="2" t="s">
        <v>62</v>
      </c>
      <c r="C211" s="2" t="s">
        <v>12</v>
      </c>
      <c r="D211" s="2">
        <v>49</v>
      </c>
      <c r="E211" s="3">
        <v>67295</v>
      </c>
      <c r="F211" s="2" t="s">
        <v>13</v>
      </c>
      <c r="G211" s="2" t="s">
        <v>26</v>
      </c>
      <c r="H211" t="str">
        <f t="shared" si="3"/>
        <v>Review</v>
      </c>
    </row>
    <row r="212" spans="1:8">
      <c r="A212" s="2">
        <v>211</v>
      </c>
      <c r="B212" s="2" t="s">
        <v>78</v>
      </c>
      <c r="C212" s="2" t="s">
        <v>12</v>
      </c>
      <c r="D212" s="2">
        <v>44</v>
      </c>
      <c r="E212" s="3">
        <v>85230</v>
      </c>
      <c r="F212" s="2" t="s">
        <v>28</v>
      </c>
      <c r="G212" s="2" t="s">
        <v>23</v>
      </c>
      <c r="H212" t="str">
        <f t="shared" si="3"/>
        <v>Review</v>
      </c>
    </row>
    <row r="213" spans="1:8">
      <c r="A213" s="2">
        <v>212</v>
      </c>
      <c r="B213" s="2" t="s">
        <v>42</v>
      </c>
      <c r="C213" s="2" t="s">
        <v>12</v>
      </c>
      <c r="D213" s="2">
        <v>26</v>
      </c>
      <c r="E213" s="3">
        <v>77228</v>
      </c>
      <c r="F213" s="2" t="s">
        <v>9</v>
      </c>
      <c r="G213" s="2" t="s">
        <v>14</v>
      </c>
      <c r="H213" t="str">
        <f t="shared" si="3"/>
        <v>Review</v>
      </c>
    </row>
    <row r="214" spans="1:8">
      <c r="A214" s="2">
        <v>213</v>
      </c>
      <c r="B214" s="2" t="s">
        <v>39</v>
      </c>
      <c r="C214" s="2" t="s">
        <v>12</v>
      </c>
      <c r="D214" s="2">
        <v>32</v>
      </c>
      <c r="E214" s="3">
        <v>43097</v>
      </c>
      <c r="F214" s="2" t="s">
        <v>25</v>
      </c>
      <c r="G214" s="2" t="s">
        <v>10</v>
      </c>
      <c r="H214" t="str">
        <f t="shared" si="3"/>
        <v>Standard</v>
      </c>
    </row>
    <row r="215" spans="1:8">
      <c r="A215" s="2">
        <v>214</v>
      </c>
      <c r="B215" s="2" t="s">
        <v>91</v>
      </c>
      <c r="C215" s="2" t="s">
        <v>22</v>
      </c>
      <c r="D215" s="2">
        <v>10</v>
      </c>
      <c r="E215" s="3">
        <v>45479</v>
      </c>
      <c r="F215" s="2" t="s">
        <v>25</v>
      </c>
      <c r="G215" s="2" t="s">
        <v>23</v>
      </c>
      <c r="H215" t="str">
        <f t="shared" si="3"/>
        <v>Standard</v>
      </c>
    </row>
    <row r="216" spans="1:8">
      <c r="A216" s="2">
        <v>215</v>
      </c>
      <c r="B216" s="2" t="s">
        <v>93</v>
      </c>
      <c r="C216" s="2" t="s">
        <v>16</v>
      </c>
      <c r="D216" s="2">
        <v>37</v>
      </c>
      <c r="E216" s="3">
        <v>55706</v>
      </c>
      <c r="F216" s="2" t="s">
        <v>32</v>
      </c>
      <c r="G216" s="2" t="s">
        <v>29</v>
      </c>
      <c r="H216" t="str">
        <f t="shared" si="3"/>
        <v>Standard</v>
      </c>
    </row>
    <row r="217" spans="1:8">
      <c r="A217" s="2">
        <v>216</v>
      </c>
      <c r="B217" s="2" t="s">
        <v>63</v>
      </c>
      <c r="C217" s="2" t="s">
        <v>8</v>
      </c>
      <c r="D217" s="2">
        <v>41</v>
      </c>
      <c r="E217" s="3">
        <v>68832</v>
      </c>
      <c r="F217" s="2" t="s">
        <v>20</v>
      </c>
      <c r="G217" s="2" t="s">
        <v>14</v>
      </c>
      <c r="H217" t="str">
        <f t="shared" si="3"/>
        <v>Review</v>
      </c>
    </row>
    <row r="218" spans="1:8">
      <c r="A218" s="2">
        <v>217</v>
      </c>
      <c r="B218" s="2" t="s">
        <v>78</v>
      </c>
      <c r="C218" s="2" t="s">
        <v>22</v>
      </c>
      <c r="D218" s="2">
        <v>18</v>
      </c>
      <c r="E218" s="3">
        <v>52662</v>
      </c>
      <c r="F218" s="2" t="s">
        <v>28</v>
      </c>
      <c r="G218" s="2" t="s">
        <v>26</v>
      </c>
      <c r="H218" t="str">
        <f t="shared" si="3"/>
        <v>Standard</v>
      </c>
    </row>
    <row r="219" spans="1:8">
      <c r="A219" s="2">
        <v>218</v>
      </c>
      <c r="B219" s="2" t="s">
        <v>42</v>
      </c>
      <c r="C219" s="2" t="s">
        <v>12</v>
      </c>
      <c r="D219" s="2">
        <v>41</v>
      </c>
      <c r="E219" s="3">
        <v>73970</v>
      </c>
      <c r="F219" s="2" t="s">
        <v>32</v>
      </c>
      <c r="G219" s="2" t="s">
        <v>10</v>
      </c>
      <c r="H219" t="str">
        <f t="shared" si="3"/>
        <v>Review</v>
      </c>
    </row>
    <row r="220" spans="1:8">
      <c r="A220" s="2">
        <v>219</v>
      </c>
      <c r="B220" s="2" t="s">
        <v>94</v>
      </c>
      <c r="C220" s="2" t="s">
        <v>12</v>
      </c>
      <c r="D220" s="2">
        <v>27</v>
      </c>
      <c r="E220" s="3">
        <v>72256</v>
      </c>
      <c r="F220" s="2" t="s">
        <v>13</v>
      </c>
      <c r="G220" s="2" t="s">
        <v>14</v>
      </c>
      <c r="H220" t="str">
        <f t="shared" si="3"/>
        <v>Review</v>
      </c>
    </row>
    <row r="221" spans="1:8">
      <c r="A221" s="2">
        <v>220</v>
      </c>
      <c r="B221" s="2" t="s">
        <v>79</v>
      </c>
      <c r="C221" s="2" t="s">
        <v>8</v>
      </c>
      <c r="D221" s="2">
        <v>25</v>
      </c>
      <c r="E221" s="3">
        <v>33476</v>
      </c>
      <c r="F221" s="2" t="s">
        <v>13</v>
      </c>
      <c r="G221" s="2" t="s">
        <v>10</v>
      </c>
      <c r="H221" t="str">
        <f t="shared" si="3"/>
        <v>Standard</v>
      </c>
    </row>
    <row r="222" spans="1:8">
      <c r="A222" s="2">
        <v>221</v>
      </c>
      <c r="B222" s="2" t="s">
        <v>19</v>
      </c>
      <c r="C222" s="2" t="s">
        <v>16</v>
      </c>
      <c r="D222" s="2">
        <v>29</v>
      </c>
      <c r="E222" s="3">
        <v>46064</v>
      </c>
      <c r="F222" s="2" t="s">
        <v>32</v>
      </c>
      <c r="G222" s="2" t="s">
        <v>18</v>
      </c>
      <c r="H222" t="str">
        <f t="shared" si="3"/>
        <v>Standard</v>
      </c>
    </row>
    <row r="223" spans="1:8">
      <c r="A223" s="2">
        <v>222</v>
      </c>
      <c r="B223" s="2" t="s">
        <v>51</v>
      </c>
      <c r="C223" s="2" t="s">
        <v>16</v>
      </c>
      <c r="D223" s="2">
        <v>5</v>
      </c>
      <c r="E223" s="3">
        <v>98433</v>
      </c>
      <c r="F223" s="2" t="s">
        <v>25</v>
      </c>
      <c r="G223" s="2" t="s">
        <v>26</v>
      </c>
      <c r="H223" t="str">
        <f t="shared" si="3"/>
        <v>Review</v>
      </c>
    </row>
    <row r="224" spans="1:8">
      <c r="A224" s="2">
        <v>223</v>
      </c>
      <c r="B224" s="2" t="s">
        <v>65</v>
      </c>
      <c r="C224" s="2" t="s">
        <v>16</v>
      </c>
      <c r="D224" s="2">
        <v>41</v>
      </c>
      <c r="E224" s="3">
        <v>29662</v>
      </c>
      <c r="F224" s="2" t="s">
        <v>25</v>
      </c>
      <c r="G224" s="2" t="s">
        <v>26</v>
      </c>
      <c r="H224" t="str">
        <f t="shared" si="3"/>
        <v>Standard</v>
      </c>
    </row>
    <row r="225" spans="1:8">
      <c r="A225" s="2">
        <v>224</v>
      </c>
      <c r="B225" s="2" t="s">
        <v>59</v>
      </c>
      <c r="C225" s="2" t="s">
        <v>12</v>
      </c>
      <c r="D225" s="2">
        <v>50</v>
      </c>
      <c r="E225" s="3">
        <v>90387</v>
      </c>
      <c r="F225" s="2" t="s">
        <v>9</v>
      </c>
      <c r="G225" s="2" t="s">
        <v>26</v>
      </c>
      <c r="H225" t="str">
        <f t="shared" si="3"/>
        <v>Review</v>
      </c>
    </row>
    <row r="226" spans="1:8">
      <c r="A226" s="2">
        <v>225</v>
      </c>
      <c r="B226" s="2" t="s">
        <v>69</v>
      </c>
      <c r="C226" s="2" t="s">
        <v>22</v>
      </c>
      <c r="D226" s="2">
        <v>6</v>
      </c>
      <c r="E226" s="3">
        <v>26501</v>
      </c>
      <c r="F226" s="2" t="s">
        <v>38</v>
      </c>
      <c r="G226" s="2" t="s">
        <v>10</v>
      </c>
      <c r="H226" t="str">
        <f t="shared" si="3"/>
        <v>Standard</v>
      </c>
    </row>
    <row r="227" spans="1:8">
      <c r="A227" s="2">
        <v>226</v>
      </c>
      <c r="B227" s="2" t="s">
        <v>74</v>
      </c>
      <c r="C227" s="2" t="s">
        <v>22</v>
      </c>
      <c r="D227" s="2">
        <v>26</v>
      </c>
      <c r="E227" s="3">
        <v>48383</v>
      </c>
      <c r="F227" s="2" t="s">
        <v>25</v>
      </c>
      <c r="G227" s="2" t="s">
        <v>10</v>
      </c>
      <c r="H227" t="str">
        <f t="shared" si="3"/>
        <v>Standard</v>
      </c>
    </row>
    <row r="228" spans="1:8">
      <c r="A228" s="2">
        <v>227</v>
      </c>
      <c r="B228" s="2" t="s">
        <v>41</v>
      </c>
      <c r="C228" s="2" t="s">
        <v>16</v>
      </c>
      <c r="D228" s="2">
        <v>33</v>
      </c>
      <c r="E228" s="3">
        <v>52838</v>
      </c>
      <c r="F228" s="2" t="s">
        <v>13</v>
      </c>
      <c r="G228" s="2" t="s">
        <v>29</v>
      </c>
      <c r="H228" t="str">
        <f t="shared" si="3"/>
        <v>Standard</v>
      </c>
    </row>
    <row r="229" spans="1:8">
      <c r="A229" s="2">
        <v>228</v>
      </c>
      <c r="B229" s="2" t="s">
        <v>94</v>
      </c>
      <c r="C229" s="2" t="s">
        <v>8</v>
      </c>
      <c r="D229" s="2">
        <v>48</v>
      </c>
      <c r="E229" s="3">
        <v>57828</v>
      </c>
      <c r="F229" s="2" t="s">
        <v>9</v>
      </c>
      <c r="G229" s="2" t="s">
        <v>29</v>
      </c>
      <c r="H229" t="str">
        <f t="shared" si="3"/>
        <v>Standard</v>
      </c>
    </row>
    <row r="230" spans="1:8">
      <c r="A230" s="2">
        <v>229</v>
      </c>
      <c r="B230" s="2" t="s">
        <v>89</v>
      </c>
      <c r="C230" s="2" t="s">
        <v>16</v>
      </c>
      <c r="D230" s="2">
        <v>18</v>
      </c>
      <c r="E230" s="3">
        <v>25084</v>
      </c>
      <c r="F230" s="2" t="s">
        <v>25</v>
      </c>
      <c r="G230" s="2" t="s">
        <v>29</v>
      </c>
      <c r="H230" t="str">
        <f t="shared" si="3"/>
        <v>Standard</v>
      </c>
    </row>
    <row r="231" spans="1:8">
      <c r="A231" s="2">
        <v>230</v>
      </c>
      <c r="B231" s="2" t="s">
        <v>7</v>
      </c>
      <c r="C231" s="2" t="s">
        <v>16</v>
      </c>
      <c r="D231" s="2">
        <v>45</v>
      </c>
      <c r="E231" s="3">
        <v>68863</v>
      </c>
      <c r="F231" s="2" t="s">
        <v>17</v>
      </c>
      <c r="G231" s="2" t="s">
        <v>23</v>
      </c>
      <c r="H231" t="str">
        <f t="shared" si="3"/>
        <v>Review</v>
      </c>
    </row>
    <row r="232" spans="1:8">
      <c r="A232" s="2">
        <v>231</v>
      </c>
      <c r="B232" s="2" t="s">
        <v>11</v>
      </c>
      <c r="C232" s="2" t="s">
        <v>8</v>
      </c>
      <c r="D232" s="2">
        <v>24</v>
      </c>
      <c r="E232" s="3">
        <v>50227</v>
      </c>
      <c r="F232" s="2" t="s">
        <v>9</v>
      </c>
      <c r="G232" s="2" t="s">
        <v>18</v>
      </c>
      <c r="H232" t="str">
        <f t="shared" si="3"/>
        <v>Standard</v>
      </c>
    </row>
    <row r="233" spans="1:8">
      <c r="A233" s="2">
        <v>232</v>
      </c>
      <c r="B233" s="2" t="s">
        <v>34</v>
      </c>
      <c r="C233" s="2" t="s">
        <v>16</v>
      </c>
      <c r="D233" s="2">
        <v>30</v>
      </c>
      <c r="E233" s="3">
        <v>82825</v>
      </c>
      <c r="F233" s="2" t="s">
        <v>28</v>
      </c>
      <c r="G233" s="2" t="s">
        <v>18</v>
      </c>
      <c r="H233" t="str">
        <f t="shared" si="3"/>
        <v>Review</v>
      </c>
    </row>
    <row r="234" spans="1:8">
      <c r="A234" s="2">
        <v>233</v>
      </c>
      <c r="B234" s="2" t="s">
        <v>77</v>
      </c>
      <c r="C234" s="2" t="s">
        <v>8</v>
      </c>
      <c r="D234" s="2">
        <v>32</v>
      </c>
      <c r="E234" s="3">
        <v>38080</v>
      </c>
      <c r="F234" s="2" t="s">
        <v>28</v>
      </c>
      <c r="G234" s="2" t="s">
        <v>10</v>
      </c>
      <c r="H234" t="str">
        <f t="shared" si="3"/>
        <v>Standard</v>
      </c>
    </row>
    <row r="235" spans="1:8">
      <c r="A235" s="2">
        <v>234</v>
      </c>
      <c r="B235" s="2" t="s">
        <v>58</v>
      </c>
      <c r="C235" s="2" t="s">
        <v>8</v>
      </c>
      <c r="D235" s="2">
        <v>21</v>
      </c>
      <c r="E235" s="3">
        <v>42649</v>
      </c>
      <c r="F235" s="2" t="s">
        <v>38</v>
      </c>
      <c r="G235" s="2" t="s">
        <v>29</v>
      </c>
      <c r="H235" t="str">
        <f t="shared" si="3"/>
        <v>Standard</v>
      </c>
    </row>
    <row r="236" spans="1:8">
      <c r="A236" s="2">
        <v>235</v>
      </c>
      <c r="B236" s="2" t="s">
        <v>66</v>
      </c>
      <c r="C236" s="2" t="s">
        <v>22</v>
      </c>
      <c r="D236" s="2">
        <v>38</v>
      </c>
      <c r="E236" s="3">
        <v>56502</v>
      </c>
      <c r="F236" s="2" t="s">
        <v>13</v>
      </c>
      <c r="G236" s="2" t="s">
        <v>26</v>
      </c>
      <c r="H236" t="str">
        <f t="shared" si="3"/>
        <v>Standard</v>
      </c>
    </row>
    <row r="237" spans="1:8">
      <c r="A237" s="2">
        <v>236</v>
      </c>
      <c r="B237" s="2" t="s">
        <v>19</v>
      </c>
      <c r="C237" s="2" t="s">
        <v>8</v>
      </c>
      <c r="D237" s="2">
        <v>1</v>
      </c>
      <c r="E237" s="3">
        <v>78599</v>
      </c>
      <c r="F237" s="2" t="s">
        <v>20</v>
      </c>
      <c r="G237" s="2" t="s">
        <v>26</v>
      </c>
      <c r="H237" t="str">
        <f t="shared" si="3"/>
        <v>Review</v>
      </c>
    </row>
    <row r="238" spans="1:8">
      <c r="A238" s="2">
        <v>237</v>
      </c>
      <c r="B238" s="2" t="s">
        <v>21</v>
      </c>
      <c r="C238" s="2" t="s">
        <v>16</v>
      </c>
      <c r="D238" s="2">
        <v>50</v>
      </c>
      <c r="E238" s="3">
        <v>27824</v>
      </c>
      <c r="F238" s="2" t="s">
        <v>25</v>
      </c>
      <c r="G238" s="2" t="s">
        <v>18</v>
      </c>
      <c r="H238" t="str">
        <f t="shared" si="3"/>
        <v>Standard</v>
      </c>
    </row>
    <row r="239" spans="1:8">
      <c r="A239" s="2">
        <v>238</v>
      </c>
      <c r="B239" s="2" t="s">
        <v>61</v>
      </c>
      <c r="C239" s="2" t="s">
        <v>8</v>
      </c>
      <c r="D239" s="2">
        <v>47</v>
      </c>
      <c r="E239" s="3">
        <v>25018</v>
      </c>
      <c r="F239" s="2" t="s">
        <v>38</v>
      </c>
      <c r="G239" s="2" t="s">
        <v>18</v>
      </c>
      <c r="H239" t="str">
        <f t="shared" si="3"/>
        <v>Standard</v>
      </c>
    </row>
    <row r="240" spans="1:8">
      <c r="A240" s="2">
        <v>239</v>
      </c>
      <c r="B240" s="2" t="s">
        <v>88</v>
      </c>
      <c r="C240" s="2" t="s">
        <v>16</v>
      </c>
      <c r="D240" s="2">
        <v>6</v>
      </c>
      <c r="E240" s="3">
        <v>90932</v>
      </c>
      <c r="F240" s="2" t="s">
        <v>32</v>
      </c>
      <c r="G240" s="2" t="s">
        <v>10</v>
      </c>
      <c r="H240" t="str">
        <f t="shared" si="3"/>
        <v>Review</v>
      </c>
    </row>
    <row r="241" spans="1:8">
      <c r="A241" s="2">
        <v>240</v>
      </c>
      <c r="B241" s="2" t="s">
        <v>24</v>
      </c>
      <c r="C241" s="2" t="s">
        <v>8</v>
      </c>
      <c r="D241" s="2">
        <v>47</v>
      </c>
      <c r="E241" s="3">
        <v>32893</v>
      </c>
      <c r="F241" s="2" t="s">
        <v>28</v>
      </c>
      <c r="G241" s="2" t="s">
        <v>10</v>
      </c>
      <c r="H241" t="str">
        <f t="shared" si="3"/>
        <v>Standard</v>
      </c>
    </row>
    <row r="242" spans="1:8">
      <c r="A242" s="2">
        <v>241</v>
      </c>
      <c r="B242" s="2" t="s">
        <v>79</v>
      </c>
      <c r="C242" s="2" t="s">
        <v>22</v>
      </c>
      <c r="D242" s="2">
        <v>30</v>
      </c>
      <c r="E242" s="3">
        <v>38839</v>
      </c>
      <c r="F242" s="2" t="s">
        <v>9</v>
      </c>
      <c r="G242" s="2" t="s">
        <v>14</v>
      </c>
      <c r="H242" t="str">
        <f t="shared" si="3"/>
        <v>Standard</v>
      </c>
    </row>
    <row r="243" spans="1:8">
      <c r="A243" s="2">
        <v>242</v>
      </c>
      <c r="B243" s="2" t="s">
        <v>46</v>
      </c>
      <c r="C243" s="2" t="s">
        <v>16</v>
      </c>
      <c r="D243" s="2">
        <v>41</v>
      </c>
      <c r="E243" s="3">
        <v>92963</v>
      </c>
      <c r="F243" s="2" t="s">
        <v>20</v>
      </c>
      <c r="G243" s="2" t="s">
        <v>14</v>
      </c>
      <c r="H243" t="str">
        <f t="shared" si="3"/>
        <v>Review</v>
      </c>
    </row>
    <row r="244" spans="1:8">
      <c r="A244" s="2">
        <v>243</v>
      </c>
      <c r="B244" s="2" t="s">
        <v>86</v>
      </c>
      <c r="C244" s="2" t="s">
        <v>16</v>
      </c>
      <c r="D244" s="2">
        <v>43</v>
      </c>
      <c r="E244" s="3">
        <v>34485</v>
      </c>
      <c r="F244" s="2" t="s">
        <v>9</v>
      </c>
      <c r="G244" s="2" t="s">
        <v>10</v>
      </c>
      <c r="H244" t="str">
        <f t="shared" si="3"/>
        <v>Standard</v>
      </c>
    </row>
    <row r="245" spans="1:8">
      <c r="A245" s="2">
        <v>244</v>
      </c>
      <c r="B245" s="2" t="s">
        <v>84</v>
      </c>
      <c r="C245" s="2" t="s">
        <v>16</v>
      </c>
      <c r="D245" s="2">
        <v>45</v>
      </c>
      <c r="E245" s="3">
        <v>88620</v>
      </c>
      <c r="F245" s="2" t="s">
        <v>17</v>
      </c>
      <c r="G245" s="2" t="s">
        <v>14</v>
      </c>
      <c r="H245" t="str">
        <f t="shared" si="3"/>
        <v>Review</v>
      </c>
    </row>
    <row r="246" spans="1:8">
      <c r="A246" s="2">
        <v>245</v>
      </c>
      <c r="B246" s="2" t="s">
        <v>19</v>
      </c>
      <c r="C246" s="2" t="s">
        <v>8</v>
      </c>
      <c r="D246" s="2">
        <v>23</v>
      </c>
      <c r="E246" s="3">
        <v>42104</v>
      </c>
      <c r="F246" s="2" t="s">
        <v>28</v>
      </c>
      <c r="G246" s="2" t="s">
        <v>18</v>
      </c>
      <c r="H246" t="str">
        <f t="shared" si="3"/>
        <v>Standard</v>
      </c>
    </row>
    <row r="247" spans="1:8">
      <c r="A247" s="2">
        <v>246</v>
      </c>
      <c r="B247" s="2" t="s">
        <v>51</v>
      </c>
      <c r="C247" s="2" t="s">
        <v>22</v>
      </c>
      <c r="D247" s="2">
        <v>5</v>
      </c>
      <c r="E247" s="3">
        <v>98195</v>
      </c>
      <c r="F247" s="2" t="s">
        <v>17</v>
      </c>
      <c r="G247" s="2" t="s">
        <v>10</v>
      </c>
      <c r="H247" t="str">
        <f t="shared" si="3"/>
        <v>Review</v>
      </c>
    </row>
    <row r="248" spans="1:8">
      <c r="A248" s="2">
        <v>247</v>
      </c>
      <c r="B248" s="2" t="s">
        <v>73</v>
      </c>
      <c r="C248" s="2" t="s">
        <v>22</v>
      </c>
      <c r="D248" s="2">
        <v>35</v>
      </c>
      <c r="E248" s="3">
        <v>38436</v>
      </c>
      <c r="F248" s="2" t="s">
        <v>17</v>
      </c>
      <c r="G248" s="2" t="s">
        <v>10</v>
      </c>
      <c r="H248" t="str">
        <f t="shared" si="3"/>
        <v>Standard</v>
      </c>
    </row>
    <row r="249" spans="1:8">
      <c r="A249" s="2">
        <v>248</v>
      </c>
      <c r="B249" s="2" t="s">
        <v>61</v>
      </c>
      <c r="C249" s="2" t="s">
        <v>22</v>
      </c>
      <c r="D249" s="2">
        <v>26</v>
      </c>
      <c r="E249" s="3">
        <v>98049</v>
      </c>
      <c r="F249" s="2" t="s">
        <v>28</v>
      </c>
      <c r="G249" s="2" t="s">
        <v>29</v>
      </c>
      <c r="H249" t="str">
        <f t="shared" si="3"/>
        <v>Review</v>
      </c>
    </row>
    <row r="250" spans="1:8">
      <c r="A250" s="2">
        <v>249</v>
      </c>
      <c r="B250" s="2" t="s">
        <v>27</v>
      </c>
      <c r="C250" s="2" t="s">
        <v>22</v>
      </c>
      <c r="D250" s="2">
        <v>14</v>
      </c>
      <c r="E250" s="3">
        <v>71131</v>
      </c>
      <c r="F250" s="2" t="s">
        <v>17</v>
      </c>
      <c r="G250" s="2" t="s">
        <v>18</v>
      </c>
      <c r="H250" t="str">
        <f t="shared" si="3"/>
        <v>Review</v>
      </c>
    </row>
    <row r="251" spans="1:8">
      <c r="A251" s="2">
        <v>250</v>
      </c>
      <c r="B251" s="2" t="s">
        <v>76</v>
      </c>
      <c r="C251" s="2" t="s">
        <v>8</v>
      </c>
      <c r="D251" s="2">
        <v>28</v>
      </c>
      <c r="E251" s="3">
        <v>26796</v>
      </c>
      <c r="F251" s="2" t="s">
        <v>38</v>
      </c>
      <c r="G251" s="2" t="s">
        <v>18</v>
      </c>
      <c r="H251" t="str">
        <f t="shared" si="3"/>
        <v>Standard</v>
      </c>
    </row>
    <row r="252" spans="1:8">
      <c r="A252" s="2">
        <v>251</v>
      </c>
      <c r="B252" s="2" t="s">
        <v>61</v>
      </c>
      <c r="C252" s="2" t="s">
        <v>16</v>
      </c>
      <c r="D252" s="2">
        <v>14</v>
      </c>
      <c r="E252" s="3">
        <v>60827</v>
      </c>
      <c r="F252" s="2" t="s">
        <v>13</v>
      </c>
      <c r="G252" s="2" t="s">
        <v>23</v>
      </c>
      <c r="H252" t="str">
        <f t="shared" si="3"/>
        <v>Review</v>
      </c>
    </row>
    <row r="253" spans="1:8">
      <c r="A253" s="2">
        <v>252</v>
      </c>
      <c r="B253" s="2" t="s">
        <v>76</v>
      </c>
      <c r="C253" s="2" t="s">
        <v>12</v>
      </c>
      <c r="D253" s="2">
        <v>32</v>
      </c>
      <c r="E253" s="3">
        <v>79735</v>
      </c>
      <c r="F253" s="2" t="s">
        <v>20</v>
      </c>
      <c r="G253" s="2" t="s">
        <v>23</v>
      </c>
      <c r="H253" t="str">
        <f t="shared" si="3"/>
        <v>Review</v>
      </c>
    </row>
    <row r="254" spans="1:8">
      <c r="A254" s="2">
        <v>253</v>
      </c>
      <c r="B254" s="2" t="s">
        <v>65</v>
      </c>
      <c r="C254" s="2" t="s">
        <v>22</v>
      </c>
      <c r="D254" s="2">
        <v>18</v>
      </c>
      <c r="E254" s="3">
        <v>71863</v>
      </c>
      <c r="F254" s="2" t="s">
        <v>17</v>
      </c>
      <c r="G254" s="2" t="s">
        <v>29</v>
      </c>
      <c r="H254" t="str">
        <f t="shared" si="3"/>
        <v>Review</v>
      </c>
    </row>
    <row r="255" spans="1:8">
      <c r="A255" s="2">
        <v>254</v>
      </c>
      <c r="B255" s="2" t="s">
        <v>64</v>
      </c>
      <c r="C255" s="2" t="s">
        <v>12</v>
      </c>
      <c r="D255" s="2">
        <v>21</v>
      </c>
      <c r="E255" s="3">
        <v>95516</v>
      </c>
      <c r="F255" s="2" t="s">
        <v>32</v>
      </c>
      <c r="G255" s="2" t="s">
        <v>23</v>
      </c>
      <c r="H255" t="str">
        <f t="shared" si="3"/>
        <v>Review</v>
      </c>
    </row>
    <row r="256" spans="1:8">
      <c r="A256" s="2">
        <v>255</v>
      </c>
      <c r="B256" s="2" t="s">
        <v>83</v>
      </c>
      <c r="C256" s="2" t="s">
        <v>8</v>
      </c>
      <c r="D256" s="2">
        <v>19</v>
      </c>
      <c r="E256" s="3">
        <v>65342</v>
      </c>
      <c r="F256" s="2" t="s">
        <v>25</v>
      </c>
      <c r="G256" s="2" t="s">
        <v>14</v>
      </c>
      <c r="H256" t="str">
        <f t="shared" si="3"/>
        <v>Review</v>
      </c>
    </row>
    <row r="257" spans="1:8">
      <c r="A257" s="2">
        <v>256</v>
      </c>
      <c r="B257" s="2" t="s">
        <v>41</v>
      </c>
      <c r="C257" s="2" t="s">
        <v>8</v>
      </c>
      <c r="D257" s="2">
        <v>22</v>
      </c>
      <c r="E257" s="3">
        <v>81383</v>
      </c>
      <c r="F257" s="2" t="s">
        <v>28</v>
      </c>
      <c r="G257" s="2" t="s">
        <v>10</v>
      </c>
      <c r="H257" t="str">
        <f t="shared" si="3"/>
        <v>Review</v>
      </c>
    </row>
    <row r="258" spans="1:8">
      <c r="A258" s="2">
        <v>257</v>
      </c>
      <c r="B258" s="2" t="s">
        <v>73</v>
      </c>
      <c r="C258" s="2" t="s">
        <v>12</v>
      </c>
      <c r="D258" s="2">
        <v>36</v>
      </c>
      <c r="E258" s="3">
        <v>44876</v>
      </c>
      <c r="F258" s="2" t="s">
        <v>17</v>
      </c>
      <c r="G258" s="2" t="s">
        <v>26</v>
      </c>
      <c r="H258" t="str">
        <f t="shared" si="3"/>
        <v>Standard</v>
      </c>
    </row>
    <row r="259" spans="1:8">
      <c r="A259" s="2">
        <v>258</v>
      </c>
      <c r="B259" s="2" t="s">
        <v>43</v>
      </c>
      <c r="C259" s="2" t="s">
        <v>16</v>
      </c>
      <c r="D259" s="2">
        <v>37</v>
      </c>
      <c r="E259" s="3">
        <v>88731</v>
      </c>
      <c r="F259" s="2" t="s">
        <v>17</v>
      </c>
      <c r="G259" s="2" t="s">
        <v>14</v>
      </c>
      <c r="H259" t="str">
        <f t="shared" ref="H259:H322" si="4">IF(AND(F259="Electric",E259&gt;45000),"Urgent",IF(OR(F259="Hybrid",E259&gt;60000),"Review","Standard"))</f>
        <v>Review</v>
      </c>
    </row>
    <row r="260" spans="1:8">
      <c r="A260" s="2">
        <v>259</v>
      </c>
      <c r="B260" s="2" t="s">
        <v>19</v>
      </c>
      <c r="C260" s="2" t="s">
        <v>12</v>
      </c>
      <c r="D260" s="2">
        <v>9</v>
      </c>
      <c r="E260" s="3">
        <v>93357</v>
      </c>
      <c r="F260" s="2" t="s">
        <v>9</v>
      </c>
      <c r="G260" s="2" t="s">
        <v>18</v>
      </c>
      <c r="H260" t="str">
        <f t="shared" si="4"/>
        <v>Review</v>
      </c>
    </row>
    <row r="261" spans="1:8">
      <c r="A261" s="2">
        <v>260</v>
      </c>
      <c r="B261" s="2" t="s">
        <v>74</v>
      </c>
      <c r="C261" s="2" t="s">
        <v>8</v>
      </c>
      <c r="D261" s="2">
        <v>37</v>
      </c>
      <c r="E261" s="3">
        <v>86314</v>
      </c>
      <c r="F261" s="2" t="s">
        <v>9</v>
      </c>
      <c r="G261" s="2" t="s">
        <v>23</v>
      </c>
      <c r="H261" t="str">
        <f t="shared" si="4"/>
        <v>Review</v>
      </c>
    </row>
    <row r="262" spans="1:8">
      <c r="A262" s="2">
        <v>261</v>
      </c>
      <c r="B262" s="2" t="s">
        <v>11</v>
      </c>
      <c r="C262" s="2" t="s">
        <v>12</v>
      </c>
      <c r="D262" s="2">
        <v>32</v>
      </c>
      <c r="E262" s="3">
        <v>61492</v>
      </c>
      <c r="F262" s="2" t="s">
        <v>20</v>
      </c>
      <c r="G262" s="2" t="s">
        <v>26</v>
      </c>
      <c r="H262" t="str">
        <f t="shared" si="4"/>
        <v>Review</v>
      </c>
    </row>
    <row r="263" spans="1:8">
      <c r="A263" s="2">
        <v>262</v>
      </c>
      <c r="B263" s="2" t="s">
        <v>72</v>
      </c>
      <c r="C263" s="2" t="s">
        <v>22</v>
      </c>
      <c r="D263" s="2">
        <v>22</v>
      </c>
      <c r="E263" s="3">
        <v>93283</v>
      </c>
      <c r="F263" s="2" t="s">
        <v>13</v>
      </c>
      <c r="G263" s="2" t="s">
        <v>14</v>
      </c>
      <c r="H263" t="str">
        <f t="shared" si="4"/>
        <v>Review</v>
      </c>
    </row>
    <row r="264" spans="1:8">
      <c r="A264" s="2">
        <v>263</v>
      </c>
      <c r="B264" s="2" t="s">
        <v>34</v>
      </c>
      <c r="C264" s="2" t="s">
        <v>22</v>
      </c>
      <c r="D264" s="2">
        <v>44</v>
      </c>
      <c r="E264" s="3">
        <v>45648</v>
      </c>
      <c r="F264" s="2" t="s">
        <v>28</v>
      </c>
      <c r="G264" s="2" t="s">
        <v>18</v>
      </c>
      <c r="H264" t="str">
        <f t="shared" si="4"/>
        <v>Standard</v>
      </c>
    </row>
    <row r="265" spans="1:8">
      <c r="A265" s="2">
        <v>264</v>
      </c>
      <c r="B265" s="2" t="s">
        <v>76</v>
      </c>
      <c r="C265" s="2" t="s">
        <v>16</v>
      </c>
      <c r="D265" s="2">
        <v>49</v>
      </c>
      <c r="E265" s="3">
        <v>70747</v>
      </c>
      <c r="F265" s="2" t="s">
        <v>9</v>
      </c>
      <c r="G265" s="2" t="s">
        <v>23</v>
      </c>
      <c r="H265" t="str">
        <f t="shared" si="4"/>
        <v>Review</v>
      </c>
    </row>
    <row r="266" spans="1:8">
      <c r="A266" s="2">
        <v>265</v>
      </c>
      <c r="B266" s="2" t="s">
        <v>47</v>
      </c>
      <c r="C266" s="2" t="s">
        <v>12</v>
      </c>
      <c r="D266" s="2">
        <v>4</v>
      </c>
      <c r="E266" s="3">
        <v>29398</v>
      </c>
      <c r="F266" s="2" t="s">
        <v>25</v>
      </c>
      <c r="G266" s="2" t="s">
        <v>10</v>
      </c>
      <c r="H266" t="str">
        <f t="shared" si="4"/>
        <v>Standard</v>
      </c>
    </row>
    <row r="267" spans="1:8">
      <c r="A267" s="2">
        <v>266</v>
      </c>
      <c r="B267" s="2" t="s">
        <v>70</v>
      </c>
      <c r="C267" s="2" t="s">
        <v>12</v>
      </c>
      <c r="D267" s="2">
        <v>3</v>
      </c>
      <c r="E267" s="3">
        <v>90816</v>
      </c>
      <c r="F267" s="2" t="s">
        <v>25</v>
      </c>
      <c r="G267" s="2" t="s">
        <v>10</v>
      </c>
      <c r="H267" t="str">
        <f t="shared" si="4"/>
        <v>Review</v>
      </c>
    </row>
    <row r="268" spans="1:8">
      <c r="A268" s="2">
        <v>267</v>
      </c>
      <c r="B268" s="2" t="s">
        <v>84</v>
      </c>
      <c r="C268" s="2" t="s">
        <v>12</v>
      </c>
      <c r="D268" s="2">
        <v>7</v>
      </c>
      <c r="E268" s="3">
        <v>74924</v>
      </c>
      <c r="F268" s="2" t="s">
        <v>17</v>
      </c>
      <c r="G268" s="2" t="s">
        <v>23</v>
      </c>
      <c r="H268" t="str">
        <f t="shared" si="4"/>
        <v>Review</v>
      </c>
    </row>
    <row r="269" spans="1:8">
      <c r="A269" s="2">
        <v>268</v>
      </c>
      <c r="B269" s="2" t="s">
        <v>49</v>
      </c>
      <c r="C269" s="2" t="s">
        <v>12</v>
      </c>
      <c r="D269" s="2">
        <v>41</v>
      </c>
      <c r="E269" s="3">
        <v>97884</v>
      </c>
      <c r="F269" s="2" t="s">
        <v>13</v>
      </c>
      <c r="G269" s="2" t="s">
        <v>10</v>
      </c>
      <c r="H269" t="str">
        <f t="shared" si="4"/>
        <v>Review</v>
      </c>
    </row>
    <row r="270" spans="1:8">
      <c r="A270" s="2">
        <v>269</v>
      </c>
      <c r="B270" s="2" t="s">
        <v>47</v>
      </c>
      <c r="C270" s="2" t="s">
        <v>16</v>
      </c>
      <c r="D270" s="2">
        <v>30</v>
      </c>
      <c r="E270" s="3">
        <v>94616</v>
      </c>
      <c r="F270" s="2" t="s">
        <v>13</v>
      </c>
      <c r="G270" s="2" t="s">
        <v>29</v>
      </c>
      <c r="H270" t="str">
        <f t="shared" si="4"/>
        <v>Review</v>
      </c>
    </row>
    <row r="271" spans="1:8">
      <c r="A271" s="2">
        <v>270</v>
      </c>
      <c r="B271" s="2" t="s">
        <v>30</v>
      </c>
      <c r="C271" s="2" t="s">
        <v>8</v>
      </c>
      <c r="D271" s="2">
        <v>2</v>
      </c>
      <c r="E271" s="3">
        <v>49629</v>
      </c>
      <c r="F271" s="2" t="s">
        <v>20</v>
      </c>
      <c r="G271" s="2" t="s">
        <v>23</v>
      </c>
      <c r="H271" t="str">
        <f t="shared" si="4"/>
        <v>Standard</v>
      </c>
    </row>
    <row r="272" spans="1:8">
      <c r="A272" s="2">
        <v>271</v>
      </c>
      <c r="B272" s="2" t="s">
        <v>94</v>
      </c>
      <c r="C272" s="2" t="s">
        <v>16</v>
      </c>
      <c r="D272" s="2">
        <v>8</v>
      </c>
      <c r="E272" s="3">
        <v>52443</v>
      </c>
      <c r="F272" s="2" t="s">
        <v>20</v>
      </c>
      <c r="G272" s="2" t="s">
        <v>29</v>
      </c>
      <c r="H272" t="str">
        <f t="shared" si="4"/>
        <v>Standard</v>
      </c>
    </row>
    <row r="273" spans="1:8">
      <c r="A273" s="2">
        <v>272</v>
      </c>
      <c r="B273" s="2" t="s">
        <v>50</v>
      </c>
      <c r="C273" s="2" t="s">
        <v>8</v>
      </c>
      <c r="D273" s="2">
        <v>11</v>
      </c>
      <c r="E273" s="3">
        <v>61083</v>
      </c>
      <c r="F273" s="2" t="s">
        <v>25</v>
      </c>
      <c r="G273" s="2" t="s">
        <v>23</v>
      </c>
      <c r="H273" t="str">
        <f t="shared" si="4"/>
        <v>Review</v>
      </c>
    </row>
    <row r="274" spans="1:8">
      <c r="A274" s="2">
        <v>273</v>
      </c>
      <c r="B274" s="2" t="s">
        <v>21</v>
      </c>
      <c r="C274" s="2" t="s">
        <v>8</v>
      </c>
      <c r="D274" s="2">
        <v>29</v>
      </c>
      <c r="E274" s="3">
        <v>51383</v>
      </c>
      <c r="F274" s="2" t="s">
        <v>17</v>
      </c>
      <c r="G274" s="2" t="s">
        <v>29</v>
      </c>
      <c r="H274" t="str">
        <f t="shared" si="4"/>
        <v>Standard</v>
      </c>
    </row>
    <row r="275" spans="1:8">
      <c r="A275" s="2">
        <v>274</v>
      </c>
      <c r="B275" s="2" t="s">
        <v>49</v>
      </c>
      <c r="C275" s="2" t="s">
        <v>8</v>
      </c>
      <c r="D275" s="2">
        <v>30</v>
      </c>
      <c r="E275" s="3">
        <v>99447</v>
      </c>
      <c r="F275" s="2" t="s">
        <v>32</v>
      </c>
      <c r="G275" s="2" t="s">
        <v>10</v>
      </c>
      <c r="H275" t="str">
        <f t="shared" si="4"/>
        <v>Review</v>
      </c>
    </row>
    <row r="276" spans="1:8">
      <c r="A276" s="2">
        <v>275</v>
      </c>
      <c r="B276" s="2" t="s">
        <v>64</v>
      </c>
      <c r="C276" s="2" t="s">
        <v>12</v>
      </c>
      <c r="D276" s="2">
        <v>1</v>
      </c>
      <c r="E276" s="3">
        <v>31339</v>
      </c>
      <c r="F276" s="2" t="s">
        <v>17</v>
      </c>
      <c r="G276" s="2" t="s">
        <v>10</v>
      </c>
      <c r="H276" t="str">
        <f t="shared" si="4"/>
        <v>Standard</v>
      </c>
    </row>
    <row r="277" spans="1:8">
      <c r="A277" s="2">
        <v>276</v>
      </c>
      <c r="B277" s="2" t="s">
        <v>89</v>
      </c>
      <c r="C277" s="2" t="s">
        <v>16</v>
      </c>
      <c r="D277" s="2">
        <v>28</v>
      </c>
      <c r="E277" s="3">
        <v>48417</v>
      </c>
      <c r="F277" s="2" t="s">
        <v>17</v>
      </c>
      <c r="G277" s="2" t="s">
        <v>14</v>
      </c>
      <c r="H277" t="str">
        <f t="shared" si="4"/>
        <v>Standard</v>
      </c>
    </row>
    <row r="278" spans="1:8">
      <c r="A278" s="2">
        <v>277</v>
      </c>
      <c r="B278" s="2" t="s">
        <v>93</v>
      </c>
      <c r="C278" s="2" t="s">
        <v>8</v>
      </c>
      <c r="D278" s="2">
        <v>13</v>
      </c>
      <c r="E278" s="3">
        <v>96242</v>
      </c>
      <c r="F278" s="2" t="s">
        <v>28</v>
      </c>
      <c r="G278" s="2" t="s">
        <v>18</v>
      </c>
      <c r="H278" t="str">
        <f t="shared" si="4"/>
        <v>Review</v>
      </c>
    </row>
    <row r="279" spans="1:8">
      <c r="A279" s="2">
        <v>278</v>
      </c>
      <c r="B279" s="2" t="s">
        <v>81</v>
      </c>
      <c r="C279" s="2" t="s">
        <v>22</v>
      </c>
      <c r="D279" s="2">
        <v>45</v>
      </c>
      <c r="E279" s="3">
        <v>84957</v>
      </c>
      <c r="F279" s="2" t="s">
        <v>28</v>
      </c>
      <c r="G279" s="2" t="s">
        <v>29</v>
      </c>
      <c r="H279" t="str">
        <f t="shared" si="4"/>
        <v>Review</v>
      </c>
    </row>
    <row r="280" spans="1:8">
      <c r="A280" s="2">
        <v>279</v>
      </c>
      <c r="B280" s="2" t="s">
        <v>11</v>
      </c>
      <c r="C280" s="2" t="s">
        <v>8</v>
      </c>
      <c r="D280" s="2">
        <v>9</v>
      </c>
      <c r="E280" s="3">
        <v>90124</v>
      </c>
      <c r="F280" s="2" t="s">
        <v>13</v>
      </c>
      <c r="G280" s="2" t="s">
        <v>26</v>
      </c>
      <c r="H280" t="str">
        <f t="shared" si="4"/>
        <v>Review</v>
      </c>
    </row>
    <row r="281" spans="1:8">
      <c r="A281" s="2">
        <v>280</v>
      </c>
      <c r="B281" s="2" t="s">
        <v>69</v>
      </c>
      <c r="C281" s="2" t="s">
        <v>16</v>
      </c>
      <c r="D281" s="2">
        <v>42</v>
      </c>
      <c r="E281" s="3">
        <v>96537</v>
      </c>
      <c r="F281" s="2" t="s">
        <v>28</v>
      </c>
      <c r="G281" s="2" t="s">
        <v>23</v>
      </c>
      <c r="H281" t="str">
        <f t="shared" si="4"/>
        <v>Review</v>
      </c>
    </row>
    <row r="282" spans="1:8">
      <c r="A282" s="2">
        <v>281</v>
      </c>
      <c r="B282" s="2" t="s">
        <v>35</v>
      </c>
      <c r="C282" s="2" t="s">
        <v>12</v>
      </c>
      <c r="D282" s="2">
        <v>20</v>
      </c>
      <c r="E282" s="3">
        <v>89798</v>
      </c>
      <c r="F282" s="2" t="s">
        <v>9</v>
      </c>
      <c r="G282" s="2" t="s">
        <v>10</v>
      </c>
      <c r="H282" t="str">
        <f t="shared" si="4"/>
        <v>Review</v>
      </c>
    </row>
    <row r="283" spans="1:8">
      <c r="A283" s="2">
        <v>282</v>
      </c>
      <c r="B283" s="2" t="s">
        <v>36</v>
      </c>
      <c r="C283" s="2" t="s">
        <v>22</v>
      </c>
      <c r="D283" s="2">
        <v>11</v>
      </c>
      <c r="E283" s="3">
        <v>80433</v>
      </c>
      <c r="F283" s="2" t="s">
        <v>17</v>
      </c>
      <c r="G283" s="2" t="s">
        <v>10</v>
      </c>
      <c r="H283" t="str">
        <f t="shared" si="4"/>
        <v>Review</v>
      </c>
    </row>
    <row r="284" spans="1:8">
      <c r="A284" s="2">
        <v>283</v>
      </c>
      <c r="B284" s="2" t="s">
        <v>54</v>
      </c>
      <c r="C284" s="2" t="s">
        <v>8</v>
      </c>
      <c r="D284" s="2">
        <v>18</v>
      </c>
      <c r="E284" s="3">
        <v>87680</v>
      </c>
      <c r="F284" s="2" t="s">
        <v>9</v>
      </c>
      <c r="G284" s="2" t="s">
        <v>23</v>
      </c>
      <c r="H284" t="str">
        <f t="shared" si="4"/>
        <v>Review</v>
      </c>
    </row>
    <row r="285" spans="1:8">
      <c r="A285" s="2">
        <v>284</v>
      </c>
      <c r="B285" s="2" t="s">
        <v>78</v>
      </c>
      <c r="C285" s="2" t="s">
        <v>12</v>
      </c>
      <c r="D285" s="2">
        <v>6</v>
      </c>
      <c r="E285" s="3">
        <v>43108</v>
      </c>
      <c r="F285" s="2" t="s">
        <v>13</v>
      </c>
      <c r="G285" s="2" t="s">
        <v>18</v>
      </c>
      <c r="H285" t="str">
        <f t="shared" si="4"/>
        <v>Standard</v>
      </c>
    </row>
    <row r="286" spans="1:8">
      <c r="A286" s="2">
        <v>285</v>
      </c>
      <c r="B286" s="2" t="s">
        <v>61</v>
      </c>
      <c r="C286" s="2" t="s">
        <v>16</v>
      </c>
      <c r="D286" s="2">
        <v>42</v>
      </c>
      <c r="E286" s="3">
        <v>37940</v>
      </c>
      <c r="F286" s="2" t="s">
        <v>25</v>
      </c>
      <c r="G286" s="2" t="s">
        <v>23</v>
      </c>
      <c r="H286" t="str">
        <f t="shared" si="4"/>
        <v>Standard</v>
      </c>
    </row>
    <row r="287" spans="1:8">
      <c r="A287" s="2">
        <v>286</v>
      </c>
      <c r="B287" s="2" t="s">
        <v>57</v>
      </c>
      <c r="C287" s="2" t="s">
        <v>16</v>
      </c>
      <c r="D287" s="2">
        <v>24</v>
      </c>
      <c r="E287" s="3">
        <v>85761</v>
      </c>
      <c r="F287" s="2" t="s">
        <v>25</v>
      </c>
      <c r="G287" s="2" t="s">
        <v>26</v>
      </c>
      <c r="H287" t="str">
        <f t="shared" si="4"/>
        <v>Review</v>
      </c>
    </row>
    <row r="288" spans="1:8">
      <c r="A288" s="2">
        <v>287</v>
      </c>
      <c r="B288" s="2" t="s">
        <v>72</v>
      </c>
      <c r="C288" s="2" t="s">
        <v>22</v>
      </c>
      <c r="D288" s="2">
        <v>17</v>
      </c>
      <c r="E288" s="3">
        <v>72289</v>
      </c>
      <c r="F288" s="2" t="s">
        <v>38</v>
      </c>
      <c r="G288" s="2" t="s">
        <v>29</v>
      </c>
      <c r="H288" t="str">
        <f t="shared" si="4"/>
        <v>Review</v>
      </c>
    </row>
    <row r="289" spans="1:8">
      <c r="A289" s="2">
        <v>288</v>
      </c>
      <c r="B289" s="2" t="s">
        <v>45</v>
      </c>
      <c r="C289" s="2" t="s">
        <v>22</v>
      </c>
      <c r="D289" s="2">
        <v>6</v>
      </c>
      <c r="E289" s="3">
        <v>54963</v>
      </c>
      <c r="F289" s="2" t="s">
        <v>25</v>
      </c>
      <c r="G289" s="2" t="s">
        <v>29</v>
      </c>
      <c r="H289" t="str">
        <f t="shared" si="4"/>
        <v>Standard</v>
      </c>
    </row>
    <row r="290" spans="1:8">
      <c r="A290" s="2">
        <v>289</v>
      </c>
      <c r="B290" s="2" t="s">
        <v>30</v>
      </c>
      <c r="C290" s="2" t="s">
        <v>8</v>
      </c>
      <c r="D290" s="2">
        <v>24</v>
      </c>
      <c r="E290" s="3">
        <v>92672</v>
      </c>
      <c r="F290" s="2" t="s">
        <v>32</v>
      </c>
      <c r="G290" s="2" t="s">
        <v>26</v>
      </c>
      <c r="H290" t="str">
        <f t="shared" si="4"/>
        <v>Review</v>
      </c>
    </row>
    <row r="291" spans="1:8">
      <c r="A291" s="2">
        <v>290</v>
      </c>
      <c r="B291" s="2" t="s">
        <v>65</v>
      </c>
      <c r="C291" s="2" t="s">
        <v>12</v>
      </c>
      <c r="D291" s="2">
        <v>43</v>
      </c>
      <c r="E291" s="3">
        <v>59509</v>
      </c>
      <c r="F291" s="2" t="s">
        <v>28</v>
      </c>
      <c r="G291" s="2" t="s">
        <v>26</v>
      </c>
      <c r="H291" t="str">
        <f t="shared" si="4"/>
        <v>Standard</v>
      </c>
    </row>
    <row r="292" spans="1:8">
      <c r="A292" s="2">
        <v>291</v>
      </c>
      <c r="B292" s="2" t="s">
        <v>24</v>
      </c>
      <c r="C292" s="2" t="s">
        <v>12</v>
      </c>
      <c r="D292" s="2">
        <v>42</v>
      </c>
      <c r="E292" s="3">
        <v>49477</v>
      </c>
      <c r="F292" s="2" t="s">
        <v>20</v>
      </c>
      <c r="G292" s="2" t="s">
        <v>14</v>
      </c>
      <c r="H292" t="str">
        <f t="shared" si="4"/>
        <v>Standard</v>
      </c>
    </row>
    <row r="293" spans="1:8">
      <c r="A293" s="2">
        <v>292</v>
      </c>
      <c r="B293" s="2" t="s">
        <v>60</v>
      </c>
      <c r="C293" s="2" t="s">
        <v>16</v>
      </c>
      <c r="D293" s="2">
        <v>11</v>
      </c>
      <c r="E293" s="3">
        <v>37407</v>
      </c>
      <c r="F293" s="2" t="s">
        <v>32</v>
      </c>
      <c r="G293" s="2" t="s">
        <v>26</v>
      </c>
      <c r="H293" t="str">
        <f t="shared" si="4"/>
        <v>Standard</v>
      </c>
    </row>
    <row r="294" spans="1:8">
      <c r="A294" s="2">
        <v>293</v>
      </c>
      <c r="B294" s="2" t="s">
        <v>90</v>
      </c>
      <c r="C294" s="2" t="s">
        <v>16</v>
      </c>
      <c r="D294" s="2">
        <v>4</v>
      </c>
      <c r="E294" s="3">
        <v>40727</v>
      </c>
      <c r="F294" s="2" t="s">
        <v>25</v>
      </c>
      <c r="G294" s="2" t="s">
        <v>26</v>
      </c>
      <c r="H294" t="str">
        <f t="shared" si="4"/>
        <v>Standard</v>
      </c>
    </row>
    <row r="295" spans="1:8">
      <c r="A295" s="2">
        <v>294</v>
      </c>
      <c r="B295" s="2" t="s">
        <v>60</v>
      </c>
      <c r="C295" s="2" t="s">
        <v>8</v>
      </c>
      <c r="D295" s="2">
        <v>26</v>
      </c>
      <c r="E295" s="3">
        <v>62927</v>
      </c>
      <c r="F295" s="2" t="s">
        <v>13</v>
      </c>
      <c r="G295" s="2" t="s">
        <v>23</v>
      </c>
      <c r="H295" t="str">
        <f t="shared" si="4"/>
        <v>Review</v>
      </c>
    </row>
    <row r="296" spans="1:8">
      <c r="A296" s="2">
        <v>295</v>
      </c>
      <c r="B296" s="2" t="s">
        <v>66</v>
      </c>
      <c r="C296" s="2" t="s">
        <v>8</v>
      </c>
      <c r="D296" s="2">
        <v>41</v>
      </c>
      <c r="E296" s="3">
        <v>67739</v>
      </c>
      <c r="F296" s="2" t="s">
        <v>20</v>
      </c>
      <c r="G296" s="2" t="s">
        <v>10</v>
      </c>
      <c r="H296" t="str">
        <f t="shared" si="4"/>
        <v>Review</v>
      </c>
    </row>
    <row r="297" spans="1:8">
      <c r="A297" s="2">
        <v>296</v>
      </c>
      <c r="B297" s="2" t="s">
        <v>74</v>
      </c>
      <c r="C297" s="2" t="s">
        <v>16</v>
      </c>
      <c r="D297" s="2">
        <v>20</v>
      </c>
      <c r="E297" s="3">
        <v>98155</v>
      </c>
      <c r="F297" s="2" t="s">
        <v>20</v>
      </c>
      <c r="G297" s="2" t="s">
        <v>14</v>
      </c>
      <c r="H297" t="str">
        <f t="shared" si="4"/>
        <v>Review</v>
      </c>
    </row>
    <row r="298" spans="1:8">
      <c r="A298" s="2">
        <v>297</v>
      </c>
      <c r="B298" s="2" t="s">
        <v>65</v>
      </c>
      <c r="C298" s="2" t="s">
        <v>16</v>
      </c>
      <c r="D298" s="2">
        <v>47</v>
      </c>
      <c r="E298" s="3">
        <v>27038</v>
      </c>
      <c r="F298" s="2" t="s">
        <v>20</v>
      </c>
      <c r="G298" s="2" t="s">
        <v>23</v>
      </c>
      <c r="H298" t="str">
        <f t="shared" si="4"/>
        <v>Standard</v>
      </c>
    </row>
    <row r="299" spans="1:8">
      <c r="A299" s="2">
        <v>298</v>
      </c>
      <c r="B299" s="2" t="s">
        <v>93</v>
      </c>
      <c r="C299" s="2" t="s">
        <v>12</v>
      </c>
      <c r="D299" s="2">
        <v>45</v>
      </c>
      <c r="E299" s="3">
        <v>92378</v>
      </c>
      <c r="F299" s="2" t="s">
        <v>9</v>
      </c>
      <c r="G299" s="2" t="s">
        <v>23</v>
      </c>
      <c r="H299" t="str">
        <f t="shared" si="4"/>
        <v>Review</v>
      </c>
    </row>
    <row r="300" spans="1:8">
      <c r="A300" s="2">
        <v>299</v>
      </c>
      <c r="B300" s="2" t="s">
        <v>19</v>
      </c>
      <c r="C300" s="2" t="s">
        <v>12</v>
      </c>
      <c r="D300" s="2">
        <v>49</v>
      </c>
      <c r="E300" s="3">
        <v>25648</v>
      </c>
      <c r="F300" s="2" t="s">
        <v>38</v>
      </c>
      <c r="G300" s="2" t="s">
        <v>10</v>
      </c>
      <c r="H300" t="str">
        <f t="shared" si="4"/>
        <v>Standard</v>
      </c>
    </row>
    <row r="301" spans="1:8">
      <c r="A301" s="2">
        <v>300</v>
      </c>
      <c r="B301" s="2" t="s">
        <v>71</v>
      </c>
      <c r="C301" s="2" t="s">
        <v>12</v>
      </c>
      <c r="D301" s="2">
        <v>15</v>
      </c>
      <c r="E301" s="3">
        <v>53396</v>
      </c>
      <c r="F301" s="2" t="s">
        <v>38</v>
      </c>
      <c r="G301" s="2" t="s">
        <v>18</v>
      </c>
      <c r="H301" t="str">
        <f t="shared" si="4"/>
        <v>Standard</v>
      </c>
    </row>
    <row r="302" spans="1:8">
      <c r="A302" s="2">
        <v>301</v>
      </c>
      <c r="B302" s="2" t="s">
        <v>93</v>
      </c>
      <c r="C302" s="2" t="s">
        <v>8</v>
      </c>
      <c r="D302" s="2">
        <v>28</v>
      </c>
      <c r="E302" s="3">
        <v>53552</v>
      </c>
      <c r="F302" s="2" t="s">
        <v>13</v>
      </c>
      <c r="G302" s="2" t="s">
        <v>23</v>
      </c>
      <c r="H302" t="str">
        <f t="shared" si="4"/>
        <v>Standard</v>
      </c>
    </row>
    <row r="303" spans="1:8">
      <c r="A303" s="2">
        <v>302</v>
      </c>
      <c r="B303" s="2" t="s">
        <v>89</v>
      </c>
      <c r="C303" s="2" t="s">
        <v>12</v>
      </c>
      <c r="D303" s="2">
        <v>42</v>
      </c>
      <c r="E303" s="3">
        <v>93371</v>
      </c>
      <c r="F303" s="2" t="s">
        <v>20</v>
      </c>
      <c r="G303" s="2" t="s">
        <v>14</v>
      </c>
      <c r="H303" t="str">
        <f t="shared" si="4"/>
        <v>Review</v>
      </c>
    </row>
    <row r="304" spans="1:8">
      <c r="A304" s="2">
        <v>303</v>
      </c>
      <c r="B304" s="2" t="s">
        <v>93</v>
      </c>
      <c r="C304" s="2" t="s">
        <v>22</v>
      </c>
      <c r="D304" s="2">
        <v>6</v>
      </c>
      <c r="E304" s="3">
        <v>90334</v>
      </c>
      <c r="F304" s="2" t="s">
        <v>20</v>
      </c>
      <c r="G304" s="2" t="s">
        <v>10</v>
      </c>
      <c r="H304" t="str">
        <f t="shared" si="4"/>
        <v>Review</v>
      </c>
    </row>
    <row r="305" spans="1:8">
      <c r="A305" s="2">
        <v>304</v>
      </c>
      <c r="B305" s="2" t="s">
        <v>51</v>
      </c>
      <c r="C305" s="2" t="s">
        <v>22</v>
      </c>
      <c r="D305" s="2">
        <v>46</v>
      </c>
      <c r="E305" s="3">
        <v>97968</v>
      </c>
      <c r="F305" s="2" t="s">
        <v>28</v>
      </c>
      <c r="G305" s="2" t="s">
        <v>29</v>
      </c>
      <c r="H305" t="str">
        <f t="shared" si="4"/>
        <v>Review</v>
      </c>
    </row>
    <row r="306" spans="1:8">
      <c r="A306" s="2">
        <v>305</v>
      </c>
      <c r="B306" s="2" t="s">
        <v>82</v>
      </c>
      <c r="C306" s="2" t="s">
        <v>12</v>
      </c>
      <c r="D306" s="2">
        <v>7</v>
      </c>
      <c r="E306" s="3">
        <v>56101</v>
      </c>
      <c r="F306" s="2" t="s">
        <v>25</v>
      </c>
      <c r="G306" s="2" t="s">
        <v>18</v>
      </c>
      <c r="H306" t="str">
        <f t="shared" si="4"/>
        <v>Standard</v>
      </c>
    </row>
    <row r="307" spans="1:8">
      <c r="A307" s="2">
        <v>306</v>
      </c>
      <c r="B307" s="2" t="s">
        <v>33</v>
      </c>
      <c r="C307" s="2" t="s">
        <v>12</v>
      </c>
      <c r="D307" s="2">
        <v>1</v>
      </c>
      <c r="E307" s="3">
        <v>43664</v>
      </c>
      <c r="F307" s="2" t="s">
        <v>20</v>
      </c>
      <c r="G307" s="2" t="s">
        <v>10</v>
      </c>
      <c r="H307" t="str">
        <f t="shared" si="4"/>
        <v>Standard</v>
      </c>
    </row>
    <row r="308" spans="1:8">
      <c r="A308" s="2">
        <v>307</v>
      </c>
      <c r="B308" s="2" t="s">
        <v>63</v>
      </c>
      <c r="C308" s="2" t="s">
        <v>16</v>
      </c>
      <c r="D308" s="2">
        <v>14</v>
      </c>
      <c r="E308" s="3">
        <v>63289</v>
      </c>
      <c r="F308" s="2" t="s">
        <v>13</v>
      </c>
      <c r="G308" s="2" t="s">
        <v>14</v>
      </c>
      <c r="H308" t="str">
        <f t="shared" si="4"/>
        <v>Review</v>
      </c>
    </row>
    <row r="309" spans="1:8">
      <c r="A309" s="2">
        <v>308</v>
      </c>
      <c r="B309" s="2" t="s">
        <v>57</v>
      </c>
      <c r="C309" s="2" t="s">
        <v>16</v>
      </c>
      <c r="D309" s="2">
        <v>31</v>
      </c>
      <c r="E309" s="3">
        <v>59479</v>
      </c>
      <c r="F309" s="2" t="s">
        <v>28</v>
      </c>
      <c r="G309" s="2" t="s">
        <v>23</v>
      </c>
      <c r="H309" t="str">
        <f t="shared" si="4"/>
        <v>Standard</v>
      </c>
    </row>
    <row r="310" spans="1:8">
      <c r="A310" s="2">
        <v>309</v>
      </c>
      <c r="B310" s="2" t="s">
        <v>69</v>
      </c>
      <c r="C310" s="2" t="s">
        <v>8</v>
      </c>
      <c r="D310" s="2">
        <v>5</v>
      </c>
      <c r="E310" s="3">
        <v>88559</v>
      </c>
      <c r="F310" s="2" t="s">
        <v>32</v>
      </c>
      <c r="G310" s="2" t="s">
        <v>14</v>
      </c>
      <c r="H310" t="str">
        <f t="shared" si="4"/>
        <v>Review</v>
      </c>
    </row>
    <row r="311" spans="1:8">
      <c r="A311" s="2">
        <v>310</v>
      </c>
      <c r="B311" s="2" t="s">
        <v>44</v>
      </c>
      <c r="C311" s="2" t="s">
        <v>22</v>
      </c>
      <c r="D311" s="2">
        <v>9</v>
      </c>
      <c r="E311" s="3">
        <v>41225</v>
      </c>
      <c r="F311" s="2" t="s">
        <v>32</v>
      </c>
      <c r="G311" s="2" t="s">
        <v>26</v>
      </c>
      <c r="H311" t="str">
        <f t="shared" si="4"/>
        <v>Standard</v>
      </c>
    </row>
    <row r="312" spans="1:8">
      <c r="A312" s="2">
        <v>311</v>
      </c>
      <c r="B312" s="2" t="s">
        <v>80</v>
      </c>
      <c r="C312" s="2" t="s">
        <v>22</v>
      </c>
      <c r="D312" s="2">
        <v>38</v>
      </c>
      <c r="E312" s="3">
        <v>52035</v>
      </c>
      <c r="F312" s="2" t="s">
        <v>28</v>
      </c>
      <c r="G312" s="2" t="s">
        <v>23</v>
      </c>
      <c r="H312" t="str">
        <f t="shared" si="4"/>
        <v>Standard</v>
      </c>
    </row>
    <row r="313" spans="1:8">
      <c r="A313" s="2">
        <v>312</v>
      </c>
      <c r="B313" s="2" t="s">
        <v>67</v>
      </c>
      <c r="C313" s="2" t="s">
        <v>8</v>
      </c>
      <c r="D313" s="2">
        <v>15</v>
      </c>
      <c r="E313" s="3">
        <v>58604</v>
      </c>
      <c r="F313" s="2" t="s">
        <v>9</v>
      </c>
      <c r="G313" s="2" t="s">
        <v>10</v>
      </c>
      <c r="H313" t="str">
        <f t="shared" si="4"/>
        <v>Standard</v>
      </c>
    </row>
    <row r="314" spans="1:8">
      <c r="A314" s="2">
        <v>313</v>
      </c>
      <c r="B314" s="2" t="s">
        <v>66</v>
      </c>
      <c r="C314" s="2" t="s">
        <v>12</v>
      </c>
      <c r="D314" s="2">
        <v>34</v>
      </c>
      <c r="E314" s="3">
        <v>26933</v>
      </c>
      <c r="F314" s="2" t="s">
        <v>25</v>
      </c>
      <c r="G314" s="2" t="s">
        <v>18</v>
      </c>
      <c r="H314" t="str">
        <f t="shared" si="4"/>
        <v>Standard</v>
      </c>
    </row>
    <row r="315" spans="1:8">
      <c r="A315" s="2">
        <v>314</v>
      </c>
      <c r="B315" s="2" t="s">
        <v>70</v>
      </c>
      <c r="C315" s="2" t="s">
        <v>12</v>
      </c>
      <c r="D315" s="2">
        <v>44</v>
      </c>
      <c r="E315" s="3">
        <v>74163</v>
      </c>
      <c r="F315" s="2" t="s">
        <v>25</v>
      </c>
      <c r="G315" s="2" t="s">
        <v>10</v>
      </c>
      <c r="H315" t="str">
        <f t="shared" si="4"/>
        <v>Review</v>
      </c>
    </row>
    <row r="316" spans="1:8">
      <c r="A316" s="2">
        <v>315</v>
      </c>
      <c r="B316" s="2" t="s">
        <v>41</v>
      </c>
      <c r="C316" s="2" t="s">
        <v>8</v>
      </c>
      <c r="D316" s="2">
        <v>29</v>
      </c>
      <c r="E316" s="3">
        <v>48704</v>
      </c>
      <c r="F316" s="2" t="s">
        <v>25</v>
      </c>
      <c r="G316" s="2" t="s">
        <v>26</v>
      </c>
      <c r="H316" t="str">
        <f t="shared" si="4"/>
        <v>Standard</v>
      </c>
    </row>
    <row r="317" spans="1:8">
      <c r="A317" s="2">
        <v>316</v>
      </c>
      <c r="B317" s="2" t="s">
        <v>68</v>
      </c>
      <c r="C317" s="2" t="s">
        <v>22</v>
      </c>
      <c r="D317" s="2">
        <v>1</v>
      </c>
      <c r="E317" s="3">
        <v>78133</v>
      </c>
      <c r="F317" s="2" t="s">
        <v>38</v>
      </c>
      <c r="G317" s="2" t="s">
        <v>26</v>
      </c>
      <c r="H317" t="str">
        <f t="shared" si="4"/>
        <v>Review</v>
      </c>
    </row>
    <row r="318" spans="1:8">
      <c r="A318" s="2">
        <v>317</v>
      </c>
      <c r="B318" s="2" t="s">
        <v>44</v>
      </c>
      <c r="C318" s="2" t="s">
        <v>22</v>
      </c>
      <c r="D318" s="2">
        <v>1</v>
      </c>
      <c r="E318" s="3">
        <v>27769</v>
      </c>
      <c r="F318" s="2" t="s">
        <v>38</v>
      </c>
      <c r="G318" s="2" t="s">
        <v>14</v>
      </c>
      <c r="H318" t="str">
        <f t="shared" si="4"/>
        <v>Standard</v>
      </c>
    </row>
    <row r="319" spans="1:8">
      <c r="A319" s="2">
        <v>318</v>
      </c>
      <c r="B319" s="2" t="s">
        <v>84</v>
      </c>
      <c r="C319" s="2" t="s">
        <v>12</v>
      </c>
      <c r="D319" s="2">
        <v>45</v>
      </c>
      <c r="E319" s="3">
        <v>97804</v>
      </c>
      <c r="F319" s="2" t="s">
        <v>17</v>
      </c>
      <c r="G319" s="2" t="s">
        <v>14</v>
      </c>
      <c r="H319" t="str">
        <f t="shared" si="4"/>
        <v>Review</v>
      </c>
    </row>
    <row r="320" spans="1:8">
      <c r="A320" s="2">
        <v>319</v>
      </c>
      <c r="B320" s="2" t="s">
        <v>52</v>
      </c>
      <c r="C320" s="2" t="s">
        <v>16</v>
      </c>
      <c r="D320" s="2">
        <v>22</v>
      </c>
      <c r="E320" s="3">
        <v>34399</v>
      </c>
      <c r="F320" s="2" t="s">
        <v>17</v>
      </c>
      <c r="G320" s="2" t="s">
        <v>29</v>
      </c>
      <c r="H320" t="str">
        <f t="shared" si="4"/>
        <v>Standard</v>
      </c>
    </row>
    <row r="321" spans="1:8">
      <c r="A321" s="2">
        <v>320</v>
      </c>
      <c r="B321" s="2" t="s">
        <v>27</v>
      </c>
      <c r="C321" s="2" t="s">
        <v>8</v>
      </c>
      <c r="D321" s="2">
        <v>8</v>
      </c>
      <c r="E321" s="3">
        <v>47286</v>
      </c>
      <c r="F321" s="2" t="s">
        <v>9</v>
      </c>
      <c r="G321" s="2" t="s">
        <v>29</v>
      </c>
      <c r="H321" t="str">
        <f t="shared" si="4"/>
        <v>Standard</v>
      </c>
    </row>
    <row r="322" spans="1:8">
      <c r="A322" s="2">
        <v>321</v>
      </c>
      <c r="B322" s="2" t="s">
        <v>11</v>
      </c>
      <c r="C322" s="2" t="s">
        <v>8</v>
      </c>
      <c r="D322" s="2">
        <v>28</v>
      </c>
      <c r="E322" s="3">
        <v>56784</v>
      </c>
      <c r="F322" s="2" t="s">
        <v>9</v>
      </c>
      <c r="G322" s="2" t="s">
        <v>23</v>
      </c>
      <c r="H322" t="str">
        <f t="shared" si="4"/>
        <v>Standard</v>
      </c>
    </row>
    <row r="323" spans="1:8">
      <c r="A323" s="2">
        <v>322</v>
      </c>
      <c r="B323" s="2" t="s">
        <v>88</v>
      </c>
      <c r="C323" s="2" t="s">
        <v>12</v>
      </c>
      <c r="D323" s="2">
        <v>45</v>
      </c>
      <c r="E323" s="3">
        <v>32096</v>
      </c>
      <c r="F323" s="2" t="s">
        <v>28</v>
      </c>
      <c r="G323" s="2" t="s">
        <v>26</v>
      </c>
      <c r="H323" t="str">
        <f t="shared" ref="H323:H386" si="5">IF(AND(F323="Electric",E323&gt;45000),"Urgent",IF(OR(F323="Hybrid",E323&gt;60000),"Review","Standard"))</f>
        <v>Standard</v>
      </c>
    </row>
    <row r="324" spans="1:8">
      <c r="A324" s="2">
        <v>323</v>
      </c>
      <c r="B324" s="2" t="s">
        <v>71</v>
      </c>
      <c r="C324" s="2" t="s">
        <v>8</v>
      </c>
      <c r="D324" s="2">
        <v>9</v>
      </c>
      <c r="E324" s="3">
        <v>92471</v>
      </c>
      <c r="F324" s="2" t="s">
        <v>9</v>
      </c>
      <c r="G324" s="2" t="s">
        <v>14</v>
      </c>
      <c r="H324" t="str">
        <f t="shared" si="5"/>
        <v>Review</v>
      </c>
    </row>
    <row r="325" spans="1:8">
      <c r="A325" s="2">
        <v>324</v>
      </c>
      <c r="B325" s="2" t="s">
        <v>40</v>
      </c>
      <c r="C325" s="2" t="s">
        <v>22</v>
      </c>
      <c r="D325" s="2">
        <v>31</v>
      </c>
      <c r="E325" s="3">
        <v>47612</v>
      </c>
      <c r="F325" s="2" t="s">
        <v>25</v>
      </c>
      <c r="G325" s="2" t="s">
        <v>29</v>
      </c>
      <c r="H325" t="str">
        <f t="shared" si="5"/>
        <v>Standard</v>
      </c>
    </row>
    <row r="326" spans="1:8">
      <c r="A326" s="2">
        <v>325</v>
      </c>
      <c r="B326" s="2" t="s">
        <v>27</v>
      </c>
      <c r="C326" s="2" t="s">
        <v>12</v>
      </c>
      <c r="D326" s="2">
        <v>5</v>
      </c>
      <c r="E326" s="3">
        <v>85181</v>
      </c>
      <c r="F326" s="2" t="s">
        <v>25</v>
      </c>
      <c r="G326" s="2" t="s">
        <v>26</v>
      </c>
      <c r="H326" t="str">
        <f t="shared" si="5"/>
        <v>Review</v>
      </c>
    </row>
    <row r="327" spans="1:8">
      <c r="A327" s="2">
        <v>326</v>
      </c>
      <c r="B327" s="2" t="s">
        <v>27</v>
      </c>
      <c r="C327" s="2" t="s">
        <v>22</v>
      </c>
      <c r="D327" s="2">
        <v>15</v>
      </c>
      <c r="E327" s="3">
        <v>79438</v>
      </c>
      <c r="F327" s="2" t="s">
        <v>9</v>
      </c>
      <c r="G327" s="2" t="s">
        <v>29</v>
      </c>
      <c r="H327" t="str">
        <f t="shared" si="5"/>
        <v>Review</v>
      </c>
    </row>
    <row r="328" spans="1:8">
      <c r="A328" s="2">
        <v>327</v>
      </c>
      <c r="B328" s="2" t="s">
        <v>87</v>
      </c>
      <c r="C328" s="2" t="s">
        <v>16</v>
      </c>
      <c r="D328" s="2">
        <v>25</v>
      </c>
      <c r="E328" s="3">
        <v>41749</v>
      </c>
      <c r="F328" s="2" t="s">
        <v>13</v>
      </c>
      <c r="G328" s="2" t="s">
        <v>10</v>
      </c>
      <c r="H328" t="str">
        <f t="shared" si="5"/>
        <v>Standard</v>
      </c>
    </row>
    <row r="329" spans="1:8">
      <c r="A329" s="2">
        <v>328</v>
      </c>
      <c r="B329" s="2" t="s">
        <v>64</v>
      </c>
      <c r="C329" s="2" t="s">
        <v>8</v>
      </c>
      <c r="D329" s="2">
        <v>6</v>
      </c>
      <c r="E329" s="3">
        <v>35131</v>
      </c>
      <c r="F329" s="2" t="s">
        <v>28</v>
      </c>
      <c r="G329" s="2" t="s">
        <v>23</v>
      </c>
      <c r="H329" t="str">
        <f t="shared" si="5"/>
        <v>Standard</v>
      </c>
    </row>
    <row r="330" spans="1:8">
      <c r="A330" s="2">
        <v>329</v>
      </c>
      <c r="B330" s="2" t="s">
        <v>81</v>
      </c>
      <c r="C330" s="2" t="s">
        <v>8</v>
      </c>
      <c r="D330" s="2">
        <v>47</v>
      </c>
      <c r="E330" s="3">
        <v>80272</v>
      </c>
      <c r="F330" s="2" t="s">
        <v>17</v>
      </c>
      <c r="G330" s="2" t="s">
        <v>18</v>
      </c>
      <c r="H330" t="str">
        <f t="shared" si="5"/>
        <v>Review</v>
      </c>
    </row>
    <row r="331" spans="1:8">
      <c r="A331" s="2">
        <v>330</v>
      </c>
      <c r="B331" s="2" t="s">
        <v>49</v>
      </c>
      <c r="C331" s="2" t="s">
        <v>22</v>
      </c>
      <c r="D331" s="2">
        <v>7</v>
      </c>
      <c r="E331" s="3">
        <v>77276</v>
      </c>
      <c r="F331" s="2" t="s">
        <v>9</v>
      </c>
      <c r="G331" s="2" t="s">
        <v>10</v>
      </c>
      <c r="H331" t="str">
        <f t="shared" si="5"/>
        <v>Review</v>
      </c>
    </row>
    <row r="332" spans="1:8">
      <c r="A332" s="2">
        <v>331</v>
      </c>
      <c r="B332" s="2" t="s">
        <v>46</v>
      </c>
      <c r="C332" s="2" t="s">
        <v>12</v>
      </c>
      <c r="D332" s="2">
        <v>7</v>
      </c>
      <c r="E332" s="3">
        <v>78586</v>
      </c>
      <c r="F332" s="2" t="s">
        <v>32</v>
      </c>
      <c r="G332" s="2" t="s">
        <v>23</v>
      </c>
      <c r="H332" t="str">
        <f t="shared" si="5"/>
        <v>Review</v>
      </c>
    </row>
    <row r="333" spans="1:8">
      <c r="A333" s="2">
        <v>332</v>
      </c>
      <c r="B333" s="2" t="s">
        <v>48</v>
      </c>
      <c r="C333" s="2" t="s">
        <v>12</v>
      </c>
      <c r="D333" s="2">
        <v>21</v>
      </c>
      <c r="E333" s="3">
        <v>33022</v>
      </c>
      <c r="F333" s="2" t="s">
        <v>20</v>
      </c>
      <c r="G333" s="2" t="s">
        <v>23</v>
      </c>
      <c r="H333" t="str">
        <f t="shared" si="5"/>
        <v>Standard</v>
      </c>
    </row>
    <row r="334" spans="1:8">
      <c r="A334" s="2">
        <v>333</v>
      </c>
      <c r="B334" s="2" t="s">
        <v>60</v>
      </c>
      <c r="C334" s="2" t="s">
        <v>8</v>
      </c>
      <c r="D334" s="2">
        <v>24</v>
      </c>
      <c r="E334" s="3">
        <v>88936</v>
      </c>
      <c r="F334" s="2" t="s">
        <v>9</v>
      </c>
      <c r="G334" s="2" t="s">
        <v>10</v>
      </c>
      <c r="H334" t="str">
        <f t="shared" si="5"/>
        <v>Review</v>
      </c>
    </row>
    <row r="335" spans="1:8">
      <c r="A335" s="2">
        <v>334</v>
      </c>
      <c r="B335" s="2" t="s">
        <v>64</v>
      </c>
      <c r="C335" s="2" t="s">
        <v>22</v>
      </c>
      <c r="D335" s="2">
        <v>20</v>
      </c>
      <c r="E335" s="3">
        <v>87005</v>
      </c>
      <c r="F335" s="2" t="s">
        <v>28</v>
      </c>
      <c r="G335" s="2" t="s">
        <v>29</v>
      </c>
      <c r="H335" t="str">
        <f t="shared" si="5"/>
        <v>Review</v>
      </c>
    </row>
    <row r="336" spans="1:8">
      <c r="A336" s="2">
        <v>335</v>
      </c>
      <c r="B336" s="2" t="s">
        <v>69</v>
      </c>
      <c r="C336" s="2" t="s">
        <v>16</v>
      </c>
      <c r="D336" s="2">
        <v>9</v>
      </c>
      <c r="E336" s="3">
        <v>84993</v>
      </c>
      <c r="F336" s="2" t="s">
        <v>17</v>
      </c>
      <c r="G336" s="2" t="s">
        <v>29</v>
      </c>
      <c r="H336" t="str">
        <f t="shared" si="5"/>
        <v>Review</v>
      </c>
    </row>
    <row r="337" spans="1:8">
      <c r="A337" s="2">
        <v>336</v>
      </c>
      <c r="B337" s="2" t="s">
        <v>49</v>
      </c>
      <c r="C337" s="2" t="s">
        <v>22</v>
      </c>
      <c r="D337" s="2">
        <v>25</v>
      </c>
      <c r="E337" s="3">
        <v>64718</v>
      </c>
      <c r="F337" s="2" t="s">
        <v>13</v>
      </c>
      <c r="G337" s="2" t="s">
        <v>26</v>
      </c>
      <c r="H337" t="str">
        <f t="shared" si="5"/>
        <v>Review</v>
      </c>
    </row>
    <row r="338" spans="1:8">
      <c r="A338" s="2">
        <v>337</v>
      </c>
      <c r="B338" s="2" t="s">
        <v>72</v>
      </c>
      <c r="C338" s="2" t="s">
        <v>12</v>
      </c>
      <c r="D338" s="2">
        <v>50</v>
      </c>
      <c r="E338" s="3">
        <v>70095</v>
      </c>
      <c r="F338" s="2" t="s">
        <v>28</v>
      </c>
      <c r="G338" s="2" t="s">
        <v>18</v>
      </c>
      <c r="H338" t="str">
        <f t="shared" si="5"/>
        <v>Review</v>
      </c>
    </row>
    <row r="339" spans="1:8">
      <c r="A339" s="2">
        <v>338</v>
      </c>
      <c r="B339" s="2" t="s">
        <v>84</v>
      </c>
      <c r="C339" s="2" t="s">
        <v>8</v>
      </c>
      <c r="D339" s="2">
        <v>49</v>
      </c>
      <c r="E339" s="3">
        <v>37908</v>
      </c>
      <c r="F339" s="2" t="s">
        <v>25</v>
      </c>
      <c r="G339" s="2" t="s">
        <v>18</v>
      </c>
      <c r="H339" t="str">
        <f t="shared" si="5"/>
        <v>Standard</v>
      </c>
    </row>
    <row r="340" spans="1:8">
      <c r="A340" s="2">
        <v>339</v>
      </c>
      <c r="B340" s="2" t="s">
        <v>87</v>
      </c>
      <c r="C340" s="2" t="s">
        <v>8</v>
      </c>
      <c r="D340" s="2">
        <v>9</v>
      </c>
      <c r="E340" s="3">
        <v>52114</v>
      </c>
      <c r="F340" s="2" t="s">
        <v>28</v>
      </c>
      <c r="G340" s="2" t="s">
        <v>23</v>
      </c>
      <c r="H340" t="str">
        <f t="shared" si="5"/>
        <v>Standard</v>
      </c>
    </row>
    <row r="341" spans="1:8">
      <c r="A341" s="2">
        <v>340</v>
      </c>
      <c r="B341" s="2" t="s">
        <v>44</v>
      </c>
      <c r="C341" s="2" t="s">
        <v>8</v>
      </c>
      <c r="D341" s="2">
        <v>42</v>
      </c>
      <c r="E341" s="3">
        <v>77138</v>
      </c>
      <c r="F341" s="2" t="s">
        <v>38</v>
      </c>
      <c r="G341" s="2" t="s">
        <v>26</v>
      </c>
      <c r="H341" t="str">
        <f t="shared" si="5"/>
        <v>Review</v>
      </c>
    </row>
    <row r="342" spans="1:8">
      <c r="A342" s="2">
        <v>341</v>
      </c>
      <c r="B342" s="2" t="s">
        <v>71</v>
      </c>
      <c r="C342" s="2" t="s">
        <v>16</v>
      </c>
      <c r="D342" s="2">
        <v>44</v>
      </c>
      <c r="E342" s="3">
        <v>89640</v>
      </c>
      <c r="F342" s="2" t="s">
        <v>38</v>
      </c>
      <c r="G342" s="2" t="s">
        <v>18</v>
      </c>
      <c r="H342" t="str">
        <f t="shared" si="5"/>
        <v>Review</v>
      </c>
    </row>
    <row r="343" spans="1:8">
      <c r="A343" s="2">
        <v>342</v>
      </c>
      <c r="B343" s="2" t="s">
        <v>87</v>
      </c>
      <c r="C343" s="2" t="s">
        <v>16</v>
      </c>
      <c r="D343" s="2">
        <v>10</v>
      </c>
      <c r="E343" s="3">
        <v>80399</v>
      </c>
      <c r="F343" s="2" t="s">
        <v>25</v>
      </c>
      <c r="G343" s="2" t="s">
        <v>10</v>
      </c>
      <c r="H343" t="str">
        <f t="shared" si="5"/>
        <v>Review</v>
      </c>
    </row>
    <row r="344" spans="1:8">
      <c r="A344" s="2">
        <v>343</v>
      </c>
      <c r="B344" s="2" t="s">
        <v>76</v>
      </c>
      <c r="C344" s="2" t="s">
        <v>12</v>
      </c>
      <c r="D344" s="2">
        <v>5</v>
      </c>
      <c r="E344" s="3">
        <v>61371</v>
      </c>
      <c r="F344" s="2" t="s">
        <v>17</v>
      </c>
      <c r="G344" s="2" t="s">
        <v>26</v>
      </c>
      <c r="H344" t="str">
        <f t="shared" si="5"/>
        <v>Review</v>
      </c>
    </row>
    <row r="345" spans="1:8">
      <c r="A345" s="2">
        <v>344</v>
      </c>
      <c r="B345" s="2" t="s">
        <v>61</v>
      </c>
      <c r="C345" s="2" t="s">
        <v>22</v>
      </c>
      <c r="D345" s="2">
        <v>34</v>
      </c>
      <c r="E345" s="3">
        <v>64858</v>
      </c>
      <c r="F345" s="2" t="s">
        <v>28</v>
      </c>
      <c r="G345" s="2" t="s">
        <v>18</v>
      </c>
      <c r="H345" t="str">
        <f t="shared" si="5"/>
        <v>Review</v>
      </c>
    </row>
    <row r="346" spans="1:8">
      <c r="A346" s="2">
        <v>345</v>
      </c>
      <c r="B346" s="2" t="s">
        <v>49</v>
      </c>
      <c r="C346" s="2" t="s">
        <v>22</v>
      </c>
      <c r="D346" s="2">
        <v>37</v>
      </c>
      <c r="E346" s="3">
        <v>77253</v>
      </c>
      <c r="F346" s="2" t="s">
        <v>9</v>
      </c>
      <c r="G346" s="2" t="s">
        <v>14</v>
      </c>
      <c r="H346" t="str">
        <f t="shared" si="5"/>
        <v>Review</v>
      </c>
    </row>
    <row r="347" spans="1:8">
      <c r="A347" s="2">
        <v>346</v>
      </c>
      <c r="B347" s="2" t="s">
        <v>27</v>
      </c>
      <c r="C347" s="2" t="s">
        <v>22</v>
      </c>
      <c r="D347" s="2">
        <v>1</v>
      </c>
      <c r="E347" s="3">
        <v>91361</v>
      </c>
      <c r="F347" s="2" t="s">
        <v>38</v>
      </c>
      <c r="G347" s="2" t="s">
        <v>23</v>
      </c>
      <c r="H347" t="str">
        <f t="shared" si="5"/>
        <v>Review</v>
      </c>
    </row>
    <row r="348" spans="1:8">
      <c r="A348" s="2">
        <v>347</v>
      </c>
      <c r="B348" s="2" t="s">
        <v>50</v>
      </c>
      <c r="C348" s="2" t="s">
        <v>16</v>
      </c>
      <c r="D348" s="2">
        <v>40</v>
      </c>
      <c r="E348" s="3">
        <v>78669</v>
      </c>
      <c r="F348" s="2" t="s">
        <v>9</v>
      </c>
      <c r="G348" s="2" t="s">
        <v>14</v>
      </c>
      <c r="H348" t="str">
        <f t="shared" si="5"/>
        <v>Review</v>
      </c>
    </row>
    <row r="349" spans="1:8">
      <c r="A349" s="2">
        <v>348</v>
      </c>
      <c r="B349" s="2" t="s">
        <v>70</v>
      </c>
      <c r="C349" s="2" t="s">
        <v>8</v>
      </c>
      <c r="D349" s="2">
        <v>42</v>
      </c>
      <c r="E349" s="3">
        <v>97058</v>
      </c>
      <c r="F349" s="2" t="s">
        <v>9</v>
      </c>
      <c r="G349" s="2" t="s">
        <v>23</v>
      </c>
      <c r="H349" t="str">
        <f t="shared" si="5"/>
        <v>Review</v>
      </c>
    </row>
    <row r="350" spans="1:8">
      <c r="A350" s="2">
        <v>349</v>
      </c>
      <c r="B350" s="2" t="s">
        <v>27</v>
      </c>
      <c r="C350" s="2" t="s">
        <v>12</v>
      </c>
      <c r="D350" s="2">
        <v>11</v>
      </c>
      <c r="E350" s="3">
        <v>89720</v>
      </c>
      <c r="F350" s="2" t="s">
        <v>28</v>
      </c>
      <c r="G350" s="2" t="s">
        <v>23</v>
      </c>
      <c r="H350" t="str">
        <f t="shared" si="5"/>
        <v>Review</v>
      </c>
    </row>
    <row r="351" spans="1:8">
      <c r="A351" s="2">
        <v>350</v>
      </c>
      <c r="B351" s="2" t="s">
        <v>7</v>
      </c>
      <c r="C351" s="2" t="s">
        <v>12</v>
      </c>
      <c r="D351" s="2">
        <v>29</v>
      </c>
      <c r="E351" s="3">
        <v>35543</v>
      </c>
      <c r="F351" s="2" t="s">
        <v>38</v>
      </c>
      <c r="G351" s="2" t="s">
        <v>10</v>
      </c>
      <c r="H351" t="str">
        <f t="shared" si="5"/>
        <v>Standard</v>
      </c>
    </row>
    <row r="352" spans="1:8">
      <c r="A352" s="2">
        <v>351</v>
      </c>
      <c r="B352" s="2" t="s">
        <v>57</v>
      </c>
      <c r="C352" s="2" t="s">
        <v>16</v>
      </c>
      <c r="D352" s="2">
        <v>23</v>
      </c>
      <c r="E352" s="3">
        <v>79700</v>
      </c>
      <c r="F352" s="2" t="s">
        <v>13</v>
      </c>
      <c r="G352" s="2" t="s">
        <v>29</v>
      </c>
      <c r="H352" t="str">
        <f t="shared" si="5"/>
        <v>Review</v>
      </c>
    </row>
    <row r="353" spans="1:8">
      <c r="A353" s="2">
        <v>352</v>
      </c>
      <c r="B353" s="2" t="s">
        <v>68</v>
      </c>
      <c r="C353" s="2" t="s">
        <v>16</v>
      </c>
      <c r="D353" s="2">
        <v>47</v>
      </c>
      <c r="E353" s="3">
        <v>33293</v>
      </c>
      <c r="F353" s="2" t="s">
        <v>28</v>
      </c>
      <c r="G353" s="2" t="s">
        <v>18</v>
      </c>
      <c r="H353" t="str">
        <f t="shared" si="5"/>
        <v>Standard</v>
      </c>
    </row>
    <row r="354" spans="1:8">
      <c r="A354" s="2">
        <v>353</v>
      </c>
      <c r="B354" s="2" t="s">
        <v>15</v>
      </c>
      <c r="C354" s="2" t="s">
        <v>8</v>
      </c>
      <c r="D354" s="2">
        <v>14</v>
      </c>
      <c r="E354" s="3">
        <v>28308</v>
      </c>
      <c r="F354" s="2" t="s">
        <v>32</v>
      </c>
      <c r="G354" s="2" t="s">
        <v>14</v>
      </c>
      <c r="H354" t="str">
        <f t="shared" si="5"/>
        <v>Standard</v>
      </c>
    </row>
    <row r="355" spans="1:8">
      <c r="A355" s="2">
        <v>354</v>
      </c>
      <c r="B355" s="2" t="s">
        <v>86</v>
      </c>
      <c r="C355" s="2" t="s">
        <v>8</v>
      </c>
      <c r="D355" s="2">
        <v>41</v>
      </c>
      <c r="E355" s="3">
        <v>70713</v>
      </c>
      <c r="F355" s="2" t="s">
        <v>38</v>
      </c>
      <c r="G355" s="2" t="s">
        <v>18</v>
      </c>
      <c r="H355" t="str">
        <f t="shared" si="5"/>
        <v>Review</v>
      </c>
    </row>
    <row r="356" spans="1:8">
      <c r="A356" s="2">
        <v>355</v>
      </c>
      <c r="B356" s="2" t="s">
        <v>63</v>
      </c>
      <c r="C356" s="2" t="s">
        <v>16</v>
      </c>
      <c r="D356" s="2">
        <v>48</v>
      </c>
      <c r="E356" s="3">
        <v>27849</v>
      </c>
      <c r="F356" s="2" t="s">
        <v>17</v>
      </c>
      <c r="G356" s="2" t="s">
        <v>23</v>
      </c>
      <c r="H356" t="str">
        <f t="shared" si="5"/>
        <v>Standard</v>
      </c>
    </row>
    <row r="357" spans="1:8">
      <c r="A357" s="2">
        <v>356</v>
      </c>
      <c r="B357" s="2" t="s">
        <v>19</v>
      </c>
      <c r="C357" s="2" t="s">
        <v>12</v>
      </c>
      <c r="D357" s="2">
        <v>10</v>
      </c>
      <c r="E357" s="3">
        <v>92560</v>
      </c>
      <c r="F357" s="2" t="s">
        <v>32</v>
      </c>
      <c r="G357" s="2" t="s">
        <v>14</v>
      </c>
      <c r="H357" t="str">
        <f t="shared" si="5"/>
        <v>Review</v>
      </c>
    </row>
    <row r="358" spans="1:8">
      <c r="A358" s="2">
        <v>357</v>
      </c>
      <c r="B358" s="2" t="s">
        <v>53</v>
      </c>
      <c r="C358" s="2" t="s">
        <v>8</v>
      </c>
      <c r="D358" s="2">
        <v>27</v>
      </c>
      <c r="E358" s="3">
        <v>54768</v>
      </c>
      <c r="F358" s="2" t="s">
        <v>13</v>
      </c>
      <c r="G358" s="2" t="s">
        <v>14</v>
      </c>
      <c r="H358" t="str">
        <f t="shared" si="5"/>
        <v>Standard</v>
      </c>
    </row>
    <row r="359" spans="1:8">
      <c r="A359" s="2">
        <v>358</v>
      </c>
      <c r="B359" s="2" t="s">
        <v>64</v>
      </c>
      <c r="C359" s="2" t="s">
        <v>8</v>
      </c>
      <c r="D359" s="2">
        <v>40</v>
      </c>
      <c r="E359" s="3">
        <v>57222</v>
      </c>
      <c r="F359" s="2" t="s">
        <v>13</v>
      </c>
      <c r="G359" s="2" t="s">
        <v>26</v>
      </c>
      <c r="H359" t="str">
        <f t="shared" si="5"/>
        <v>Standard</v>
      </c>
    </row>
    <row r="360" spans="1:8">
      <c r="A360" s="2">
        <v>359</v>
      </c>
      <c r="B360" s="2" t="s">
        <v>49</v>
      </c>
      <c r="C360" s="2" t="s">
        <v>12</v>
      </c>
      <c r="D360" s="2">
        <v>44</v>
      </c>
      <c r="E360" s="3">
        <v>83028</v>
      </c>
      <c r="F360" s="2" t="s">
        <v>13</v>
      </c>
      <c r="G360" s="2" t="s">
        <v>23</v>
      </c>
      <c r="H360" t="str">
        <f t="shared" si="5"/>
        <v>Review</v>
      </c>
    </row>
    <row r="361" spans="1:8">
      <c r="A361" s="2">
        <v>360</v>
      </c>
      <c r="B361" s="2" t="s">
        <v>81</v>
      </c>
      <c r="C361" s="2" t="s">
        <v>8</v>
      </c>
      <c r="D361" s="2">
        <v>29</v>
      </c>
      <c r="E361" s="3">
        <v>97904</v>
      </c>
      <c r="F361" s="2" t="s">
        <v>32</v>
      </c>
      <c r="G361" s="2" t="s">
        <v>18</v>
      </c>
      <c r="H361" t="str">
        <f t="shared" si="5"/>
        <v>Review</v>
      </c>
    </row>
    <row r="362" spans="1:8">
      <c r="A362" s="2">
        <v>361</v>
      </c>
      <c r="B362" s="2" t="s">
        <v>43</v>
      </c>
      <c r="C362" s="2" t="s">
        <v>12</v>
      </c>
      <c r="D362" s="2">
        <v>14</v>
      </c>
      <c r="E362" s="3">
        <v>62030</v>
      </c>
      <c r="F362" s="2" t="s">
        <v>25</v>
      </c>
      <c r="G362" s="2" t="s">
        <v>14</v>
      </c>
      <c r="H362" t="str">
        <f t="shared" si="5"/>
        <v>Review</v>
      </c>
    </row>
    <row r="363" spans="1:8">
      <c r="A363" s="2">
        <v>362</v>
      </c>
      <c r="B363" s="2" t="s">
        <v>55</v>
      </c>
      <c r="C363" s="2" t="s">
        <v>22</v>
      </c>
      <c r="D363" s="2">
        <v>6</v>
      </c>
      <c r="E363" s="3">
        <v>95683</v>
      </c>
      <c r="F363" s="2" t="s">
        <v>13</v>
      </c>
      <c r="G363" s="2" t="s">
        <v>18</v>
      </c>
      <c r="H363" t="str">
        <f t="shared" si="5"/>
        <v>Review</v>
      </c>
    </row>
    <row r="364" spans="1:8">
      <c r="A364" s="2">
        <v>363</v>
      </c>
      <c r="B364" s="2" t="s">
        <v>11</v>
      </c>
      <c r="C364" s="2" t="s">
        <v>8</v>
      </c>
      <c r="D364" s="2">
        <v>7</v>
      </c>
      <c r="E364" s="3">
        <v>30307</v>
      </c>
      <c r="F364" s="2" t="s">
        <v>13</v>
      </c>
      <c r="G364" s="2" t="s">
        <v>14</v>
      </c>
      <c r="H364" t="str">
        <f t="shared" si="5"/>
        <v>Standard</v>
      </c>
    </row>
    <row r="365" spans="1:8">
      <c r="A365" s="2">
        <v>364</v>
      </c>
      <c r="B365" s="2" t="s">
        <v>60</v>
      </c>
      <c r="C365" s="2" t="s">
        <v>8</v>
      </c>
      <c r="D365" s="2">
        <v>9</v>
      </c>
      <c r="E365" s="3">
        <v>42150</v>
      </c>
      <c r="F365" s="2" t="s">
        <v>32</v>
      </c>
      <c r="G365" s="2" t="s">
        <v>29</v>
      </c>
      <c r="H365" t="str">
        <f t="shared" si="5"/>
        <v>Standard</v>
      </c>
    </row>
    <row r="366" spans="1:8">
      <c r="A366" s="2">
        <v>365</v>
      </c>
      <c r="B366" s="2" t="s">
        <v>82</v>
      </c>
      <c r="C366" s="2" t="s">
        <v>22</v>
      </c>
      <c r="D366" s="2">
        <v>49</v>
      </c>
      <c r="E366" s="3">
        <v>53841</v>
      </c>
      <c r="F366" s="2" t="s">
        <v>28</v>
      </c>
      <c r="G366" s="2" t="s">
        <v>10</v>
      </c>
      <c r="H366" t="str">
        <f t="shared" si="5"/>
        <v>Standard</v>
      </c>
    </row>
    <row r="367" spans="1:8">
      <c r="A367" s="2">
        <v>366</v>
      </c>
      <c r="B367" s="2" t="s">
        <v>49</v>
      </c>
      <c r="C367" s="2" t="s">
        <v>12</v>
      </c>
      <c r="D367" s="2">
        <v>8</v>
      </c>
      <c r="E367" s="3">
        <v>40082</v>
      </c>
      <c r="F367" s="2" t="s">
        <v>20</v>
      </c>
      <c r="G367" s="2" t="s">
        <v>26</v>
      </c>
      <c r="H367" t="str">
        <f t="shared" si="5"/>
        <v>Standard</v>
      </c>
    </row>
    <row r="368" spans="1:8">
      <c r="A368" s="2">
        <v>367</v>
      </c>
      <c r="B368" s="2" t="s">
        <v>76</v>
      </c>
      <c r="C368" s="2" t="s">
        <v>8</v>
      </c>
      <c r="D368" s="2">
        <v>38</v>
      </c>
      <c r="E368" s="3">
        <v>99499</v>
      </c>
      <c r="F368" s="2" t="s">
        <v>13</v>
      </c>
      <c r="G368" s="2" t="s">
        <v>23</v>
      </c>
      <c r="H368" t="str">
        <f t="shared" si="5"/>
        <v>Review</v>
      </c>
    </row>
    <row r="369" spans="1:8">
      <c r="A369" s="2">
        <v>368</v>
      </c>
      <c r="B369" s="2" t="s">
        <v>89</v>
      </c>
      <c r="C369" s="2" t="s">
        <v>22</v>
      </c>
      <c r="D369" s="2">
        <v>47</v>
      </c>
      <c r="E369" s="3">
        <v>43961</v>
      </c>
      <c r="F369" s="2" t="s">
        <v>32</v>
      </c>
      <c r="G369" s="2" t="s">
        <v>10</v>
      </c>
      <c r="H369" t="str">
        <f t="shared" si="5"/>
        <v>Standard</v>
      </c>
    </row>
    <row r="370" spans="1:8">
      <c r="A370" s="2">
        <v>369</v>
      </c>
      <c r="B370" s="2" t="s">
        <v>77</v>
      </c>
      <c r="C370" s="2" t="s">
        <v>12</v>
      </c>
      <c r="D370" s="2">
        <v>25</v>
      </c>
      <c r="E370" s="3">
        <v>29616</v>
      </c>
      <c r="F370" s="2" t="s">
        <v>28</v>
      </c>
      <c r="G370" s="2" t="s">
        <v>26</v>
      </c>
      <c r="H370" t="str">
        <f t="shared" si="5"/>
        <v>Standard</v>
      </c>
    </row>
    <row r="371" spans="1:8">
      <c r="A371" s="2">
        <v>370</v>
      </c>
      <c r="B371" s="2" t="s">
        <v>91</v>
      </c>
      <c r="C371" s="2" t="s">
        <v>8</v>
      </c>
      <c r="D371" s="2">
        <v>23</v>
      </c>
      <c r="E371" s="3">
        <v>31204</v>
      </c>
      <c r="F371" s="2" t="s">
        <v>28</v>
      </c>
      <c r="G371" s="2" t="s">
        <v>18</v>
      </c>
      <c r="H371" t="str">
        <f t="shared" si="5"/>
        <v>Standard</v>
      </c>
    </row>
    <row r="372" spans="1:8">
      <c r="A372" s="2">
        <v>371</v>
      </c>
      <c r="B372" s="2" t="s">
        <v>62</v>
      </c>
      <c r="C372" s="2" t="s">
        <v>16</v>
      </c>
      <c r="D372" s="2">
        <v>28</v>
      </c>
      <c r="E372" s="3">
        <v>88797</v>
      </c>
      <c r="F372" s="2" t="s">
        <v>28</v>
      </c>
      <c r="G372" s="2" t="s">
        <v>26</v>
      </c>
      <c r="H372" t="str">
        <f t="shared" si="5"/>
        <v>Review</v>
      </c>
    </row>
    <row r="373" spans="1:8">
      <c r="A373" s="2">
        <v>372</v>
      </c>
      <c r="B373" s="2" t="s">
        <v>24</v>
      </c>
      <c r="C373" s="2" t="s">
        <v>22</v>
      </c>
      <c r="D373" s="2">
        <v>21</v>
      </c>
      <c r="E373" s="3">
        <v>49863</v>
      </c>
      <c r="F373" s="2" t="s">
        <v>13</v>
      </c>
      <c r="G373" s="2" t="s">
        <v>10</v>
      </c>
      <c r="H373" t="str">
        <f t="shared" si="5"/>
        <v>Standard</v>
      </c>
    </row>
    <row r="374" spans="1:8">
      <c r="A374" s="2">
        <v>373</v>
      </c>
      <c r="B374" s="2" t="s">
        <v>43</v>
      </c>
      <c r="C374" s="2" t="s">
        <v>12</v>
      </c>
      <c r="D374" s="2">
        <v>9</v>
      </c>
      <c r="E374" s="3">
        <v>81053</v>
      </c>
      <c r="F374" s="2" t="s">
        <v>32</v>
      </c>
      <c r="G374" s="2" t="s">
        <v>10</v>
      </c>
      <c r="H374" t="str">
        <f t="shared" si="5"/>
        <v>Review</v>
      </c>
    </row>
    <row r="375" spans="1:8">
      <c r="A375" s="2">
        <v>374</v>
      </c>
      <c r="B375" s="2" t="s">
        <v>57</v>
      </c>
      <c r="C375" s="2" t="s">
        <v>16</v>
      </c>
      <c r="D375" s="2">
        <v>16</v>
      </c>
      <c r="E375" s="3">
        <v>63867</v>
      </c>
      <c r="F375" s="2" t="s">
        <v>20</v>
      </c>
      <c r="G375" s="2" t="s">
        <v>10</v>
      </c>
      <c r="H375" t="str">
        <f t="shared" si="5"/>
        <v>Review</v>
      </c>
    </row>
    <row r="376" spans="1:8">
      <c r="A376" s="2">
        <v>375</v>
      </c>
      <c r="B376" s="2" t="s">
        <v>47</v>
      </c>
      <c r="C376" s="2" t="s">
        <v>12</v>
      </c>
      <c r="D376" s="2">
        <v>18</v>
      </c>
      <c r="E376" s="3">
        <v>41748</v>
      </c>
      <c r="F376" s="2" t="s">
        <v>25</v>
      </c>
      <c r="G376" s="2" t="s">
        <v>10</v>
      </c>
      <c r="H376" t="str">
        <f t="shared" si="5"/>
        <v>Standard</v>
      </c>
    </row>
    <row r="377" spans="1:8">
      <c r="A377" s="2">
        <v>376</v>
      </c>
      <c r="B377" s="2" t="s">
        <v>39</v>
      </c>
      <c r="C377" s="2" t="s">
        <v>16</v>
      </c>
      <c r="D377" s="2">
        <v>42</v>
      </c>
      <c r="E377" s="3">
        <v>61565</v>
      </c>
      <c r="F377" s="2" t="s">
        <v>25</v>
      </c>
      <c r="G377" s="2" t="s">
        <v>23</v>
      </c>
      <c r="H377" t="str">
        <f t="shared" si="5"/>
        <v>Review</v>
      </c>
    </row>
    <row r="378" spans="1:8">
      <c r="A378" s="2">
        <v>377</v>
      </c>
      <c r="B378" s="2" t="s">
        <v>35</v>
      </c>
      <c r="C378" s="2" t="s">
        <v>16</v>
      </c>
      <c r="D378" s="2">
        <v>6</v>
      </c>
      <c r="E378" s="3">
        <v>26782</v>
      </c>
      <c r="F378" s="2" t="s">
        <v>28</v>
      </c>
      <c r="G378" s="2" t="s">
        <v>29</v>
      </c>
      <c r="H378" t="str">
        <f t="shared" si="5"/>
        <v>Standard</v>
      </c>
    </row>
    <row r="379" spans="1:8">
      <c r="A379" s="2">
        <v>378</v>
      </c>
      <c r="B379" s="2" t="s">
        <v>58</v>
      </c>
      <c r="C379" s="2" t="s">
        <v>22</v>
      </c>
      <c r="D379" s="2">
        <v>16</v>
      </c>
      <c r="E379" s="3">
        <v>85307</v>
      </c>
      <c r="F379" s="2" t="s">
        <v>20</v>
      </c>
      <c r="G379" s="2" t="s">
        <v>26</v>
      </c>
      <c r="H379" t="str">
        <f t="shared" si="5"/>
        <v>Review</v>
      </c>
    </row>
    <row r="380" spans="1:8">
      <c r="A380" s="2">
        <v>379</v>
      </c>
      <c r="B380" s="2" t="s">
        <v>60</v>
      </c>
      <c r="C380" s="2" t="s">
        <v>22</v>
      </c>
      <c r="D380" s="2">
        <v>36</v>
      </c>
      <c r="E380" s="3">
        <v>80828</v>
      </c>
      <c r="F380" s="2" t="s">
        <v>9</v>
      </c>
      <c r="G380" s="2" t="s">
        <v>29</v>
      </c>
      <c r="H380" t="str">
        <f t="shared" si="5"/>
        <v>Review</v>
      </c>
    </row>
    <row r="381" spans="1:8">
      <c r="A381" s="2">
        <v>380</v>
      </c>
      <c r="B381" s="2" t="s">
        <v>91</v>
      </c>
      <c r="C381" s="2" t="s">
        <v>16</v>
      </c>
      <c r="D381" s="2">
        <v>39</v>
      </c>
      <c r="E381" s="3">
        <v>37443</v>
      </c>
      <c r="F381" s="2" t="s">
        <v>9</v>
      </c>
      <c r="G381" s="2" t="s">
        <v>10</v>
      </c>
      <c r="H381" t="str">
        <f t="shared" si="5"/>
        <v>Standard</v>
      </c>
    </row>
    <row r="382" spans="1:8">
      <c r="A382" s="2">
        <v>381</v>
      </c>
      <c r="B382" s="2" t="s">
        <v>39</v>
      </c>
      <c r="C382" s="2" t="s">
        <v>22</v>
      </c>
      <c r="D382" s="2">
        <v>39</v>
      </c>
      <c r="E382" s="3">
        <v>50416</v>
      </c>
      <c r="F382" s="2" t="s">
        <v>28</v>
      </c>
      <c r="G382" s="2" t="s">
        <v>29</v>
      </c>
      <c r="H382" t="str">
        <f t="shared" si="5"/>
        <v>Standard</v>
      </c>
    </row>
    <row r="383" spans="1:8">
      <c r="A383" s="2">
        <v>382</v>
      </c>
      <c r="B383" s="2" t="s">
        <v>76</v>
      </c>
      <c r="C383" s="2" t="s">
        <v>12</v>
      </c>
      <c r="D383" s="2">
        <v>47</v>
      </c>
      <c r="E383" s="3">
        <v>72515</v>
      </c>
      <c r="F383" s="2" t="s">
        <v>9</v>
      </c>
      <c r="G383" s="2" t="s">
        <v>29</v>
      </c>
      <c r="H383" t="str">
        <f t="shared" si="5"/>
        <v>Review</v>
      </c>
    </row>
    <row r="384" spans="1:8">
      <c r="A384" s="2">
        <v>383</v>
      </c>
      <c r="B384" s="2" t="s">
        <v>77</v>
      </c>
      <c r="C384" s="2" t="s">
        <v>8</v>
      </c>
      <c r="D384" s="2">
        <v>39</v>
      </c>
      <c r="E384" s="3">
        <v>35200</v>
      </c>
      <c r="F384" s="2" t="s">
        <v>32</v>
      </c>
      <c r="G384" s="2" t="s">
        <v>23</v>
      </c>
      <c r="H384" t="str">
        <f t="shared" si="5"/>
        <v>Standard</v>
      </c>
    </row>
    <row r="385" spans="1:8">
      <c r="A385" s="2">
        <v>384</v>
      </c>
      <c r="B385" s="2" t="s">
        <v>90</v>
      </c>
      <c r="C385" s="2" t="s">
        <v>12</v>
      </c>
      <c r="D385" s="2">
        <v>19</v>
      </c>
      <c r="E385" s="3">
        <v>81837</v>
      </c>
      <c r="F385" s="2" t="s">
        <v>17</v>
      </c>
      <c r="G385" s="2" t="s">
        <v>10</v>
      </c>
      <c r="H385" t="str">
        <f t="shared" si="5"/>
        <v>Review</v>
      </c>
    </row>
    <row r="386" spans="1:8">
      <c r="A386" s="2">
        <v>385</v>
      </c>
      <c r="B386" s="2" t="s">
        <v>39</v>
      </c>
      <c r="C386" s="2" t="s">
        <v>16</v>
      </c>
      <c r="D386" s="2">
        <v>50</v>
      </c>
      <c r="E386" s="3">
        <v>63289</v>
      </c>
      <c r="F386" s="2" t="s">
        <v>38</v>
      </c>
      <c r="G386" s="2" t="s">
        <v>18</v>
      </c>
      <c r="H386" t="str">
        <f t="shared" si="5"/>
        <v>Review</v>
      </c>
    </row>
    <row r="387" spans="1:8">
      <c r="A387" s="2">
        <v>386</v>
      </c>
      <c r="B387" s="2" t="s">
        <v>91</v>
      </c>
      <c r="C387" s="2" t="s">
        <v>12</v>
      </c>
      <c r="D387" s="2">
        <v>45</v>
      </c>
      <c r="E387" s="3">
        <v>99044</v>
      </c>
      <c r="F387" s="2" t="s">
        <v>25</v>
      </c>
      <c r="G387" s="2" t="s">
        <v>10</v>
      </c>
      <c r="H387" t="str">
        <f t="shared" ref="H387:H450" si="6">IF(AND(F387="Electric",E387&gt;45000),"Urgent",IF(OR(F387="Hybrid",E387&gt;60000),"Review","Standard"))</f>
        <v>Review</v>
      </c>
    </row>
    <row r="388" spans="1:8">
      <c r="A388" s="2">
        <v>387</v>
      </c>
      <c r="B388" s="2" t="s">
        <v>47</v>
      </c>
      <c r="C388" s="2" t="s">
        <v>16</v>
      </c>
      <c r="D388" s="2">
        <v>2</v>
      </c>
      <c r="E388" s="3">
        <v>94002</v>
      </c>
      <c r="F388" s="2" t="s">
        <v>38</v>
      </c>
      <c r="G388" s="2" t="s">
        <v>29</v>
      </c>
      <c r="H388" t="str">
        <f t="shared" si="6"/>
        <v>Review</v>
      </c>
    </row>
    <row r="389" spans="1:8">
      <c r="A389" s="2">
        <v>388</v>
      </c>
      <c r="B389" s="2" t="s">
        <v>24</v>
      </c>
      <c r="C389" s="2" t="s">
        <v>12</v>
      </c>
      <c r="D389" s="2">
        <v>43</v>
      </c>
      <c r="E389" s="3">
        <v>92482</v>
      </c>
      <c r="F389" s="2" t="s">
        <v>38</v>
      </c>
      <c r="G389" s="2" t="s">
        <v>18</v>
      </c>
      <c r="H389" t="str">
        <f t="shared" si="6"/>
        <v>Review</v>
      </c>
    </row>
    <row r="390" spans="1:8">
      <c r="A390" s="2">
        <v>389</v>
      </c>
      <c r="B390" s="2" t="s">
        <v>85</v>
      </c>
      <c r="C390" s="2" t="s">
        <v>12</v>
      </c>
      <c r="D390" s="2">
        <v>20</v>
      </c>
      <c r="E390" s="3">
        <v>26959</v>
      </c>
      <c r="F390" s="2" t="s">
        <v>25</v>
      </c>
      <c r="G390" s="2" t="s">
        <v>26</v>
      </c>
      <c r="H390" t="str">
        <f t="shared" si="6"/>
        <v>Standard</v>
      </c>
    </row>
    <row r="391" spans="1:8">
      <c r="A391" s="2">
        <v>390</v>
      </c>
      <c r="B391" s="2" t="s">
        <v>15</v>
      </c>
      <c r="C391" s="2" t="s">
        <v>22</v>
      </c>
      <c r="D391" s="2">
        <v>14</v>
      </c>
      <c r="E391" s="3">
        <v>86081</v>
      </c>
      <c r="F391" s="2" t="s">
        <v>20</v>
      </c>
      <c r="G391" s="2" t="s">
        <v>29</v>
      </c>
      <c r="H391" t="str">
        <f t="shared" si="6"/>
        <v>Review</v>
      </c>
    </row>
    <row r="392" spans="1:8">
      <c r="A392" s="2">
        <v>391</v>
      </c>
      <c r="B392" s="2" t="s">
        <v>53</v>
      </c>
      <c r="C392" s="2" t="s">
        <v>16</v>
      </c>
      <c r="D392" s="2">
        <v>34</v>
      </c>
      <c r="E392" s="3">
        <v>92934</v>
      </c>
      <c r="F392" s="2" t="s">
        <v>28</v>
      </c>
      <c r="G392" s="2" t="s">
        <v>29</v>
      </c>
      <c r="H392" t="str">
        <f t="shared" si="6"/>
        <v>Review</v>
      </c>
    </row>
    <row r="393" spans="1:8">
      <c r="A393" s="2">
        <v>392</v>
      </c>
      <c r="B393" s="2" t="s">
        <v>45</v>
      </c>
      <c r="C393" s="2" t="s">
        <v>16</v>
      </c>
      <c r="D393" s="2">
        <v>39</v>
      </c>
      <c r="E393" s="3">
        <v>92845</v>
      </c>
      <c r="F393" s="2" t="s">
        <v>28</v>
      </c>
      <c r="G393" s="2" t="s">
        <v>14</v>
      </c>
      <c r="H393" t="str">
        <f t="shared" si="6"/>
        <v>Review</v>
      </c>
    </row>
    <row r="394" spans="1:8">
      <c r="A394" s="2">
        <v>393</v>
      </c>
      <c r="B394" s="2" t="s">
        <v>77</v>
      </c>
      <c r="C394" s="2" t="s">
        <v>8</v>
      </c>
      <c r="D394" s="2">
        <v>33</v>
      </c>
      <c r="E394" s="3">
        <v>91383</v>
      </c>
      <c r="F394" s="2" t="s">
        <v>25</v>
      </c>
      <c r="G394" s="2" t="s">
        <v>14</v>
      </c>
      <c r="H394" t="str">
        <f t="shared" si="6"/>
        <v>Review</v>
      </c>
    </row>
    <row r="395" spans="1:8">
      <c r="A395" s="2">
        <v>394</v>
      </c>
      <c r="B395" s="2" t="s">
        <v>21</v>
      </c>
      <c r="C395" s="2" t="s">
        <v>12</v>
      </c>
      <c r="D395" s="2">
        <v>13</v>
      </c>
      <c r="E395" s="3">
        <v>81592</v>
      </c>
      <c r="F395" s="2" t="s">
        <v>9</v>
      </c>
      <c r="G395" s="2" t="s">
        <v>26</v>
      </c>
      <c r="H395" t="str">
        <f t="shared" si="6"/>
        <v>Review</v>
      </c>
    </row>
    <row r="396" spans="1:8">
      <c r="A396" s="2">
        <v>395</v>
      </c>
      <c r="B396" s="2" t="s">
        <v>37</v>
      </c>
      <c r="C396" s="2" t="s">
        <v>12</v>
      </c>
      <c r="D396" s="2">
        <v>48</v>
      </c>
      <c r="E396" s="3">
        <v>58525</v>
      </c>
      <c r="F396" s="2" t="s">
        <v>38</v>
      </c>
      <c r="G396" s="2" t="s">
        <v>14</v>
      </c>
      <c r="H396" t="str">
        <f t="shared" si="6"/>
        <v>Standard</v>
      </c>
    </row>
    <row r="397" spans="1:8">
      <c r="A397" s="2">
        <v>396</v>
      </c>
      <c r="B397" s="2" t="s">
        <v>31</v>
      </c>
      <c r="C397" s="2" t="s">
        <v>8</v>
      </c>
      <c r="D397" s="2">
        <v>26</v>
      </c>
      <c r="E397" s="3">
        <v>37903</v>
      </c>
      <c r="F397" s="2" t="s">
        <v>32</v>
      </c>
      <c r="G397" s="2" t="s">
        <v>29</v>
      </c>
      <c r="H397" t="str">
        <f t="shared" si="6"/>
        <v>Standard</v>
      </c>
    </row>
    <row r="398" spans="1:8">
      <c r="A398" s="2">
        <v>397</v>
      </c>
      <c r="B398" s="2" t="s">
        <v>77</v>
      </c>
      <c r="C398" s="2" t="s">
        <v>16</v>
      </c>
      <c r="D398" s="2">
        <v>19</v>
      </c>
      <c r="E398" s="3">
        <v>44740</v>
      </c>
      <c r="F398" s="2" t="s">
        <v>20</v>
      </c>
      <c r="G398" s="2" t="s">
        <v>26</v>
      </c>
      <c r="H398" t="str">
        <f t="shared" si="6"/>
        <v>Standard</v>
      </c>
    </row>
    <row r="399" spans="1:8">
      <c r="A399" s="2">
        <v>398</v>
      </c>
      <c r="B399" s="2" t="s">
        <v>57</v>
      </c>
      <c r="C399" s="2" t="s">
        <v>12</v>
      </c>
      <c r="D399" s="2">
        <v>42</v>
      </c>
      <c r="E399" s="3">
        <v>41499</v>
      </c>
      <c r="F399" s="2" t="s">
        <v>25</v>
      </c>
      <c r="G399" s="2" t="s">
        <v>10</v>
      </c>
      <c r="H399" t="str">
        <f t="shared" si="6"/>
        <v>Standard</v>
      </c>
    </row>
    <row r="400" spans="1:8">
      <c r="A400" s="2">
        <v>399</v>
      </c>
      <c r="B400" s="2" t="s">
        <v>74</v>
      </c>
      <c r="C400" s="2" t="s">
        <v>8</v>
      </c>
      <c r="D400" s="2">
        <v>4</v>
      </c>
      <c r="E400" s="3">
        <v>55627</v>
      </c>
      <c r="F400" s="2" t="s">
        <v>38</v>
      </c>
      <c r="G400" s="2" t="s">
        <v>26</v>
      </c>
      <c r="H400" t="str">
        <f t="shared" si="6"/>
        <v>Standard</v>
      </c>
    </row>
    <row r="401" spans="1:8">
      <c r="A401" s="2">
        <v>400</v>
      </c>
      <c r="B401" s="2" t="s">
        <v>54</v>
      </c>
      <c r="C401" s="2" t="s">
        <v>8</v>
      </c>
      <c r="D401" s="2">
        <v>16</v>
      </c>
      <c r="E401" s="3">
        <v>96569</v>
      </c>
      <c r="F401" s="2" t="s">
        <v>9</v>
      </c>
      <c r="G401" s="2" t="s">
        <v>10</v>
      </c>
      <c r="H401" t="str">
        <f t="shared" si="6"/>
        <v>Review</v>
      </c>
    </row>
    <row r="402" spans="1:8">
      <c r="A402" s="2">
        <v>401</v>
      </c>
      <c r="B402" s="2" t="s">
        <v>83</v>
      </c>
      <c r="C402" s="2" t="s">
        <v>8</v>
      </c>
      <c r="D402" s="2">
        <v>32</v>
      </c>
      <c r="E402" s="3">
        <v>35015</v>
      </c>
      <c r="F402" s="2" t="s">
        <v>32</v>
      </c>
      <c r="G402" s="2" t="s">
        <v>29</v>
      </c>
      <c r="H402" t="str">
        <f t="shared" si="6"/>
        <v>Standard</v>
      </c>
    </row>
    <row r="403" spans="1:8">
      <c r="A403" s="2">
        <v>402</v>
      </c>
      <c r="B403" s="2" t="s">
        <v>66</v>
      </c>
      <c r="C403" s="2" t="s">
        <v>12</v>
      </c>
      <c r="D403" s="2">
        <v>25</v>
      </c>
      <c r="E403" s="3">
        <v>93880</v>
      </c>
      <c r="F403" s="2" t="s">
        <v>17</v>
      </c>
      <c r="G403" s="2" t="s">
        <v>14</v>
      </c>
      <c r="H403" t="str">
        <f t="shared" si="6"/>
        <v>Review</v>
      </c>
    </row>
    <row r="404" spans="1:8">
      <c r="A404" s="2">
        <v>403</v>
      </c>
      <c r="B404" s="2" t="s">
        <v>83</v>
      </c>
      <c r="C404" s="2" t="s">
        <v>16</v>
      </c>
      <c r="D404" s="2">
        <v>8</v>
      </c>
      <c r="E404" s="3">
        <v>78048</v>
      </c>
      <c r="F404" s="2" t="s">
        <v>13</v>
      </c>
      <c r="G404" s="2" t="s">
        <v>29</v>
      </c>
      <c r="H404" t="str">
        <f t="shared" si="6"/>
        <v>Review</v>
      </c>
    </row>
    <row r="405" spans="1:8">
      <c r="A405" s="2">
        <v>404</v>
      </c>
      <c r="B405" s="2" t="s">
        <v>50</v>
      </c>
      <c r="C405" s="2" t="s">
        <v>16</v>
      </c>
      <c r="D405" s="2">
        <v>16</v>
      </c>
      <c r="E405" s="3">
        <v>97254</v>
      </c>
      <c r="F405" s="2" t="s">
        <v>28</v>
      </c>
      <c r="G405" s="2" t="s">
        <v>26</v>
      </c>
      <c r="H405" t="str">
        <f t="shared" si="6"/>
        <v>Review</v>
      </c>
    </row>
    <row r="406" spans="1:8">
      <c r="A406" s="2">
        <v>405</v>
      </c>
      <c r="B406" s="2" t="s">
        <v>47</v>
      </c>
      <c r="C406" s="2" t="s">
        <v>8</v>
      </c>
      <c r="D406" s="2">
        <v>32</v>
      </c>
      <c r="E406" s="3">
        <v>55035</v>
      </c>
      <c r="F406" s="2" t="s">
        <v>9</v>
      </c>
      <c r="G406" s="2" t="s">
        <v>10</v>
      </c>
      <c r="H406" t="str">
        <f t="shared" si="6"/>
        <v>Standard</v>
      </c>
    </row>
    <row r="407" spans="1:8">
      <c r="A407" s="2">
        <v>406</v>
      </c>
      <c r="B407" s="2" t="s">
        <v>76</v>
      </c>
      <c r="C407" s="2" t="s">
        <v>8</v>
      </c>
      <c r="D407" s="2">
        <v>41</v>
      </c>
      <c r="E407" s="3">
        <v>74886</v>
      </c>
      <c r="F407" s="2" t="s">
        <v>17</v>
      </c>
      <c r="G407" s="2" t="s">
        <v>10</v>
      </c>
      <c r="H407" t="str">
        <f t="shared" si="6"/>
        <v>Review</v>
      </c>
    </row>
    <row r="408" spans="1:8">
      <c r="A408" s="2">
        <v>407</v>
      </c>
      <c r="B408" s="2" t="s">
        <v>91</v>
      </c>
      <c r="C408" s="2" t="s">
        <v>16</v>
      </c>
      <c r="D408" s="2">
        <v>39</v>
      </c>
      <c r="E408" s="3">
        <v>89524</v>
      </c>
      <c r="F408" s="2" t="s">
        <v>9</v>
      </c>
      <c r="G408" s="2" t="s">
        <v>26</v>
      </c>
      <c r="H408" t="str">
        <f t="shared" si="6"/>
        <v>Review</v>
      </c>
    </row>
    <row r="409" spans="1:8">
      <c r="A409" s="2">
        <v>408</v>
      </c>
      <c r="B409" s="2" t="s">
        <v>92</v>
      </c>
      <c r="C409" s="2" t="s">
        <v>8</v>
      </c>
      <c r="D409" s="2">
        <v>5</v>
      </c>
      <c r="E409" s="3">
        <v>83231</v>
      </c>
      <c r="F409" s="2" t="s">
        <v>38</v>
      </c>
      <c r="G409" s="2" t="s">
        <v>23</v>
      </c>
      <c r="H409" t="str">
        <f t="shared" si="6"/>
        <v>Review</v>
      </c>
    </row>
    <row r="410" spans="1:8">
      <c r="A410" s="2">
        <v>409</v>
      </c>
      <c r="B410" s="2" t="s">
        <v>79</v>
      </c>
      <c r="C410" s="2" t="s">
        <v>8</v>
      </c>
      <c r="D410" s="2">
        <v>34</v>
      </c>
      <c r="E410" s="3">
        <v>35004</v>
      </c>
      <c r="F410" s="2" t="s">
        <v>17</v>
      </c>
      <c r="G410" s="2" t="s">
        <v>10</v>
      </c>
      <c r="H410" t="str">
        <f t="shared" si="6"/>
        <v>Standard</v>
      </c>
    </row>
    <row r="411" spans="1:8">
      <c r="A411" s="2">
        <v>410</v>
      </c>
      <c r="B411" s="2" t="s">
        <v>80</v>
      </c>
      <c r="C411" s="2" t="s">
        <v>16</v>
      </c>
      <c r="D411" s="2">
        <v>1</v>
      </c>
      <c r="E411" s="3">
        <v>65911</v>
      </c>
      <c r="F411" s="2" t="s">
        <v>20</v>
      </c>
      <c r="G411" s="2" t="s">
        <v>23</v>
      </c>
      <c r="H411" t="str">
        <f t="shared" si="6"/>
        <v>Review</v>
      </c>
    </row>
    <row r="412" spans="1:8">
      <c r="A412" s="2">
        <v>411</v>
      </c>
      <c r="B412" s="2" t="s">
        <v>86</v>
      </c>
      <c r="C412" s="2" t="s">
        <v>12</v>
      </c>
      <c r="D412" s="2">
        <v>24</v>
      </c>
      <c r="E412" s="3">
        <v>27932</v>
      </c>
      <c r="F412" s="2" t="s">
        <v>25</v>
      </c>
      <c r="G412" s="2" t="s">
        <v>29</v>
      </c>
      <c r="H412" t="str">
        <f t="shared" si="6"/>
        <v>Standard</v>
      </c>
    </row>
    <row r="413" spans="1:8">
      <c r="A413" s="2">
        <v>412</v>
      </c>
      <c r="B413" s="2" t="s">
        <v>50</v>
      </c>
      <c r="C413" s="2" t="s">
        <v>8</v>
      </c>
      <c r="D413" s="2">
        <v>21</v>
      </c>
      <c r="E413" s="3">
        <v>56435</v>
      </c>
      <c r="F413" s="2" t="s">
        <v>38</v>
      </c>
      <c r="G413" s="2" t="s">
        <v>10</v>
      </c>
      <c r="H413" t="str">
        <f t="shared" si="6"/>
        <v>Standard</v>
      </c>
    </row>
    <row r="414" spans="1:8">
      <c r="A414" s="2">
        <v>413</v>
      </c>
      <c r="B414" s="2" t="s">
        <v>65</v>
      </c>
      <c r="C414" s="2" t="s">
        <v>12</v>
      </c>
      <c r="D414" s="2">
        <v>9</v>
      </c>
      <c r="E414" s="3">
        <v>46535</v>
      </c>
      <c r="F414" s="2" t="s">
        <v>28</v>
      </c>
      <c r="G414" s="2" t="s">
        <v>23</v>
      </c>
      <c r="H414" t="str">
        <f t="shared" si="6"/>
        <v>Standard</v>
      </c>
    </row>
    <row r="415" spans="1:8">
      <c r="A415" s="2">
        <v>414</v>
      </c>
      <c r="B415" s="2" t="s">
        <v>41</v>
      </c>
      <c r="C415" s="2" t="s">
        <v>8</v>
      </c>
      <c r="D415" s="2">
        <v>25</v>
      </c>
      <c r="E415" s="3">
        <v>28513</v>
      </c>
      <c r="F415" s="2" t="s">
        <v>13</v>
      </c>
      <c r="G415" s="2" t="s">
        <v>10</v>
      </c>
      <c r="H415" t="str">
        <f t="shared" si="6"/>
        <v>Standard</v>
      </c>
    </row>
    <row r="416" spans="1:8">
      <c r="A416" s="2">
        <v>415</v>
      </c>
      <c r="B416" s="2" t="s">
        <v>11</v>
      </c>
      <c r="C416" s="2" t="s">
        <v>8</v>
      </c>
      <c r="D416" s="2">
        <v>37</v>
      </c>
      <c r="E416" s="3">
        <v>68384</v>
      </c>
      <c r="F416" s="2" t="s">
        <v>20</v>
      </c>
      <c r="G416" s="2" t="s">
        <v>23</v>
      </c>
      <c r="H416" t="str">
        <f t="shared" si="6"/>
        <v>Review</v>
      </c>
    </row>
    <row r="417" spans="1:8">
      <c r="A417" s="2">
        <v>416</v>
      </c>
      <c r="B417" s="2" t="s">
        <v>56</v>
      </c>
      <c r="C417" s="2" t="s">
        <v>8</v>
      </c>
      <c r="D417" s="2">
        <v>27</v>
      </c>
      <c r="E417" s="3">
        <v>39640</v>
      </c>
      <c r="F417" s="2" t="s">
        <v>9</v>
      </c>
      <c r="G417" s="2" t="s">
        <v>10</v>
      </c>
      <c r="H417" t="str">
        <f t="shared" si="6"/>
        <v>Standard</v>
      </c>
    </row>
    <row r="418" spans="1:8">
      <c r="A418" s="2">
        <v>417</v>
      </c>
      <c r="B418" s="2" t="s">
        <v>21</v>
      </c>
      <c r="C418" s="2" t="s">
        <v>22</v>
      </c>
      <c r="D418" s="2">
        <v>24</v>
      </c>
      <c r="E418" s="3">
        <v>42916</v>
      </c>
      <c r="F418" s="2" t="s">
        <v>25</v>
      </c>
      <c r="G418" s="2" t="s">
        <v>10</v>
      </c>
      <c r="H418" t="str">
        <f t="shared" si="6"/>
        <v>Standard</v>
      </c>
    </row>
    <row r="419" spans="1:8">
      <c r="A419" s="2">
        <v>418</v>
      </c>
      <c r="B419" s="2" t="s">
        <v>80</v>
      </c>
      <c r="C419" s="2" t="s">
        <v>12</v>
      </c>
      <c r="D419" s="2">
        <v>35</v>
      </c>
      <c r="E419" s="3">
        <v>91893</v>
      </c>
      <c r="F419" s="2" t="s">
        <v>32</v>
      </c>
      <c r="G419" s="2" t="s">
        <v>18</v>
      </c>
      <c r="H419" t="str">
        <f t="shared" si="6"/>
        <v>Review</v>
      </c>
    </row>
    <row r="420" spans="1:8">
      <c r="A420" s="2">
        <v>419</v>
      </c>
      <c r="B420" s="2" t="s">
        <v>78</v>
      </c>
      <c r="C420" s="2" t="s">
        <v>12</v>
      </c>
      <c r="D420" s="2">
        <v>44</v>
      </c>
      <c r="E420" s="3">
        <v>40884</v>
      </c>
      <c r="F420" s="2" t="s">
        <v>28</v>
      </c>
      <c r="G420" s="2" t="s">
        <v>29</v>
      </c>
      <c r="H420" t="str">
        <f t="shared" si="6"/>
        <v>Standard</v>
      </c>
    </row>
    <row r="421" spans="1:8">
      <c r="A421" s="2">
        <v>420</v>
      </c>
      <c r="B421" s="2" t="s">
        <v>67</v>
      </c>
      <c r="C421" s="2" t="s">
        <v>8</v>
      </c>
      <c r="D421" s="2">
        <v>12</v>
      </c>
      <c r="E421" s="3">
        <v>37323</v>
      </c>
      <c r="F421" s="2" t="s">
        <v>13</v>
      </c>
      <c r="G421" s="2" t="s">
        <v>29</v>
      </c>
      <c r="H421" t="str">
        <f t="shared" si="6"/>
        <v>Standard</v>
      </c>
    </row>
    <row r="422" spans="1:8">
      <c r="A422" s="2">
        <v>421</v>
      </c>
      <c r="B422" s="2" t="s">
        <v>44</v>
      </c>
      <c r="C422" s="2" t="s">
        <v>16</v>
      </c>
      <c r="D422" s="2">
        <v>49</v>
      </c>
      <c r="E422" s="3">
        <v>48486</v>
      </c>
      <c r="F422" s="2" t="s">
        <v>38</v>
      </c>
      <c r="G422" s="2" t="s">
        <v>10</v>
      </c>
      <c r="H422" t="str">
        <f t="shared" si="6"/>
        <v>Standard</v>
      </c>
    </row>
    <row r="423" spans="1:8">
      <c r="A423" s="2">
        <v>422</v>
      </c>
      <c r="B423" s="2" t="s">
        <v>64</v>
      </c>
      <c r="C423" s="2" t="s">
        <v>8</v>
      </c>
      <c r="D423" s="2">
        <v>31</v>
      </c>
      <c r="E423" s="3">
        <v>88846</v>
      </c>
      <c r="F423" s="2" t="s">
        <v>20</v>
      </c>
      <c r="G423" s="2" t="s">
        <v>23</v>
      </c>
      <c r="H423" t="str">
        <f t="shared" si="6"/>
        <v>Review</v>
      </c>
    </row>
    <row r="424" spans="1:8">
      <c r="A424" s="2">
        <v>423</v>
      </c>
      <c r="B424" s="2" t="s">
        <v>19</v>
      </c>
      <c r="C424" s="2" t="s">
        <v>22</v>
      </c>
      <c r="D424" s="2">
        <v>50</v>
      </c>
      <c r="E424" s="3">
        <v>92657</v>
      </c>
      <c r="F424" s="2" t="s">
        <v>32</v>
      </c>
      <c r="G424" s="2" t="s">
        <v>14</v>
      </c>
      <c r="H424" t="str">
        <f t="shared" si="6"/>
        <v>Review</v>
      </c>
    </row>
    <row r="425" spans="1:8">
      <c r="A425" s="2">
        <v>424</v>
      </c>
      <c r="B425" s="2" t="s">
        <v>89</v>
      </c>
      <c r="C425" s="2" t="s">
        <v>8</v>
      </c>
      <c r="D425" s="2">
        <v>5</v>
      </c>
      <c r="E425" s="3">
        <v>98105</v>
      </c>
      <c r="F425" s="2" t="s">
        <v>13</v>
      </c>
      <c r="G425" s="2" t="s">
        <v>23</v>
      </c>
      <c r="H425" t="str">
        <f t="shared" si="6"/>
        <v>Review</v>
      </c>
    </row>
    <row r="426" spans="1:8">
      <c r="A426" s="2">
        <v>425</v>
      </c>
      <c r="B426" s="2" t="s">
        <v>21</v>
      </c>
      <c r="C426" s="2" t="s">
        <v>22</v>
      </c>
      <c r="D426" s="2">
        <v>2</v>
      </c>
      <c r="E426" s="3">
        <v>35304</v>
      </c>
      <c r="F426" s="2" t="s">
        <v>9</v>
      </c>
      <c r="G426" s="2" t="s">
        <v>10</v>
      </c>
      <c r="H426" t="str">
        <f t="shared" si="6"/>
        <v>Standard</v>
      </c>
    </row>
    <row r="427" spans="1:8">
      <c r="A427" s="2">
        <v>426</v>
      </c>
      <c r="B427" s="2" t="s">
        <v>59</v>
      </c>
      <c r="C427" s="2" t="s">
        <v>8</v>
      </c>
      <c r="D427" s="2">
        <v>38</v>
      </c>
      <c r="E427" s="3">
        <v>43780</v>
      </c>
      <c r="F427" s="2" t="s">
        <v>32</v>
      </c>
      <c r="G427" s="2" t="s">
        <v>26</v>
      </c>
      <c r="H427" t="str">
        <f t="shared" si="6"/>
        <v>Standard</v>
      </c>
    </row>
    <row r="428" spans="1:8">
      <c r="A428" s="2">
        <v>427</v>
      </c>
      <c r="B428" s="2" t="s">
        <v>67</v>
      </c>
      <c r="C428" s="2" t="s">
        <v>12</v>
      </c>
      <c r="D428" s="2">
        <v>5</v>
      </c>
      <c r="E428" s="3">
        <v>54415</v>
      </c>
      <c r="F428" s="2" t="s">
        <v>38</v>
      </c>
      <c r="G428" s="2" t="s">
        <v>29</v>
      </c>
      <c r="H428" t="str">
        <f t="shared" si="6"/>
        <v>Standard</v>
      </c>
    </row>
    <row r="429" spans="1:8">
      <c r="A429" s="2">
        <v>428</v>
      </c>
      <c r="B429" s="2" t="s">
        <v>44</v>
      </c>
      <c r="C429" s="2" t="s">
        <v>8</v>
      </c>
      <c r="D429" s="2">
        <v>1</v>
      </c>
      <c r="E429" s="3">
        <v>99323</v>
      </c>
      <c r="F429" s="2" t="s">
        <v>32</v>
      </c>
      <c r="G429" s="2" t="s">
        <v>26</v>
      </c>
      <c r="H429" t="str">
        <f t="shared" si="6"/>
        <v>Review</v>
      </c>
    </row>
    <row r="430" spans="1:8">
      <c r="A430" s="2">
        <v>429</v>
      </c>
      <c r="B430" s="2" t="s">
        <v>60</v>
      </c>
      <c r="C430" s="2" t="s">
        <v>12</v>
      </c>
      <c r="D430" s="2">
        <v>17</v>
      </c>
      <c r="E430" s="3">
        <v>50205</v>
      </c>
      <c r="F430" s="2" t="s">
        <v>9</v>
      </c>
      <c r="G430" s="2" t="s">
        <v>23</v>
      </c>
      <c r="H430" t="str">
        <f t="shared" si="6"/>
        <v>Standard</v>
      </c>
    </row>
    <row r="431" spans="1:8">
      <c r="A431" s="2">
        <v>430</v>
      </c>
      <c r="B431" s="2" t="s">
        <v>86</v>
      </c>
      <c r="C431" s="2" t="s">
        <v>16</v>
      </c>
      <c r="D431" s="2">
        <v>14</v>
      </c>
      <c r="E431" s="3">
        <v>55673</v>
      </c>
      <c r="F431" s="2" t="s">
        <v>20</v>
      </c>
      <c r="G431" s="2" t="s">
        <v>18</v>
      </c>
      <c r="H431" t="str">
        <f t="shared" si="6"/>
        <v>Standard</v>
      </c>
    </row>
    <row r="432" spans="1:8">
      <c r="A432" s="2">
        <v>431</v>
      </c>
      <c r="B432" s="2" t="s">
        <v>92</v>
      </c>
      <c r="C432" s="2" t="s">
        <v>16</v>
      </c>
      <c r="D432" s="2">
        <v>3</v>
      </c>
      <c r="E432" s="3">
        <v>53100</v>
      </c>
      <c r="F432" s="2" t="s">
        <v>32</v>
      </c>
      <c r="G432" s="2" t="s">
        <v>10</v>
      </c>
      <c r="H432" t="str">
        <f t="shared" si="6"/>
        <v>Standard</v>
      </c>
    </row>
    <row r="433" spans="1:8">
      <c r="A433" s="2">
        <v>432</v>
      </c>
      <c r="B433" s="2" t="s">
        <v>57</v>
      </c>
      <c r="C433" s="2" t="s">
        <v>8</v>
      </c>
      <c r="D433" s="2">
        <v>4</v>
      </c>
      <c r="E433" s="3">
        <v>48399</v>
      </c>
      <c r="F433" s="2" t="s">
        <v>9</v>
      </c>
      <c r="G433" s="2" t="s">
        <v>23</v>
      </c>
      <c r="H433" t="str">
        <f t="shared" si="6"/>
        <v>Standard</v>
      </c>
    </row>
    <row r="434" spans="1:8">
      <c r="A434" s="2">
        <v>433</v>
      </c>
      <c r="B434" s="2" t="s">
        <v>74</v>
      </c>
      <c r="C434" s="2" t="s">
        <v>8</v>
      </c>
      <c r="D434" s="2">
        <v>26</v>
      </c>
      <c r="E434" s="3">
        <v>64039</v>
      </c>
      <c r="F434" s="2" t="s">
        <v>13</v>
      </c>
      <c r="G434" s="2" t="s">
        <v>23</v>
      </c>
      <c r="H434" t="str">
        <f t="shared" si="6"/>
        <v>Review</v>
      </c>
    </row>
    <row r="435" spans="1:8">
      <c r="A435" s="2">
        <v>434</v>
      </c>
      <c r="B435" s="2" t="s">
        <v>39</v>
      </c>
      <c r="C435" s="2" t="s">
        <v>16</v>
      </c>
      <c r="D435" s="2">
        <v>33</v>
      </c>
      <c r="E435" s="3">
        <v>88348</v>
      </c>
      <c r="F435" s="2" t="s">
        <v>28</v>
      </c>
      <c r="G435" s="2" t="s">
        <v>18</v>
      </c>
      <c r="H435" t="str">
        <f t="shared" si="6"/>
        <v>Review</v>
      </c>
    </row>
    <row r="436" spans="1:8">
      <c r="A436" s="2">
        <v>435</v>
      </c>
      <c r="B436" s="2" t="s">
        <v>53</v>
      </c>
      <c r="C436" s="2" t="s">
        <v>22</v>
      </c>
      <c r="D436" s="2">
        <v>19</v>
      </c>
      <c r="E436" s="3">
        <v>40355</v>
      </c>
      <c r="F436" s="2" t="s">
        <v>17</v>
      </c>
      <c r="G436" s="2" t="s">
        <v>14</v>
      </c>
      <c r="H436" t="str">
        <f t="shared" si="6"/>
        <v>Standard</v>
      </c>
    </row>
    <row r="437" spans="1:8">
      <c r="A437" s="2">
        <v>436</v>
      </c>
      <c r="B437" s="2" t="s">
        <v>11</v>
      </c>
      <c r="C437" s="2" t="s">
        <v>16</v>
      </c>
      <c r="D437" s="2">
        <v>41</v>
      </c>
      <c r="E437" s="3">
        <v>73243</v>
      </c>
      <c r="F437" s="2" t="s">
        <v>25</v>
      </c>
      <c r="G437" s="2" t="s">
        <v>14</v>
      </c>
      <c r="H437" t="str">
        <f t="shared" si="6"/>
        <v>Review</v>
      </c>
    </row>
    <row r="438" spans="1:8">
      <c r="A438" s="2">
        <v>437</v>
      </c>
      <c r="B438" s="2" t="s">
        <v>60</v>
      </c>
      <c r="C438" s="2" t="s">
        <v>16</v>
      </c>
      <c r="D438" s="2">
        <v>46</v>
      </c>
      <c r="E438" s="3">
        <v>75413</v>
      </c>
      <c r="F438" s="2" t="s">
        <v>38</v>
      </c>
      <c r="G438" s="2" t="s">
        <v>23</v>
      </c>
      <c r="H438" t="str">
        <f t="shared" si="6"/>
        <v>Review</v>
      </c>
    </row>
    <row r="439" spans="1:8">
      <c r="A439" s="2">
        <v>438</v>
      </c>
      <c r="B439" s="2" t="s">
        <v>15</v>
      </c>
      <c r="C439" s="2" t="s">
        <v>22</v>
      </c>
      <c r="D439" s="2">
        <v>33</v>
      </c>
      <c r="E439" s="3">
        <v>88713</v>
      </c>
      <c r="F439" s="2" t="s">
        <v>20</v>
      </c>
      <c r="G439" s="2" t="s">
        <v>10</v>
      </c>
      <c r="H439" t="str">
        <f t="shared" si="6"/>
        <v>Review</v>
      </c>
    </row>
    <row r="440" spans="1:8">
      <c r="A440" s="2">
        <v>439</v>
      </c>
      <c r="B440" s="2" t="s">
        <v>68</v>
      </c>
      <c r="C440" s="2" t="s">
        <v>16</v>
      </c>
      <c r="D440" s="2">
        <v>50</v>
      </c>
      <c r="E440" s="3">
        <v>66204</v>
      </c>
      <c r="F440" s="2" t="s">
        <v>28</v>
      </c>
      <c r="G440" s="2" t="s">
        <v>26</v>
      </c>
      <c r="H440" t="str">
        <f t="shared" si="6"/>
        <v>Review</v>
      </c>
    </row>
    <row r="441" spans="1:8">
      <c r="A441" s="2">
        <v>440</v>
      </c>
      <c r="B441" s="2" t="s">
        <v>93</v>
      </c>
      <c r="C441" s="2" t="s">
        <v>16</v>
      </c>
      <c r="D441" s="2">
        <v>27</v>
      </c>
      <c r="E441" s="3">
        <v>53711</v>
      </c>
      <c r="F441" s="2" t="s">
        <v>9</v>
      </c>
      <c r="G441" s="2" t="s">
        <v>18</v>
      </c>
      <c r="H441" t="str">
        <f t="shared" si="6"/>
        <v>Standard</v>
      </c>
    </row>
    <row r="442" spans="1:8">
      <c r="A442" s="2">
        <v>441</v>
      </c>
      <c r="B442" s="2" t="s">
        <v>49</v>
      </c>
      <c r="C442" s="2" t="s">
        <v>22</v>
      </c>
      <c r="D442" s="2">
        <v>28</v>
      </c>
      <c r="E442" s="3">
        <v>86359</v>
      </c>
      <c r="F442" s="2" t="s">
        <v>28</v>
      </c>
      <c r="G442" s="2" t="s">
        <v>14</v>
      </c>
      <c r="H442" t="str">
        <f t="shared" si="6"/>
        <v>Review</v>
      </c>
    </row>
    <row r="443" spans="1:8">
      <c r="A443" s="2">
        <v>442</v>
      </c>
      <c r="B443" s="2" t="s">
        <v>85</v>
      </c>
      <c r="C443" s="2" t="s">
        <v>22</v>
      </c>
      <c r="D443" s="2">
        <v>45</v>
      </c>
      <c r="E443" s="3">
        <v>82906</v>
      </c>
      <c r="F443" s="2" t="s">
        <v>32</v>
      </c>
      <c r="G443" s="2" t="s">
        <v>23</v>
      </c>
      <c r="H443" t="str">
        <f t="shared" si="6"/>
        <v>Review</v>
      </c>
    </row>
    <row r="444" spans="1:8">
      <c r="A444" s="2">
        <v>443</v>
      </c>
      <c r="B444" s="2" t="s">
        <v>51</v>
      </c>
      <c r="C444" s="2" t="s">
        <v>12</v>
      </c>
      <c r="D444" s="2">
        <v>26</v>
      </c>
      <c r="E444" s="3">
        <v>89097</v>
      </c>
      <c r="F444" s="2" t="s">
        <v>17</v>
      </c>
      <c r="G444" s="2" t="s">
        <v>10</v>
      </c>
      <c r="H444" t="str">
        <f t="shared" si="6"/>
        <v>Review</v>
      </c>
    </row>
    <row r="445" spans="1:8">
      <c r="A445" s="2">
        <v>444</v>
      </c>
      <c r="B445" s="2" t="s">
        <v>54</v>
      </c>
      <c r="C445" s="2" t="s">
        <v>8</v>
      </c>
      <c r="D445" s="2">
        <v>6</v>
      </c>
      <c r="E445" s="3">
        <v>69155</v>
      </c>
      <c r="F445" s="2" t="s">
        <v>38</v>
      </c>
      <c r="G445" s="2" t="s">
        <v>26</v>
      </c>
      <c r="H445" t="str">
        <f t="shared" si="6"/>
        <v>Review</v>
      </c>
    </row>
    <row r="446" spans="1:8">
      <c r="A446" s="2">
        <v>445</v>
      </c>
      <c r="B446" s="2" t="s">
        <v>34</v>
      </c>
      <c r="C446" s="2" t="s">
        <v>12</v>
      </c>
      <c r="D446" s="2">
        <v>41</v>
      </c>
      <c r="E446" s="3">
        <v>52110</v>
      </c>
      <c r="F446" s="2" t="s">
        <v>32</v>
      </c>
      <c r="G446" s="2" t="s">
        <v>14</v>
      </c>
      <c r="H446" t="str">
        <f t="shared" si="6"/>
        <v>Standard</v>
      </c>
    </row>
    <row r="447" spans="1:8">
      <c r="A447" s="2">
        <v>446</v>
      </c>
      <c r="B447" s="2" t="s">
        <v>48</v>
      </c>
      <c r="C447" s="2" t="s">
        <v>22</v>
      </c>
      <c r="D447" s="2">
        <v>35</v>
      </c>
      <c r="E447" s="3">
        <v>98600</v>
      </c>
      <c r="F447" s="2" t="s">
        <v>20</v>
      </c>
      <c r="G447" s="2" t="s">
        <v>29</v>
      </c>
      <c r="H447" t="str">
        <f t="shared" si="6"/>
        <v>Review</v>
      </c>
    </row>
    <row r="448" spans="1:8">
      <c r="A448" s="2">
        <v>447</v>
      </c>
      <c r="B448" s="2" t="s">
        <v>52</v>
      </c>
      <c r="C448" s="2" t="s">
        <v>16</v>
      </c>
      <c r="D448" s="2">
        <v>35</v>
      </c>
      <c r="E448" s="3">
        <v>97491</v>
      </c>
      <c r="F448" s="2" t="s">
        <v>32</v>
      </c>
      <c r="G448" s="2" t="s">
        <v>26</v>
      </c>
      <c r="H448" t="str">
        <f t="shared" si="6"/>
        <v>Review</v>
      </c>
    </row>
    <row r="449" spans="1:8">
      <c r="A449" s="2">
        <v>448</v>
      </c>
      <c r="B449" s="2" t="s">
        <v>82</v>
      </c>
      <c r="C449" s="2" t="s">
        <v>22</v>
      </c>
      <c r="D449" s="2">
        <v>40</v>
      </c>
      <c r="E449" s="3">
        <v>31273</v>
      </c>
      <c r="F449" s="2" t="s">
        <v>13</v>
      </c>
      <c r="G449" s="2" t="s">
        <v>26</v>
      </c>
      <c r="H449" t="str">
        <f t="shared" si="6"/>
        <v>Standard</v>
      </c>
    </row>
    <row r="450" spans="1:8">
      <c r="A450" s="2">
        <v>449</v>
      </c>
      <c r="B450" s="2" t="s">
        <v>71</v>
      </c>
      <c r="C450" s="2" t="s">
        <v>16</v>
      </c>
      <c r="D450" s="2">
        <v>10</v>
      </c>
      <c r="E450" s="3">
        <v>85460</v>
      </c>
      <c r="F450" s="2" t="s">
        <v>17</v>
      </c>
      <c r="G450" s="2" t="s">
        <v>23</v>
      </c>
      <c r="H450" t="str">
        <f t="shared" si="6"/>
        <v>Review</v>
      </c>
    </row>
    <row r="451" spans="1:8">
      <c r="A451" s="2">
        <v>450</v>
      </c>
      <c r="B451" s="2" t="s">
        <v>81</v>
      </c>
      <c r="C451" s="2" t="s">
        <v>12</v>
      </c>
      <c r="D451" s="2">
        <v>18</v>
      </c>
      <c r="E451" s="3">
        <v>73333</v>
      </c>
      <c r="F451" s="2" t="s">
        <v>38</v>
      </c>
      <c r="G451" s="2" t="s">
        <v>18</v>
      </c>
      <c r="H451" t="str">
        <f t="shared" ref="H451:H514" si="7">IF(AND(F451="Electric",E451&gt;45000),"Urgent",IF(OR(F451="Hybrid",E451&gt;60000),"Review","Standard"))</f>
        <v>Review</v>
      </c>
    </row>
    <row r="452" spans="1:8">
      <c r="A452" s="2">
        <v>451</v>
      </c>
      <c r="B452" s="2" t="s">
        <v>51</v>
      </c>
      <c r="C452" s="2" t="s">
        <v>12</v>
      </c>
      <c r="D452" s="2">
        <v>6</v>
      </c>
      <c r="E452" s="3">
        <v>63561</v>
      </c>
      <c r="F452" s="2" t="s">
        <v>25</v>
      </c>
      <c r="G452" s="2" t="s">
        <v>10</v>
      </c>
      <c r="H452" t="str">
        <f t="shared" si="7"/>
        <v>Review</v>
      </c>
    </row>
    <row r="453" spans="1:8">
      <c r="A453" s="2">
        <v>452</v>
      </c>
      <c r="B453" s="2" t="s">
        <v>82</v>
      </c>
      <c r="C453" s="2" t="s">
        <v>12</v>
      </c>
      <c r="D453" s="2">
        <v>20</v>
      </c>
      <c r="E453" s="3">
        <v>33829</v>
      </c>
      <c r="F453" s="2" t="s">
        <v>28</v>
      </c>
      <c r="G453" s="2" t="s">
        <v>23</v>
      </c>
      <c r="H453" t="str">
        <f t="shared" si="7"/>
        <v>Standard</v>
      </c>
    </row>
    <row r="454" spans="1:8">
      <c r="A454" s="2">
        <v>453</v>
      </c>
      <c r="B454" s="2" t="s">
        <v>63</v>
      </c>
      <c r="C454" s="2" t="s">
        <v>16</v>
      </c>
      <c r="D454" s="2">
        <v>6</v>
      </c>
      <c r="E454" s="3">
        <v>70949</v>
      </c>
      <c r="F454" s="2" t="s">
        <v>20</v>
      </c>
      <c r="G454" s="2" t="s">
        <v>14</v>
      </c>
      <c r="H454" t="str">
        <f t="shared" si="7"/>
        <v>Review</v>
      </c>
    </row>
    <row r="455" spans="1:8">
      <c r="A455" s="2">
        <v>454</v>
      </c>
      <c r="B455" s="2" t="s">
        <v>37</v>
      </c>
      <c r="C455" s="2" t="s">
        <v>8</v>
      </c>
      <c r="D455" s="2">
        <v>33</v>
      </c>
      <c r="E455" s="3">
        <v>78485</v>
      </c>
      <c r="F455" s="2" t="s">
        <v>13</v>
      </c>
      <c r="G455" s="2" t="s">
        <v>23</v>
      </c>
      <c r="H455" t="str">
        <f t="shared" si="7"/>
        <v>Review</v>
      </c>
    </row>
    <row r="456" spans="1:8">
      <c r="A456" s="2">
        <v>455</v>
      </c>
      <c r="B456" s="2" t="s">
        <v>70</v>
      </c>
      <c r="C456" s="2" t="s">
        <v>8</v>
      </c>
      <c r="D456" s="2">
        <v>14</v>
      </c>
      <c r="E456" s="3">
        <v>97650</v>
      </c>
      <c r="F456" s="2" t="s">
        <v>32</v>
      </c>
      <c r="G456" s="2" t="s">
        <v>23</v>
      </c>
      <c r="H456" t="str">
        <f t="shared" si="7"/>
        <v>Review</v>
      </c>
    </row>
    <row r="457" spans="1:8">
      <c r="A457" s="2">
        <v>456</v>
      </c>
      <c r="B457" s="2" t="s">
        <v>45</v>
      </c>
      <c r="C457" s="2" t="s">
        <v>8</v>
      </c>
      <c r="D457" s="2">
        <v>10</v>
      </c>
      <c r="E457" s="3">
        <v>50720</v>
      </c>
      <c r="F457" s="2" t="s">
        <v>38</v>
      </c>
      <c r="G457" s="2" t="s">
        <v>14</v>
      </c>
      <c r="H457" t="str">
        <f t="shared" si="7"/>
        <v>Standard</v>
      </c>
    </row>
    <row r="458" spans="1:8">
      <c r="A458" s="2">
        <v>457</v>
      </c>
      <c r="B458" s="2" t="s">
        <v>82</v>
      </c>
      <c r="C458" s="2" t="s">
        <v>22</v>
      </c>
      <c r="D458" s="2">
        <v>35</v>
      </c>
      <c r="E458" s="3">
        <v>95569</v>
      </c>
      <c r="F458" s="2" t="s">
        <v>38</v>
      </c>
      <c r="G458" s="2" t="s">
        <v>29</v>
      </c>
      <c r="H458" t="str">
        <f t="shared" si="7"/>
        <v>Review</v>
      </c>
    </row>
    <row r="459" spans="1:8">
      <c r="A459" s="2">
        <v>458</v>
      </c>
      <c r="B459" s="2" t="s">
        <v>45</v>
      </c>
      <c r="C459" s="2" t="s">
        <v>22</v>
      </c>
      <c r="D459" s="2">
        <v>21</v>
      </c>
      <c r="E459" s="3">
        <v>84529</v>
      </c>
      <c r="F459" s="2" t="s">
        <v>9</v>
      </c>
      <c r="G459" s="2" t="s">
        <v>10</v>
      </c>
      <c r="H459" t="str">
        <f t="shared" si="7"/>
        <v>Review</v>
      </c>
    </row>
    <row r="460" spans="1:8">
      <c r="A460" s="2">
        <v>459</v>
      </c>
      <c r="B460" s="2" t="s">
        <v>61</v>
      </c>
      <c r="C460" s="2" t="s">
        <v>16</v>
      </c>
      <c r="D460" s="2">
        <v>26</v>
      </c>
      <c r="E460" s="3">
        <v>78201</v>
      </c>
      <c r="F460" s="2" t="s">
        <v>25</v>
      </c>
      <c r="G460" s="2" t="s">
        <v>26</v>
      </c>
      <c r="H460" t="str">
        <f t="shared" si="7"/>
        <v>Review</v>
      </c>
    </row>
    <row r="461" spans="1:8">
      <c r="A461" s="2">
        <v>460</v>
      </c>
      <c r="B461" s="2" t="s">
        <v>75</v>
      </c>
      <c r="C461" s="2" t="s">
        <v>22</v>
      </c>
      <c r="D461" s="2">
        <v>38</v>
      </c>
      <c r="E461" s="3">
        <v>50819</v>
      </c>
      <c r="F461" s="2" t="s">
        <v>17</v>
      </c>
      <c r="G461" s="2" t="s">
        <v>26</v>
      </c>
      <c r="H461" t="str">
        <f t="shared" si="7"/>
        <v>Standard</v>
      </c>
    </row>
    <row r="462" spans="1:8">
      <c r="A462" s="2">
        <v>461</v>
      </c>
      <c r="B462" s="2" t="s">
        <v>42</v>
      </c>
      <c r="C462" s="2" t="s">
        <v>16</v>
      </c>
      <c r="D462" s="2">
        <v>41</v>
      </c>
      <c r="E462" s="3">
        <v>93297</v>
      </c>
      <c r="F462" s="2" t="s">
        <v>20</v>
      </c>
      <c r="G462" s="2" t="s">
        <v>26</v>
      </c>
      <c r="H462" t="str">
        <f t="shared" si="7"/>
        <v>Review</v>
      </c>
    </row>
    <row r="463" spans="1:8">
      <c r="A463" s="2">
        <v>462</v>
      </c>
      <c r="B463" s="2" t="s">
        <v>92</v>
      </c>
      <c r="C463" s="2" t="s">
        <v>12</v>
      </c>
      <c r="D463" s="2">
        <v>49</v>
      </c>
      <c r="E463" s="3">
        <v>96216</v>
      </c>
      <c r="F463" s="2" t="s">
        <v>32</v>
      </c>
      <c r="G463" s="2" t="s">
        <v>26</v>
      </c>
      <c r="H463" t="str">
        <f t="shared" si="7"/>
        <v>Review</v>
      </c>
    </row>
    <row r="464" spans="1:8">
      <c r="A464" s="2">
        <v>463</v>
      </c>
      <c r="B464" s="2" t="s">
        <v>59</v>
      </c>
      <c r="C464" s="2" t="s">
        <v>16</v>
      </c>
      <c r="D464" s="2">
        <v>42</v>
      </c>
      <c r="E464" s="3">
        <v>64077</v>
      </c>
      <c r="F464" s="2" t="s">
        <v>25</v>
      </c>
      <c r="G464" s="2" t="s">
        <v>14</v>
      </c>
      <c r="H464" t="str">
        <f t="shared" si="7"/>
        <v>Review</v>
      </c>
    </row>
    <row r="465" spans="1:8">
      <c r="A465" s="2">
        <v>464</v>
      </c>
      <c r="B465" s="2" t="s">
        <v>27</v>
      </c>
      <c r="C465" s="2" t="s">
        <v>22</v>
      </c>
      <c r="D465" s="2">
        <v>44</v>
      </c>
      <c r="E465" s="3">
        <v>45167</v>
      </c>
      <c r="F465" s="2" t="s">
        <v>9</v>
      </c>
      <c r="G465" s="2" t="s">
        <v>26</v>
      </c>
      <c r="H465" t="str">
        <f t="shared" si="7"/>
        <v>Standard</v>
      </c>
    </row>
    <row r="466" spans="1:8">
      <c r="A466" s="2">
        <v>465</v>
      </c>
      <c r="B466" s="2" t="s">
        <v>69</v>
      </c>
      <c r="C466" s="2" t="s">
        <v>12</v>
      </c>
      <c r="D466" s="2">
        <v>42</v>
      </c>
      <c r="E466" s="3">
        <v>72003</v>
      </c>
      <c r="F466" s="2" t="s">
        <v>20</v>
      </c>
      <c r="G466" s="2" t="s">
        <v>26</v>
      </c>
      <c r="H466" t="str">
        <f t="shared" si="7"/>
        <v>Review</v>
      </c>
    </row>
    <row r="467" spans="1:8">
      <c r="A467" s="2">
        <v>466</v>
      </c>
      <c r="B467" s="2" t="s">
        <v>71</v>
      </c>
      <c r="C467" s="2" t="s">
        <v>12</v>
      </c>
      <c r="D467" s="2">
        <v>5</v>
      </c>
      <c r="E467" s="3">
        <v>67099</v>
      </c>
      <c r="F467" s="2" t="s">
        <v>17</v>
      </c>
      <c r="G467" s="2" t="s">
        <v>23</v>
      </c>
      <c r="H467" t="str">
        <f t="shared" si="7"/>
        <v>Review</v>
      </c>
    </row>
    <row r="468" spans="1:8">
      <c r="A468" s="2">
        <v>467</v>
      </c>
      <c r="B468" s="2" t="s">
        <v>92</v>
      </c>
      <c r="C468" s="2" t="s">
        <v>16</v>
      </c>
      <c r="D468" s="2">
        <v>20</v>
      </c>
      <c r="E468" s="3">
        <v>93154</v>
      </c>
      <c r="F468" s="2" t="s">
        <v>38</v>
      </c>
      <c r="G468" s="2" t="s">
        <v>23</v>
      </c>
      <c r="H468" t="str">
        <f t="shared" si="7"/>
        <v>Review</v>
      </c>
    </row>
    <row r="469" spans="1:8">
      <c r="A469" s="2">
        <v>468</v>
      </c>
      <c r="B469" s="2" t="s">
        <v>60</v>
      </c>
      <c r="C469" s="2" t="s">
        <v>8</v>
      </c>
      <c r="D469" s="2">
        <v>45</v>
      </c>
      <c r="E469" s="3">
        <v>46737</v>
      </c>
      <c r="F469" s="2" t="s">
        <v>38</v>
      </c>
      <c r="G469" s="2" t="s">
        <v>18</v>
      </c>
      <c r="H469" t="str">
        <f t="shared" si="7"/>
        <v>Standard</v>
      </c>
    </row>
    <row r="470" spans="1:8">
      <c r="A470" s="2">
        <v>469</v>
      </c>
      <c r="B470" s="2" t="s">
        <v>15</v>
      </c>
      <c r="C470" s="2" t="s">
        <v>22</v>
      </c>
      <c r="D470" s="2">
        <v>28</v>
      </c>
      <c r="E470" s="3">
        <v>72184</v>
      </c>
      <c r="F470" s="2" t="s">
        <v>17</v>
      </c>
      <c r="G470" s="2" t="s">
        <v>23</v>
      </c>
      <c r="H470" t="str">
        <f t="shared" si="7"/>
        <v>Review</v>
      </c>
    </row>
    <row r="471" spans="1:8">
      <c r="A471" s="2">
        <v>470</v>
      </c>
      <c r="B471" s="2" t="s">
        <v>30</v>
      </c>
      <c r="C471" s="2" t="s">
        <v>22</v>
      </c>
      <c r="D471" s="2">
        <v>47</v>
      </c>
      <c r="E471" s="3">
        <v>58552</v>
      </c>
      <c r="F471" s="2" t="s">
        <v>25</v>
      </c>
      <c r="G471" s="2" t="s">
        <v>14</v>
      </c>
      <c r="H471" t="str">
        <f t="shared" si="7"/>
        <v>Standard</v>
      </c>
    </row>
    <row r="472" spans="1:8">
      <c r="A472" s="2">
        <v>471</v>
      </c>
      <c r="B472" s="2" t="s">
        <v>70</v>
      </c>
      <c r="C472" s="2" t="s">
        <v>8</v>
      </c>
      <c r="D472" s="2">
        <v>16</v>
      </c>
      <c r="E472" s="3">
        <v>81553</v>
      </c>
      <c r="F472" s="2" t="s">
        <v>20</v>
      </c>
      <c r="G472" s="2" t="s">
        <v>18</v>
      </c>
      <c r="H472" t="str">
        <f t="shared" si="7"/>
        <v>Review</v>
      </c>
    </row>
    <row r="473" spans="1:8">
      <c r="A473" s="2">
        <v>472</v>
      </c>
      <c r="B473" s="2" t="s">
        <v>59</v>
      </c>
      <c r="C473" s="2" t="s">
        <v>22</v>
      </c>
      <c r="D473" s="2">
        <v>4</v>
      </c>
      <c r="E473" s="3">
        <v>42440</v>
      </c>
      <c r="F473" s="2" t="s">
        <v>25</v>
      </c>
      <c r="G473" s="2" t="s">
        <v>23</v>
      </c>
      <c r="H473" t="str">
        <f t="shared" si="7"/>
        <v>Standard</v>
      </c>
    </row>
    <row r="474" spans="1:8">
      <c r="A474" s="2">
        <v>473</v>
      </c>
      <c r="B474" s="2" t="s">
        <v>48</v>
      </c>
      <c r="C474" s="2" t="s">
        <v>8</v>
      </c>
      <c r="D474" s="2">
        <v>16</v>
      </c>
      <c r="E474" s="3">
        <v>97209</v>
      </c>
      <c r="F474" s="2" t="s">
        <v>9</v>
      </c>
      <c r="G474" s="2" t="s">
        <v>14</v>
      </c>
      <c r="H474" t="str">
        <f t="shared" si="7"/>
        <v>Review</v>
      </c>
    </row>
    <row r="475" spans="1:8">
      <c r="A475" s="2">
        <v>474</v>
      </c>
      <c r="B475" s="2" t="s">
        <v>82</v>
      </c>
      <c r="C475" s="2" t="s">
        <v>8</v>
      </c>
      <c r="D475" s="2">
        <v>6</v>
      </c>
      <c r="E475" s="3">
        <v>69936</v>
      </c>
      <c r="F475" s="2" t="s">
        <v>32</v>
      </c>
      <c r="G475" s="2" t="s">
        <v>10</v>
      </c>
      <c r="H475" t="str">
        <f t="shared" si="7"/>
        <v>Review</v>
      </c>
    </row>
    <row r="476" spans="1:8">
      <c r="A476" s="2">
        <v>475</v>
      </c>
      <c r="B476" s="2" t="s">
        <v>62</v>
      </c>
      <c r="C476" s="2" t="s">
        <v>12</v>
      </c>
      <c r="D476" s="2">
        <v>28</v>
      </c>
      <c r="E476" s="3">
        <v>63744</v>
      </c>
      <c r="F476" s="2" t="s">
        <v>17</v>
      </c>
      <c r="G476" s="2" t="s">
        <v>10</v>
      </c>
      <c r="H476" t="str">
        <f t="shared" si="7"/>
        <v>Review</v>
      </c>
    </row>
    <row r="477" spans="1:8">
      <c r="A477" s="2">
        <v>476</v>
      </c>
      <c r="B477" s="2" t="s">
        <v>81</v>
      </c>
      <c r="C477" s="2" t="s">
        <v>12</v>
      </c>
      <c r="D477" s="2">
        <v>8</v>
      </c>
      <c r="E477" s="3">
        <v>62880</v>
      </c>
      <c r="F477" s="2" t="s">
        <v>17</v>
      </c>
      <c r="G477" s="2" t="s">
        <v>23</v>
      </c>
      <c r="H477" t="str">
        <f t="shared" si="7"/>
        <v>Review</v>
      </c>
    </row>
    <row r="478" spans="1:8">
      <c r="A478" s="2">
        <v>477</v>
      </c>
      <c r="B478" s="2" t="s">
        <v>83</v>
      </c>
      <c r="C478" s="2" t="s">
        <v>16</v>
      </c>
      <c r="D478" s="2">
        <v>30</v>
      </c>
      <c r="E478" s="3">
        <v>83128</v>
      </c>
      <c r="F478" s="2" t="s">
        <v>9</v>
      </c>
      <c r="G478" s="2" t="s">
        <v>10</v>
      </c>
      <c r="H478" t="str">
        <f t="shared" si="7"/>
        <v>Review</v>
      </c>
    </row>
    <row r="479" spans="1:8">
      <c r="A479" s="2">
        <v>478</v>
      </c>
      <c r="B479" s="2" t="s">
        <v>19</v>
      </c>
      <c r="C479" s="2" t="s">
        <v>12</v>
      </c>
      <c r="D479" s="2">
        <v>40</v>
      </c>
      <c r="E479" s="3">
        <v>54214</v>
      </c>
      <c r="F479" s="2" t="s">
        <v>32</v>
      </c>
      <c r="G479" s="2" t="s">
        <v>23</v>
      </c>
      <c r="H479" t="str">
        <f t="shared" si="7"/>
        <v>Standard</v>
      </c>
    </row>
    <row r="480" spans="1:8">
      <c r="A480" s="2">
        <v>479</v>
      </c>
      <c r="B480" s="2" t="s">
        <v>74</v>
      </c>
      <c r="C480" s="2" t="s">
        <v>8</v>
      </c>
      <c r="D480" s="2">
        <v>39</v>
      </c>
      <c r="E480" s="3">
        <v>57872</v>
      </c>
      <c r="F480" s="2" t="s">
        <v>38</v>
      </c>
      <c r="G480" s="2" t="s">
        <v>26</v>
      </c>
      <c r="H480" t="str">
        <f t="shared" si="7"/>
        <v>Standard</v>
      </c>
    </row>
    <row r="481" spans="1:8">
      <c r="A481" s="2">
        <v>480</v>
      </c>
      <c r="B481" s="2" t="s">
        <v>74</v>
      </c>
      <c r="C481" s="2" t="s">
        <v>16</v>
      </c>
      <c r="D481" s="2">
        <v>4</v>
      </c>
      <c r="E481" s="3">
        <v>87755</v>
      </c>
      <c r="F481" s="2" t="s">
        <v>13</v>
      </c>
      <c r="G481" s="2" t="s">
        <v>18</v>
      </c>
      <c r="H481" t="str">
        <f t="shared" si="7"/>
        <v>Review</v>
      </c>
    </row>
    <row r="482" spans="1:8">
      <c r="A482" s="2">
        <v>481</v>
      </c>
      <c r="B482" s="2" t="s">
        <v>46</v>
      </c>
      <c r="C482" s="2" t="s">
        <v>22</v>
      </c>
      <c r="D482" s="2">
        <v>20</v>
      </c>
      <c r="E482" s="3">
        <v>35824</v>
      </c>
      <c r="F482" s="2" t="s">
        <v>17</v>
      </c>
      <c r="G482" s="2" t="s">
        <v>10</v>
      </c>
      <c r="H482" t="str">
        <f t="shared" si="7"/>
        <v>Standard</v>
      </c>
    </row>
    <row r="483" spans="1:8">
      <c r="A483" s="2">
        <v>482</v>
      </c>
      <c r="B483" s="2" t="s">
        <v>40</v>
      </c>
      <c r="C483" s="2" t="s">
        <v>8</v>
      </c>
      <c r="D483" s="2">
        <v>43</v>
      </c>
      <c r="E483" s="3">
        <v>37135</v>
      </c>
      <c r="F483" s="2" t="s">
        <v>25</v>
      </c>
      <c r="G483" s="2" t="s">
        <v>18</v>
      </c>
      <c r="H483" t="str">
        <f t="shared" si="7"/>
        <v>Standard</v>
      </c>
    </row>
    <row r="484" spans="1:8">
      <c r="A484" s="2">
        <v>483</v>
      </c>
      <c r="B484" s="2" t="s">
        <v>93</v>
      </c>
      <c r="C484" s="2" t="s">
        <v>16</v>
      </c>
      <c r="D484" s="2">
        <v>48</v>
      </c>
      <c r="E484" s="3">
        <v>49670</v>
      </c>
      <c r="F484" s="2" t="s">
        <v>28</v>
      </c>
      <c r="G484" s="2" t="s">
        <v>18</v>
      </c>
      <c r="H484" t="str">
        <f t="shared" si="7"/>
        <v>Standard</v>
      </c>
    </row>
    <row r="485" spans="1:8">
      <c r="A485" s="2">
        <v>484</v>
      </c>
      <c r="B485" s="2" t="s">
        <v>62</v>
      </c>
      <c r="C485" s="2" t="s">
        <v>12</v>
      </c>
      <c r="D485" s="2">
        <v>43</v>
      </c>
      <c r="E485" s="3">
        <v>38249</v>
      </c>
      <c r="F485" s="2" t="s">
        <v>38</v>
      </c>
      <c r="G485" s="2" t="s">
        <v>18</v>
      </c>
      <c r="H485" t="str">
        <f t="shared" si="7"/>
        <v>Standard</v>
      </c>
    </row>
    <row r="486" spans="1:8">
      <c r="A486" s="2">
        <v>485</v>
      </c>
      <c r="B486" s="2" t="s">
        <v>41</v>
      </c>
      <c r="C486" s="2" t="s">
        <v>8</v>
      </c>
      <c r="D486" s="2">
        <v>48</v>
      </c>
      <c r="E486" s="3">
        <v>59413</v>
      </c>
      <c r="F486" s="2" t="s">
        <v>9</v>
      </c>
      <c r="G486" s="2" t="s">
        <v>29</v>
      </c>
      <c r="H486" t="str">
        <f t="shared" si="7"/>
        <v>Standard</v>
      </c>
    </row>
    <row r="487" spans="1:8">
      <c r="A487" s="2">
        <v>486</v>
      </c>
      <c r="B487" s="2" t="s">
        <v>30</v>
      </c>
      <c r="C487" s="2" t="s">
        <v>16</v>
      </c>
      <c r="D487" s="2">
        <v>12</v>
      </c>
      <c r="E487" s="3">
        <v>39730</v>
      </c>
      <c r="F487" s="2" t="s">
        <v>9</v>
      </c>
      <c r="G487" s="2" t="s">
        <v>14</v>
      </c>
      <c r="H487" t="str">
        <f t="shared" si="7"/>
        <v>Standard</v>
      </c>
    </row>
    <row r="488" spans="1:8">
      <c r="A488" s="2">
        <v>487</v>
      </c>
      <c r="B488" s="2" t="s">
        <v>36</v>
      </c>
      <c r="C488" s="2" t="s">
        <v>22</v>
      </c>
      <c r="D488" s="2">
        <v>8</v>
      </c>
      <c r="E488" s="3">
        <v>67023</v>
      </c>
      <c r="F488" s="2" t="s">
        <v>28</v>
      </c>
      <c r="G488" s="2" t="s">
        <v>26</v>
      </c>
      <c r="H488" t="str">
        <f t="shared" si="7"/>
        <v>Review</v>
      </c>
    </row>
    <row r="489" spans="1:8">
      <c r="A489" s="2">
        <v>488</v>
      </c>
      <c r="B489" s="2" t="s">
        <v>86</v>
      </c>
      <c r="C489" s="2" t="s">
        <v>8</v>
      </c>
      <c r="D489" s="2">
        <v>1</v>
      </c>
      <c r="E489" s="3">
        <v>58118</v>
      </c>
      <c r="F489" s="2" t="s">
        <v>9</v>
      </c>
      <c r="G489" s="2" t="s">
        <v>23</v>
      </c>
      <c r="H489" t="str">
        <f t="shared" si="7"/>
        <v>Standard</v>
      </c>
    </row>
    <row r="490" spans="1:8">
      <c r="A490" s="2">
        <v>489</v>
      </c>
      <c r="B490" s="2" t="s">
        <v>44</v>
      </c>
      <c r="C490" s="2" t="s">
        <v>8</v>
      </c>
      <c r="D490" s="2">
        <v>46</v>
      </c>
      <c r="E490" s="3">
        <v>49307</v>
      </c>
      <c r="F490" s="2" t="s">
        <v>32</v>
      </c>
      <c r="G490" s="2" t="s">
        <v>26</v>
      </c>
      <c r="H490" t="str">
        <f t="shared" si="7"/>
        <v>Standard</v>
      </c>
    </row>
    <row r="491" spans="1:8">
      <c r="A491" s="2">
        <v>490</v>
      </c>
      <c r="B491" s="2" t="s">
        <v>37</v>
      </c>
      <c r="C491" s="2" t="s">
        <v>16</v>
      </c>
      <c r="D491" s="2">
        <v>9</v>
      </c>
      <c r="E491" s="3">
        <v>41183</v>
      </c>
      <c r="F491" s="2" t="s">
        <v>25</v>
      </c>
      <c r="G491" s="2" t="s">
        <v>18</v>
      </c>
      <c r="H491" t="str">
        <f t="shared" si="7"/>
        <v>Standard</v>
      </c>
    </row>
    <row r="492" spans="1:8">
      <c r="A492" s="2">
        <v>491</v>
      </c>
      <c r="B492" s="2" t="s">
        <v>47</v>
      </c>
      <c r="C492" s="2" t="s">
        <v>16</v>
      </c>
      <c r="D492" s="2">
        <v>45</v>
      </c>
      <c r="E492" s="3">
        <v>95807</v>
      </c>
      <c r="F492" s="2" t="s">
        <v>17</v>
      </c>
      <c r="G492" s="2" t="s">
        <v>26</v>
      </c>
      <c r="H492" t="str">
        <f t="shared" si="7"/>
        <v>Review</v>
      </c>
    </row>
    <row r="493" spans="1:8">
      <c r="A493" s="2">
        <v>492</v>
      </c>
      <c r="B493" s="2" t="s">
        <v>71</v>
      </c>
      <c r="C493" s="2" t="s">
        <v>12</v>
      </c>
      <c r="D493" s="2">
        <v>1</v>
      </c>
      <c r="E493" s="3">
        <v>61615</v>
      </c>
      <c r="F493" s="2" t="s">
        <v>17</v>
      </c>
      <c r="G493" s="2" t="s">
        <v>23</v>
      </c>
      <c r="H493" t="str">
        <f t="shared" si="7"/>
        <v>Review</v>
      </c>
    </row>
    <row r="494" spans="1:8">
      <c r="A494" s="2">
        <v>493</v>
      </c>
      <c r="B494" s="2" t="s">
        <v>71</v>
      </c>
      <c r="C494" s="2" t="s">
        <v>12</v>
      </c>
      <c r="D494" s="2">
        <v>11</v>
      </c>
      <c r="E494" s="3">
        <v>66950</v>
      </c>
      <c r="F494" s="2" t="s">
        <v>9</v>
      </c>
      <c r="G494" s="2" t="s">
        <v>18</v>
      </c>
      <c r="H494" t="str">
        <f t="shared" si="7"/>
        <v>Review</v>
      </c>
    </row>
    <row r="495" spans="1:8">
      <c r="A495" s="2">
        <v>494</v>
      </c>
      <c r="B495" s="2" t="s">
        <v>48</v>
      </c>
      <c r="C495" s="2" t="s">
        <v>8</v>
      </c>
      <c r="D495" s="2">
        <v>32</v>
      </c>
      <c r="E495" s="3">
        <v>35248</v>
      </c>
      <c r="F495" s="2" t="s">
        <v>28</v>
      </c>
      <c r="G495" s="2" t="s">
        <v>14</v>
      </c>
      <c r="H495" t="str">
        <f t="shared" si="7"/>
        <v>Standard</v>
      </c>
    </row>
    <row r="496" spans="1:8">
      <c r="A496" s="2">
        <v>495</v>
      </c>
      <c r="B496" s="2" t="s">
        <v>78</v>
      </c>
      <c r="C496" s="2" t="s">
        <v>22</v>
      </c>
      <c r="D496" s="2">
        <v>23</v>
      </c>
      <c r="E496" s="3">
        <v>69732</v>
      </c>
      <c r="F496" s="2" t="s">
        <v>25</v>
      </c>
      <c r="G496" s="2" t="s">
        <v>26</v>
      </c>
      <c r="H496" t="str">
        <f t="shared" si="7"/>
        <v>Review</v>
      </c>
    </row>
    <row r="497" spans="1:8">
      <c r="A497" s="2">
        <v>496</v>
      </c>
      <c r="B497" s="2" t="s">
        <v>94</v>
      </c>
      <c r="C497" s="2" t="s">
        <v>12</v>
      </c>
      <c r="D497" s="2">
        <v>34</v>
      </c>
      <c r="E497" s="3">
        <v>83703</v>
      </c>
      <c r="F497" s="2" t="s">
        <v>20</v>
      </c>
      <c r="G497" s="2" t="s">
        <v>10</v>
      </c>
      <c r="H497" t="str">
        <f t="shared" si="7"/>
        <v>Review</v>
      </c>
    </row>
    <row r="498" spans="1:8">
      <c r="A498" s="2">
        <v>497</v>
      </c>
      <c r="B498" s="2" t="s">
        <v>84</v>
      </c>
      <c r="C498" s="2" t="s">
        <v>22</v>
      </c>
      <c r="D498" s="2">
        <v>34</v>
      </c>
      <c r="E498" s="3">
        <v>68735</v>
      </c>
      <c r="F498" s="2" t="s">
        <v>25</v>
      </c>
      <c r="G498" s="2" t="s">
        <v>23</v>
      </c>
      <c r="H498" t="str">
        <f t="shared" si="7"/>
        <v>Review</v>
      </c>
    </row>
    <row r="499" spans="1:8">
      <c r="A499" s="2">
        <v>498</v>
      </c>
      <c r="B499" s="2" t="s">
        <v>64</v>
      </c>
      <c r="C499" s="2" t="s">
        <v>16</v>
      </c>
      <c r="D499" s="2">
        <v>47</v>
      </c>
      <c r="E499" s="3">
        <v>52918</v>
      </c>
      <c r="F499" s="2" t="s">
        <v>9</v>
      </c>
      <c r="G499" s="2" t="s">
        <v>29</v>
      </c>
      <c r="H499" t="str">
        <f t="shared" si="7"/>
        <v>Standard</v>
      </c>
    </row>
    <row r="500" spans="1:8">
      <c r="A500" s="2">
        <v>499</v>
      </c>
      <c r="B500" s="2" t="s">
        <v>61</v>
      </c>
      <c r="C500" s="2" t="s">
        <v>16</v>
      </c>
      <c r="D500" s="2">
        <v>17</v>
      </c>
      <c r="E500" s="3">
        <v>90219</v>
      </c>
      <c r="F500" s="2" t="s">
        <v>28</v>
      </c>
      <c r="G500" s="2" t="s">
        <v>23</v>
      </c>
      <c r="H500" t="str">
        <f t="shared" si="7"/>
        <v>Review</v>
      </c>
    </row>
    <row r="501" spans="1:8">
      <c r="A501" s="2">
        <v>500</v>
      </c>
      <c r="B501" s="2" t="s">
        <v>78</v>
      </c>
      <c r="C501" s="2" t="s">
        <v>12</v>
      </c>
      <c r="D501" s="2">
        <v>11</v>
      </c>
      <c r="E501" s="3">
        <v>84408</v>
      </c>
      <c r="F501" s="2" t="s">
        <v>28</v>
      </c>
      <c r="G501" s="2" t="s">
        <v>14</v>
      </c>
      <c r="H501" t="str">
        <f t="shared" si="7"/>
        <v>Review</v>
      </c>
    </row>
    <row r="502" spans="1:8">
      <c r="A502" s="2">
        <v>501</v>
      </c>
      <c r="B502" s="2" t="s">
        <v>50</v>
      </c>
      <c r="C502" s="2" t="s">
        <v>8</v>
      </c>
      <c r="D502" s="2">
        <v>24</v>
      </c>
      <c r="E502" s="3">
        <v>45425</v>
      </c>
      <c r="F502" s="2" t="s">
        <v>17</v>
      </c>
      <c r="G502" s="2" t="s">
        <v>26</v>
      </c>
      <c r="H502" t="str">
        <f t="shared" si="7"/>
        <v>Standard</v>
      </c>
    </row>
    <row r="503" spans="1:8">
      <c r="A503" s="2">
        <v>502</v>
      </c>
      <c r="B503" s="2" t="s">
        <v>7</v>
      </c>
      <c r="C503" s="2" t="s">
        <v>16</v>
      </c>
      <c r="D503" s="2">
        <v>9</v>
      </c>
      <c r="E503" s="3">
        <v>49359</v>
      </c>
      <c r="F503" s="2" t="s">
        <v>9</v>
      </c>
      <c r="G503" s="2" t="s">
        <v>18</v>
      </c>
      <c r="H503" t="str">
        <f t="shared" si="7"/>
        <v>Standard</v>
      </c>
    </row>
    <row r="504" spans="1:8">
      <c r="A504" s="2">
        <v>503</v>
      </c>
      <c r="B504" s="2" t="s">
        <v>86</v>
      </c>
      <c r="C504" s="2" t="s">
        <v>22</v>
      </c>
      <c r="D504" s="2">
        <v>48</v>
      </c>
      <c r="E504" s="3">
        <v>77253</v>
      </c>
      <c r="F504" s="2" t="s">
        <v>38</v>
      </c>
      <c r="G504" s="2" t="s">
        <v>26</v>
      </c>
      <c r="H504" t="str">
        <f t="shared" si="7"/>
        <v>Review</v>
      </c>
    </row>
    <row r="505" spans="1:8">
      <c r="A505" s="2">
        <v>504</v>
      </c>
      <c r="B505" s="2" t="s">
        <v>81</v>
      </c>
      <c r="C505" s="2" t="s">
        <v>8</v>
      </c>
      <c r="D505" s="2">
        <v>50</v>
      </c>
      <c r="E505" s="3">
        <v>85693</v>
      </c>
      <c r="F505" s="2" t="s">
        <v>13</v>
      </c>
      <c r="G505" s="2" t="s">
        <v>23</v>
      </c>
      <c r="H505" t="str">
        <f t="shared" si="7"/>
        <v>Review</v>
      </c>
    </row>
    <row r="506" spans="1:8">
      <c r="A506" s="2">
        <v>505</v>
      </c>
      <c r="B506" s="2" t="s">
        <v>71</v>
      </c>
      <c r="C506" s="2" t="s">
        <v>12</v>
      </c>
      <c r="D506" s="2">
        <v>18</v>
      </c>
      <c r="E506" s="3">
        <v>65093</v>
      </c>
      <c r="F506" s="2" t="s">
        <v>25</v>
      </c>
      <c r="G506" s="2" t="s">
        <v>14</v>
      </c>
      <c r="H506" t="str">
        <f t="shared" si="7"/>
        <v>Review</v>
      </c>
    </row>
    <row r="507" spans="1:8">
      <c r="A507" s="2">
        <v>506</v>
      </c>
      <c r="B507" s="2" t="s">
        <v>67</v>
      </c>
      <c r="C507" s="2" t="s">
        <v>16</v>
      </c>
      <c r="D507" s="2">
        <v>47</v>
      </c>
      <c r="E507" s="3">
        <v>91759</v>
      </c>
      <c r="F507" s="2" t="s">
        <v>38</v>
      </c>
      <c r="G507" s="2" t="s">
        <v>18</v>
      </c>
      <c r="H507" t="str">
        <f t="shared" si="7"/>
        <v>Review</v>
      </c>
    </row>
    <row r="508" spans="1:8">
      <c r="A508" s="2">
        <v>507</v>
      </c>
      <c r="B508" s="2" t="s">
        <v>65</v>
      </c>
      <c r="C508" s="2" t="s">
        <v>12</v>
      </c>
      <c r="D508" s="2">
        <v>8</v>
      </c>
      <c r="E508" s="3">
        <v>56812</v>
      </c>
      <c r="F508" s="2" t="s">
        <v>17</v>
      </c>
      <c r="G508" s="2" t="s">
        <v>10</v>
      </c>
      <c r="H508" t="str">
        <f t="shared" si="7"/>
        <v>Standard</v>
      </c>
    </row>
    <row r="509" spans="1:8">
      <c r="A509" s="2">
        <v>508</v>
      </c>
      <c r="B509" s="2" t="s">
        <v>19</v>
      </c>
      <c r="C509" s="2" t="s">
        <v>8</v>
      </c>
      <c r="D509" s="2">
        <v>50</v>
      </c>
      <c r="E509" s="3">
        <v>77603</v>
      </c>
      <c r="F509" s="2" t="s">
        <v>32</v>
      </c>
      <c r="G509" s="2" t="s">
        <v>14</v>
      </c>
      <c r="H509" t="str">
        <f t="shared" si="7"/>
        <v>Review</v>
      </c>
    </row>
    <row r="510" spans="1:8">
      <c r="A510" s="2">
        <v>509</v>
      </c>
      <c r="B510" s="2" t="s">
        <v>49</v>
      </c>
      <c r="C510" s="2" t="s">
        <v>8</v>
      </c>
      <c r="D510" s="2">
        <v>2</v>
      </c>
      <c r="E510" s="3">
        <v>75496</v>
      </c>
      <c r="F510" s="2" t="s">
        <v>17</v>
      </c>
      <c r="G510" s="2" t="s">
        <v>29</v>
      </c>
      <c r="H510" t="str">
        <f t="shared" si="7"/>
        <v>Review</v>
      </c>
    </row>
    <row r="511" spans="1:8">
      <c r="A511" s="2">
        <v>510</v>
      </c>
      <c r="B511" s="2" t="s">
        <v>80</v>
      </c>
      <c r="C511" s="2" t="s">
        <v>8</v>
      </c>
      <c r="D511" s="2">
        <v>22</v>
      </c>
      <c r="E511" s="3">
        <v>75882</v>
      </c>
      <c r="F511" s="2" t="s">
        <v>20</v>
      </c>
      <c r="G511" s="2" t="s">
        <v>23</v>
      </c>
      <c r="H511" t="str">
        <f t="shared" si="7"/>
        <v>Review</v>
      </c>
    </row>
    <row r="512" spans="1:8">
      <c r="A512" s="2">
        <v>511</v>
      </c>
      <c r="B512" s="2" t="s">
        <v>64</v>
      </c>
      <c r="C512" s="2" t="s">
        <v>22</v>
      </c>
      <c r="D512" s="2">
        <v>28</v>
      </c>
      <c r="E512" s="3">
        <v>91179</v>
      </c>
      <c r="F512" s="2" t="s">
        <v>13</v>
      </c>
      <c r="G512" s="2" t="s">
        <v>14</v>
      </c>
      <c r="H512" t="str">
        <f t="shared" si="7"/>
        <v>Review</v>
      </c>
    </row>
    <row r="513" spans="1:8">
      <c r="A513" s="2">
        <v>512</v>
      </c>
      <c r="B513" s="2" t="s">
        <v>83</v>
      </c>
      <c r="C513" s="2" t="s">
        <v>8</v>
      </c>
      <c r="D513" s="2">
        <v>18</v>
      </c>
      <c r="E513" s="3">
        <v>84959</v>
      </c>
      <c r="F513" s="2" t="s">
        <v>32</v>
      </c>
      <c r="G513" s="2" t="s">
        <v>18</v>
      </c>
      <c r="H513" t="str">
        <f t="shared" si="7"/>
        <v>Review</v>
      </c>
    </row>
    <row r="514" spans="1:8">
      <c r="A514" s="2">
        <v>513</v>
      </c>
      <c r="B514" s="2" t="s">
        <v>11</v>
      </c>
      <c r="C514" s="2" t="s">
        <v>8</v>
      </c>
      <c r="D514" s="2">
        <v>34</v>
      </c>
      <c r="E514" s="3">
        <v>76373</v>
      </c>
      <c r="F514" s="2" t="s">
        <v>9</v>
      </c>
      <c r="G514" s="2" t="s">
        <v>18</v>
      </c>
      <c r="H514" t="str">
        <f t="shared" si="7"/>
        <v>Review</v>
      </c>
    </row>
    <row r="515" spans="1:8">
      <c r="A515" s="2">
        <v>514</v>
      </c>
      <c r="B515" s="2" t="s">
        <v>11</v>
      </c>
      <c r="C515" s="2" t="s">
        <v>16</v>
      </c>
      <c r="D515" s="2">
        <v>5</v>
      </c>
      <c r="E515" s="3">
        <v>57822</v>
      </c>
      <c r="F515" s="2" t="s">
        <v>25</v>
      </c>
      <c r="G515" s="2" t="s">
        <v>29</v>
      </c>
      <c r="H515" t="str">
        <f t="shared" ref="H515:H578" si="8">IF(AND(F515="Electric",E515&gt;45000),"Urgent",IF(OR(F515="Hybrid",E515&gt;60000),"Review","Standard"))</f>
        <v>Standard</v>
      </c>
    </row>
    <row r="516" spans="1:8">
      <c r="A516" s="2">
        <v>515</v>
      </c>
      <c r="B516" s="2" t="s">
        <v>37</v>
      </c>
      <c r="C516" s="2" t="s">
        <v>22</v>
      </c>
      <c r="D516" s="2">
        <v>17</v>
      </c>
      <c r="E516" s="3">
        <v>74791</v>
      </c>
      <c r="F516" s="2" t="s">
        <v>28</v>
      </c>
      <c r="G516" s="2" t="s">
        <v>23</v>
      </c>
      <c r="H516" t="str">
        <f t="shared" si="8"/>
        <v>Review</v>
      </c>
    </row>
    <row r="517" spans="1:8">
      <c r="A517" s="2">
        <v>516</v>
      </c>
      <c r="B517" s="2" t="s">
        <v>73</v>
      </c>
      <c r="C517" s="2" t="s">
        <v>22</v>
      </c>
      <c r="D517" s="2">
        <v>46</v>
      </c>
      <c r="E517" s="3">
        <v>68651</v>
      </c>
      <c r="F517" s="2" t="s">
        <v>17</v>
      </c>
      <c r="G517" s="2" t="s">
        <v>18</v>
      </c>
      <c r="H517" t="str">
        <f t="shared" si="8"/>
        <v>Review</v>
      </c>
    </row>
    <row r="518" spans="1:8">
      <c r="A518" s="2">
        <v>517</v>
      </c>
      <c r="B518" s="2" t="s">
        <v>33</v>
      </c>
      <c r="C518" s="2" t="s">
        <v>12</v>
      </c>
      <c r="D518" s="2">
        <v>37</v>
      </c>
      <c r="E518" s="3">
        <v>55349</v>
      </c>
      <c r="F518" s="2" t="s">
        <v>13</v>
      </c>
      <c r="G518" s="2" t="s">
        <v>18</v>
      </c>
      <c r="H518" t="str">
        <f t="shared" si="8"/>
        <v>Standard</v>
      </c>
    </row>
    <row r="519" spans="1:8">
      <c r="A519" s="2">
        <v>518</v>
      </c>
      <c r="B519" s="2" t="s">
        <v>60</v>
      </c>
      <c r="C519" s="2" t="s">
        <v>8</v>
      </c>
      <c r="D519" s="2">
        <v>41</v>
      </c>
      <c r="E519" s="3">
        <v>90580</v>
      </c>
      <c r="F519" s="2" t="s">
        <v>17</v>
      </c>
      <c r="G519" s="2" t="s">
        <v>18</v>
      </c>
      <c r="H519" t="str">
        <f t="shared" si="8"/>
        <v>Review</v>
      </c>
    </row>
    <row r="520" spans="1:8">
      <c r="A520" s="2">
        <v>519</v>
      </c>
      <c r="B520" s="2" t="s">
        <v>94</v>
      </c>
      <c r="C520" s="2" t="s">
        <v>16</v>
      </c>
      <c r="D520" s="2">
        <v>5</v>
      </c>
      <c r="E520" s="3">
        <v>85240</v>
      </c>
      <c r="F520" s="2" t="s">
        <v>20</v>
      </c>
      <c r="G520" s="2" t="s">
        <v>14</v>
      </c>
      <c r="H520" t="str">
        <f t="shared" si="8"/>
        <v>Review</v>
      </c>
    </row>
    <row r="521" spans="1:8">
      <c r="A521" s="2">
        <v>520</v>
      </c>
      <c r="B521" s="2" t="s">
        <v>59</v>
      </c>
      <c r="C521" s="2" t="s">
        <v>12</v>
      </c>
      <c r="D521" s="2">
        <v>32</v>
      </c>
      <c r="E521" s="3">
        <v>80364</v>
      </c>
      <c r="F521" s="2" t="s">
        <v>20</v>
      </c>
      <c r="G521" s="2" t="s">
        <v>26</v>
      </c>
      <c r="H521" t="str">
        <f t="shared" si="8"/>
        <v>Review</v>
      </c>
    </row>
    <row r="522" spans="1:8">
      <c r="A522" s="2">
        <v>521</v>
      </c>
      <c r="B522" s="2" t="s">
        <v>40</v>
      </c>
      <c r="C522" s="2" t="s">
        <v>8</v>
      </c>
      <c r="D522" s="2">
        <v>30</v>
      </c>
      <c r="E522" s="3">
        <v>59766</v>
      </c>
      <c r="F522" s="2" t="s">
        <v>20</v>
      </c>
      <c r="G522" s="2" t="s">
        <v>14</v>
      </c>
      <c r="H522" t="str">
        <f t="shared" si="8"/>
        <v>Standard</v>
      </c>
    </row>
    <row r="523" spans="1:8">
      <c r="A523" s="2">
        <v>522</v>
      </c>
      <c r="B523" s="2" t="s">
        <v>21</v>
      </c>
      <c r="C523" s="2" t="s">
        <v>22</v>
      </c>
      <c r="D523" s="2">
        <v>33</v>
      </c>
      <c r="E523" s="3">
        <v>37650</v>
      </c>
      <c r="F523" s="2" t="s">
        <v>38</v>
      </c>
      <c r="G523" s="2" t="s">
        <v>23</v>
      </c>
      <c r="H523" t="str">
        <f t="shared" si="8"/>
        <v>Standard</v>
      </c>
    </row>
    <row r="524" spans="1:8">
      <c r="A524" s="2">
        <v>523</v>
      </c>
      <c r="B524" s="2" t="s">
        <v>79</v>
      </c>
      <c r="C524" s="2" t="s">
        <v>8</v>
      </c>
      <c r="D524" s="2">
        <v>24</v>
      </c>
      <c r="E524" s="3">
        <v>92025</v>
      </c>
      <c r="F524" s="2" t="s">
        <v>25</v>
      </c>
      <c r="G524" s="2" t="s">
        <v>29</v>
      </c>
      <c r="H524" t="str">
        <f t="shared" si="8"/>
        <v>Review</v>
      </c>
    </row>
    <row r="525" spans="1:8">
      <c r="A525" s="2">
        <v>524</v>
      </c>
      <c r="B525" s="2" t="s">
        <v>78</v>
      </c>
      <c r="C525" s="2" t="s">
        <v>8</v>
      </c>
      <c r="D525" s="2">
        <v>4</v>
      </c>
      <c r="E525" s="3">
        <v>26303</v>
      </c>
      <c r="F525" s="2" t="s">
        <v>25</v>
      </c>
      <c r="G525" s="2" t="s">
        <v>23</v>
      </c>
      <c r="H525" t="str">
        <f t="shared" si="8"/>
        <v>Standard</v>
      </c>
    </row>
    <row r="526" spans="1:8">
      <c r="A526" s="2">
        <v>525</v>
      </c>
      <c r="B526" s="2" t="s">
        <v>82</v>
      </c>
      <c r="C526" s="2" t="s">
        <v>16</v>
      </c>
      <c r="D526" s="2">
        <v>32</v>
      </c>
      <c r="E526" s="3">
        <v>55668</v>
      </c>
      <c r="F526" s="2" t="s">
        <v>38</v>
      </c>
      <c r="G526" s="2" t="s">
        <v>26</v>
      </c>
      <c r="H526" t="str">
        <f t="shared" si="8"/>
        <v>Standard</v>
      </c>
    </row>
    <row r="527" spans="1:8">
      <c r="A527" s="2">
        <v>526</v>
      </c>
      <c r="B527" s="2" t="s">
        <v>64</v>
      </c>
      <c r="C527" s="2" t="s">
        <v>16</v>
      </c>
      <c r="D527" s="2">
        <v>37</v>
      </c>
      <c r="E527" s="3">
        <v>79334</v>
      </c>
      <c r="F527" s="2" t="s">
        <v>32</v>
      </c>
      <c r="G527" s="2" t="s">
        <v>29</v>
      </c>
      <c r="H527" t="str">
        <f t="shared" si="8"/>
        <v>Review</v>
      </c>
    </row>
    <row r="528" spans="1:8">
      <c r="A528" s="2">
        <v>527</v>
      </c>
      <c r="B528" s="2" t="s">
        <v>50</v>
      </c>
      <c r="C528" s="2" t="s">
        <v>16</v>
      </c>
      <c r="D528" s="2">
        <v>11</v>
      </c>
      <c r="E528" s="3">
        <v>38842</v>
      </c>
      <c r="F528" s="2" t="s">
        <v>20</v>
      </c>
      <c r="G528" s="2" t="s">
        <v>26</v>
      </c>
      <c r="H528" t="str">
        <f t="shared" si="8"/>
        <v>Standard</v>
      </c>
    </row>
    <row r="529" spans="1:8">
      <c r="A529" s="2">
        <v>528</v>
      </c>
      <c r="B529" s="2" t="s">
        <v>76</v>
      </c>
      <c r="C529" s="2" t="s">
        <v>12</v>
      </c>
      <c r="D529" s="2">
        <v>24</v>
      </c>
      <c r="E529" s="3">
        <v>36596</v>
      </c>
      <c r="F529" s="2" t="s">
        <v>9</v>
      </c>
      <c r="G529" s="2" t="s">
        <v>10</v>
      </c>
      <c r="H529" t="str">
        <f t="shared" si="8"/>
        <v>Standard</v>
      </c>
    </row>
    <row r="530" spans="1:8">
      <c r="A530" s="2">
        <v>529</v>
      </c>
      <c r="B530" s="2" t="s">
        <v>27</v>
      </c>
      <c r="C530" s="2" t="s">
        <v>16</v>
      </c>
      <c r="D530" s="2">
        <v>11</v>
      </c>
      <c r="E530" s="3">
        <v>29286</v>
      </c>
      <c r="F530" s="2" t="s">
        <v>32</v>
      </c>
      <c r="G530" s="2" t="s">
        <v>18</v>
      </c>
      <c r="H530" t="str">
        <f t="shared" si="8"/>
        <v>Standard</v>
      </c>
    </row>
    <row r="531" spans="1:8">
      <c r="A531" s="2">
        <v>530</v>
      </c>
      <c r="B531" s="2" t="s">
        <v>47</v>
      </c>
      <c r="C531" s="2" t="s">
        <v>12</v>
      </c>
      <c r="D531" s="2">
        <v>17</v>
      </c>
      <c r="E531" s="3">
        <v>61575</v>
      </c>
      <c r="F531" s="2" t="s">
        <v>20</v>
      </c>
      <c r="G531" s="2" t="s">
        <v>29</v>
      </c>
      <c r="H531" t="str">
        <f t="shared" si="8"/>
        <v>Review</v>
      </c>
    </row>
    <row r="532" spans="1:8">
      <c r="A532" s="2">
        <v>531</v>
      </c>
      <c r="B532" s="2" t="s">
        <v>64</v>
      </c>
      <c r="C532" s="2" t="s">
        <v>8</v>
      </c>
      <c r="D532" s="2">
        <v>50</v>
      </c>
      <c r="E532" s="3">
        <v>98320</v>
      </c>
      <c r="F532" s="2" t="s">
        <v>38</v>
      </c>
      <c r="G532" s="2" t="s">
        <v>18</v>
      </c>
      <c r="H532" t="str">
        <f t="shared" si="8"/>
        <v>Review</v>
      </c>
    </row>
    <row r="533" spans="1:8">
      <c r="A533" s="2">
        <v>532</v>
      </c>
      <c r="B533" s="2" t="s">
        <v>46</v>
      </c>
      <c r="C533" s="2" t="s">
        <v>12</v>
      </c>
      <c r="D533" s="2">
        <v>7</v>
      </c>
      <c r="E533" s="3">
        <v>36375</v>
      </c>
      <c r="F533" s="2" t="s">
        <v>13</v>
      </c>
      <c r="G533" s="2" t="s">
        <v>26</v>
      </c>
      <c r="H533" t="str">
        <f t="shared" si="8"/>
        <v>Standard</v>
      </c>
    </row>
    <row r="534" spans="1:8">
      <c r="A534" s="2">
        <v>533</v>
      </c>
      <c r="B534" s="2" t="s">
        <v>81</v>
      </c>
      <c r="C534" s="2" t="s">
        <v>12</v>
      </c>
      <c r="D534" s="2">
        <v>37</v>
      </c>
      <c r="E534" s="3">
        <v>90916</v>
      </c>
      <c r="F534" s="2" t="s">
        <v>9</v>
      </c>
      <c r="G534" s="2" t="s">
        <v>29</v>
      </c>
      <c r="H534" t="str">
        <f t="shared" si="8"/>
        <v>Review</v>
      </c>
    </row>
    <row r="535" spans="1:8">
      <c r="A535" s="2">
        <v>534</v>
      </c>
      <c r="B535" s="2" t="s">
        <v>94</v>
      </c>
      <c r="C535" s="2" t="s">
        <v>16</v>
      </c>
      <c r="D535" s="2">
        <v>44</v>
      </c>
      <c r="E535" s="3">
        <v>29614</v>
      </c>
      <c r="F535" s="2" t="s">
        <v>28</v>
      </c>
      <c r="G535" s="2" t="s">
        <v>10</v>
      </c>
      <c r="H535" t="str">
        <f t="shared" si="8"/>
        <v>Standard</v>
      </c>
    </row>
    <row r="536" spans="1:8">
      <c r="A536" s="2">
        <v>535</v>
      </c>
      <c r="B536" s="2" t="s">
        <v>89</v>
      </c>
      <c r="C536" s="2" t="s">
        <v>16</v>
      </c>
      <c r="D536" s="2">
        <v>47</v>
      </c>
      <c r="E536" s="3">
        <v>30280</v>
      </c>
      <c r="F536" s="2" t="s">
        <v>38</v>
      </c>
      <c r="G536" s="2" t="s">
        <v>29</v>
      </c>
      <c r="H536" t="str">
        <f t="shared" si="8"/>
        <v>Standard</v>
      </c>
    </row>
    <row r="537" spans="1:8">
      <c r="A537" s="2">
        <v>536</v>
      </c>
      <c r="B537" s="2" t="s">
        <v>75</v>
      </c>
      <c r="C537" s="2" t="s">
        <v>22</v>
      </c>
      <c r="D537" s="2">
        <v>8</v>
      </c>
      <c r="E537" s="3">
        <v>40452</v>
      </c>
      <c r="F537" s="2" t="s">
        <v>17</v>
      </c>
      <c r="G537" s="2" t="s">
        <v>23</v>
      </c>
      <c r="H537" t="str">
        <f t="shared" si="8"/>
        <v>Standard</v>
      </c>
    </row>
    <row r="538" spans="1:8">
      <c r="A538" s="2">
        <v>537</v>
      </c>
      <c r="B538" s="2" t="s">
        <v>37</v>
      </c>
      <c r="C538" s="2" t="s">
        <v>12</v>
      </c>
      <c r="D538" s="2">
        <v>15</v>
      </c>
      <c r="E538" s="3">
        <v>73087</v>
      </c>
      <c r="F538" s="2" t="s">
        <v>32</v>
      </c>
      <c r="G538" s="2" t="s">
        <v>14</v>
      </c>
      <c r="H538" t="str">
        <f t="shared" si="8"/>
        <v>Review</v>
      </c>
    </row>
    <row r="539" spans="1:8">
      <c r="A539" s="2">
        <v>538</v>
      </c>
      <c r="B539" s="2" t="s">
        <v>7</v>
      </c>
      <c r="C539" s="2" t="s">
        <v>8</v>
      </c>
      <c r="D539" s="2">
        <v>48</v>
      </c>
      <c r="E539" s="3">
        <v>41300</v>
      </c>
      <c r="F539" s="2" t="s">
        <v>20</v>
      </c>
      <c r="G539" s="2" t="s">
        <v>18</v>
      </c>
      <c r="H539" t="str">
        <f t="shared" si="8"/>
        <v>Standard</v>
      </c>
    </row>
    <row r="540" spans="1:8">
      <c r="A540" s="2">
        <v>539</v>
      </c>
      <c r="B540" s="2" t="s">
        <v>94</v>
      </c>
      <c r="C540" s="2" t="s">
        <v>22</v>
      </c>
      <c r="D540" s="2">
        <v>33</v>
      </c>
      <c r="E540" s="3">
        <v>36819</v>
      </c>
      <c r="F540" s="2" t="s">
        <v>38</v>
      </c>
      <c r="G540" s="2" t="s">
        <v>14</v>
      </c>
      <c r="H540" t="str">
        <f t="shared" si="8"/>
        <v>Standard</v>
      </c>
    </row>
    <row r="541" spans="1:8">
      <c r="A541" s="2">
        <v>540</v>
      </c>
      <c r="B541" s="2" t="s">
        <v>24</v>
      </c>
      <c r="C541" s="2" t="s">
        <v>22</v>
      </c>
      <c r="D541" s="2">
        <v>1</v>
      </c>
      <c r="E541" s="3">
        <v>97304</v>
      </c>
      <c r="F541" s="2" t="s">
        <v>32</v>
      </c>
      <c r="G541" s="2" t="s">
        <v>29</v>
      </c>
      <c r="H541" t="str">
        <f t="shared" si="8"/>
        <v>Review</v>
      </c>
    </row>
    <row r="542" spans="1:8">
      <c r="A542" s="2">
        <v>541</v>
      </c>
      <c r="B542" s="2" t="s">
        <v>88</v>
      </c>
      <c r="C542" s="2" t="s">
        <v>22</v>
      </c>
      <c r="D542" s="2">
        <v>3</v>
      </c>
      <c r="E542" s="3">
        <v>76299</v>
      </c>
      <c r="F542" s="2" t="s">
        <v>9</v>
      </c>
      <c r="G542" s="2" t="s">
        <v>23</v>
      </c>
      <c r="H542" t="str">
        <f t="shared" si="8"/>
        <v>Review</v>
      </c>
    </row>
    <row r="543" spans="1:8">
      <c r="A543" s="2">
        <v>542</v>
      </c>
      <c r="B543" s="2" t="s">
        <v>87</v>
      </c>
      <c r="C543" s="2" t="s">
        <v>16</v>
      </c>
      <c r="D543" s="2">
        <v>1</v>
      </c>
      <c r="E543" s="3">
        <v>32137</v>
      </c>
      <c r="F543" s="2" t="s">
        <v>20</v>
      </c>
      <c r="G543" s="2" t="s">
        <v>29</v>
      </c>
      <c r="H543" t="str">
        <f t="shared" si="8"/>
        <v>Standard</v>
      </c>
    </row>
    <row r="544" spans="1:8">
      <c r="A544" s="2">
        <v>543</v>
      </c>
      <c r="B544" s="2" t="s">
        <v>87</v>
      </c>
      <c r="C544" s="2" t="s">
        <v>16</v>
      </c>
      <c r="D544" s="2">
        <v>16</v>
      </c>
      <c r="E544" s="3">
        <v>85083</v>
      </c>
      <c r="F544" s="2" t="s">
        <v>9</v>
      </c>
      <c r="G544" s="2" t="s">
        <v>10</v>
      </c>
      <c r="H544" t="str">
        <f t="shared" si="8"/>
        <v>Review</v>
      </c>
    </row>
    <row r="545" spans="1:8">
      <c r="A545" s="2">
        <v>544</v>
      </c>
      <c r="B545" s="2" t="s">
        <v>93</v>
      </c>
      <c r="C545" s="2" t="s">
        <v>16</v>
      </c>
      <c r="D545" s="2">
        <v>3</v>
      </c>
      <c r="E545" s="3">
        <v>93655</v>
      </c>
      <c r="F545" s="2" t="s">
        <v>38</v>
      </c>
      <c r="G545" s="2" t="s">
        <v>10</v>
      </c>
      <c r="H545" t="str">
        <f t="shared" si="8"/>
        <v>Review</v>
      </c>
    </row>
    <row r="546" spans="1:8">
      <c r="A546" s="2">
        <v>545</v>
      </c>
      <c r="B546" s="2" t="s">
        <v>48</v>
      </c>
      <c r="C546" s="2" t="s">
        <v>8</v>
      </c>
      <c r="D546" s="2">
        <v>31</v>
      </c>
      <c r="E546" s="3">
        <v>90693</v>
      </c>
      <c r="F546" s="2" t="s">
        <v>17</v>
      </c>
      <c r="G546" s="2" t="s">
        <v>10</v>
      </c>
      <c r="H546" t="str">
        <f t="shared" si="8"/>
        <v>Review</v>
      </c>
    </row>
    <row r="547" spans="1:8">
      <c r="A547" s="2">
        <v>546</v>
      </c>
      <c r="B547" s="2" t="s">
        <v>43</v>
      </c>
      <c r="C547" s="2" t="s">
        <v>12</v>
      </c>
      <c r="D547" s="2">
        <v>24</v>
      </c>
      <c r="E547" s="3">
        <v>39973</v>
      </c>
      <c r="F547" s="2" t="s">
        <v>13</v>
      </c>
      <c r="G547" s="2" t="s">
        <v>29</v>
      </c>
      <c r="H547" t="str">
        <f t="shared" si="8"/>
        <v>Standard</v>
      </c>
    </row>
    <row r="548" spans="1:8">
      <c r="A548" s="2">
        <v>547</v>
      </c>
      <c r="B548" s="2" t="s">
        <v>54</v>
      </c>
      <c r="C548" s="2" t="s">
        <v>22</v>
      </c>
      <c r="D548" s="2">
        <v>25</v>
      </c>
      <c r="E548" s="3">
        <v>89748</v>
      </c>
      <c r="F548" s="2" t="s">
        <v>17</v>
      </c>
      <c r="G548" s="2" t="s">
        <v>26</v>
      </c>
      <c r="H548" t="str">
        <f t="shared" si="8"/>
        <v>Review</v>
      </c>
    </row>
    <row r="549" spans="1:8">
      <c r="A549" s="2">
        <v>548</v>
      </c>
      <c r="B549" s="2" t="s">
        <v>57</v>
      </c>
      <c r="C549" s="2" t="s">
        <v>16</v>
      </c>
      <c r="D549" s="2">
        <v>10</v>
      </c>
      <c r="E549" s="3">
        <v>64646</v>
      </c>
      <c r="F549" s="2" t="s">
        <v>38</v>
      </c>
      <c r="G549" s="2" t="s">
        <v>10</v>
      </c>
      <c r="H549" t="str">
        <f t="shared" si="8"/>
        <v>Review</v>
      </c>
    </row>
    <row r="550" spans="1:8">
      <c r="A550" s="2">
        <v>549</v>
      </c>
      <c r="B550" s="2" t="s">
        <v>79</v>
      </c>
      <c r="C550" s="2" t="s">
        <v>12</v>
      </c>
      <c r="D550" s="2">
        <v>12</v>
      </c>
      <c r="E550" s="3">
        <v>76522</v>
      </c>
      <c r="F550" s="2" t="s">
        <v>28</v>
      </c>
      <c r="G550" s="2" t="s">
        <v>26</v>
      </c>
      <c r="H550" t="str">
        <f t="shared" si="8"/>
        <v>Review</v>
      </c>
    </row>
    <row r="551" spans="1:8">
      <c r="A551" s="2">
        <v>550</v>
      </c>
      <c r="B551" s="2" t="s">
        <v>39</v>
      </c>
      <c r="C551" s="2" t="s">
        <v>22</v>
      </c>
      <c r="D551" s="2">
        <v>3</v>
      </c>
      <c r="E551" s="3">
        <v>99360</v>
      </c>
      <c r="F551" s="2" t="s">
        <v>38</v>
      </c>
      <c r="G551" s="2" t="s">
        <v>26</v>
      </c>
      <c r="H551" t="str">
        <f t="shared" si="8"/>
        <v>Review</v>
      </c>
    </row>
    <row r="552" spans="1:8">
      <c r="A552" s="2">
        <v>551</v>
      </c>
      <c r="B552" s="2" t="s">
        <v>88</v>
      </c>
      <c r="C552" s="2" t="s">
        <v>12</v>
      </c>
      <c r="D552" s="2">
        <v>36</v>
      </c>
      <c r="E552" s="3">
        <v>36497</v>
      </c>
      <c r="F552" s="2" t="s">
        <v>20</v>
      </c>
      <c r="G552" s="2" t="s">
        <v>29</v>
      </c>
      <c r="H552" t="str">
        <f t="shared" si="8"/>
        <v>Standard</v>
      </c>
    </row>
    <row r="553" spans="1:8">
      <c r="A553" s="2">
        <v>552</v>
      </c>
      <c r="B553" s="2" t="s">
        <v>50</v>
      </c>
      <c r="C553" s="2" t="s">
        <v>22</v>
      </c>
      <c r="D553" s="2">
        <v>46</v>
      </c>
      <c r="E553" s="3">
        <v>91104</v>
      </c>
      <c r="F553" s="2" t="s">
        <v>28</v>
      </c>
      <c r="G553" s="2" t="s">
        <v>29</v>
      </c>
      <c r="H553" t="str">
        <f t="shared" si="8"/>
        <v>Review</v>
      </c>
    </row>
    <row r="554" spans="1:8">
      <c r="A554" s="2">
        <v>553</v>
      </c>
      <c r="B554" s="2" t="s">
        <v>94</v>
      </c>
      <c r="C554" s="2" t="s">
        <v>12</v>
      </c>
      <c r="D554" s="2">
        <v>48</v>
      </c>
      <c r="E554" s="3">
        <v>43921</v>
      </c>
      <c r="F554" s="2" t="s">
        <v>20</v>
      </c>
      <c r="G554" s="2" t="s">
        <v>23</v>
      </c>
      <c r="H554" t="str">
        <f t="shared" si="8"/>
        <v>Standard</v>
      </c>
    </row>
    <row r="555" spans="1:8">
      <c r="A555" s="2">
        <v>554</v>
      </c>
      <c r="B555" s="2" t="s">
        <v>73</v>
      </c>
      <c r="C555" s="2" t="s">
        <v>16</v>
      </c>
      <c r="D555" s="2">
        <v>42</v>
      </c>
      <c r="E555" s="3">
        <v>93215</v>
      </c>
      <c r="F555" s="2" t="s">
        <v>32</v>
      </c>
      <c r="G555" s="2" t="s">
        <v>26</v>
      </c>
      <c r="H555" t="str">
        <f t="shared" si="8"/>
        <v>Review</v>
      </c>
    </row>
    <row r="556" spans="1:8">
      <c r="A556" s="2">
        <v>555</v>
      </c>
      <c r="B556" s="2" t="s">
        <v>15</v>
      </c>
      <c r="C556" s="2" t="s">
        <v>12</v>
      </c>
      <c r="D556" s="2">
        <v>27</v>
      </c>
      <c r="E556" s="3">
        <v>72467</v>
      </c>
      <c r="F556" s="2" t="s">
        <v>20</v>
      </c>
      <c r="G556" s="2" t="s">
        <v>18</v>
      </c>
      <c r="H556" t="str">
        <f t="shared" si="8"/>
        <v>Review</v>
      </c>
    </row>
    <row r="557" spans="1:8">
      <c r="A557" s="2">
        <v>556</v>
      </c>
      <c r="B557" s="2" t="s">
        <v>21</v>
      </c>
      <c r="C557" s="2" t="s">
        <v>12</v>
      </c>
      <c r="D557" s="2">
        <v>15</v>
      </c>
      <c r="E557" s="3">
        <v>73063</v>
      </c>
      <c r="F557" s="2" t="s">
        <v>20</v>
      </c>
      <c r="G557" s="2" t="s">
        <v>14</v>
      </c>
      <c r="H557" t="str">
        <f t="shared" si="8"/>
        <v>Review</v>
      </c>
    </row>
    <row r="558" spans="1:8">
      <c r="A558" s="2">
        <v>557</v>
      </c>
      <c r="B558" s="2" t="s">
        <v>86</v>
      </c>
      <c r="C558" s="2" t="s">
        <v>22</v>
      </c>
      <c r="D558" s="2">
        <v>21</v>
      </c>
      <c r="E558" s="3">
        <v>66942</v>
      </c>
      <c r="F558" s="2" t="s">
        <v>32</v>
      </c>
      <c r="G558" s="2" t="s">
        <v>26</v>
      </c>
      <c r="H558" t="str">
        <f t="shared" si="8"/>
        <v>Review</v>
      </c>
    </row>
    <row r="559" spans="1:8">
      <c r="A559" s="2">
        <v>558</v>
      </c>
      <c r="B559" s="2" t="s">
        <v>39</v>
      </c>
      <c r="C559" s="2" t="s">
        <v>12</v>
      </c>
      <c r="D559" s="2">
        <v>16</v>
      </c>
      <c r="E559" s="3">
        <v>35441</v>
      </c>
      <c r="F559" s="2" t="s">
        <v>13</v>
      </c>
      <c r="G559" s="2" t="s">
        <v>18</v>
      </c>
      <c r="H559" t="str">
        <f t="shared" si="8"/>
        <v>Standard</v>
      </c>
    </row>
    <row r="560" spans="1:8">
      <c r="A560" s="2">
        <v>559</v>
      </c>
      <c r="B560" s="2" t="s">
        <v>56</v>
      </c>
      <c r="C560" s="2" t="s">
        <v>8</v>
      </c>
      <c r="D560" s="2">
        <v>27</v>
      </c>
      <c r="E560" s="3">
        <v>74626</v>
      </c>
      <c r="F560" s="2" t="s">
        <v>32</v>
      </c>
      <c r="G560" s="2" t="s">
        <v>14</v>
      </c>
      <c r="H560" t="str">
        <f t="shared" si="8"/>
        <v>Review</v>
      </c>
    </row>
    <row r="561" spans="1:8">
      <c r="A561" s="2">
        <v>560</v>
      </c>
      <c r="B561" s="2" t="s">
        <v>19</v>
      </c>
      <c r="C561" s="2" t="s">
        <v>22</v>
      </c>
      <c r="D561" s="2">
        <v>47</v>
      </c>
      <c r="E561" s="3">
        <v>28491</v>
      </c>
      <c r="F561" s="2" t="s">
        <v>32</v>
      </c>
      <c r="G561" s="2" t="s">
        <v>14</v>
      </c>
      <c r="H561" t="str">
        <f t="shared" si="8"/>
        <v>Standard</v>
      </c>
    </row>
    <row r="562" spans="1:8">
      <c r="A562" s="2">
        <v>561</v>
      </c>
      <c r="B562" s="2" t="s">
        <v>70</v>
      </c>
      <c r="C562" s="2" t="s">
        <v>12</v>
      </c>
      <c r="D562" s="2">
        <v>21</v>
      </c>
      <c r="E562" s="3">
        <v>33673</v>
      </c>
      <c r="F562" s="2" t="s">
        <v>32</v>
      </c>
      <c r="G562" s="2" t="s">
        <v>29</v>
      </c>
      <c r="H562" t="str">
        <f t="shared" si="8"/>
        <v>Standard</v>
      </c>
    </row>
    <row r="563" spans="1:8">
      <c r="A563" s="2">
        <v>562</v>
      </c>
      <c r="B563" s="2" t="s">
        <v>73</v>
      </c>
      <c r="C563" s="2" t="s">
        <v>8</v>
      </c>
      <c r="D563" s="2">
        <v>18</v>
      </c>
      <c r="E563" s="3">
        <v>48239</v>
      </c>
      <c r="F563" s="2" t="s">
        <v>25</v>
      </c>
      <c r="G563" s="2" t="s">
        <v>10</v>
      </c>
      <c r="H563" t="str">
        <f t="shared" si="8"/>
        <v>Standard</v>
      </c>
    </row>
    <row r="564" spans="1:8">
      <c r="A564" s="2">
        <v>563</v>
      </c>
      <c r="B564" s="2" t="s">
        <v>31</v>
      </c>
      <c r="C564" s="2" t="s">
        <v>22</v>
      </c>
      <c r="D564" s="2">
        <v>5</v>
      </c>
      <c r="E564" s="3">
        <v>34831</v>
      </c>
      <c r="F564" s="2" t="s">
        <v>13</v>
      </c>
      <c r="G564" s="2" t="s">
        <v>10</v>
      </c>
      <c r="H564" t="str">
        <f t="shared" si="8"/>
        <v>Standard</v>
      </c>
    </row>
    <row r="565" spans="1:8">
      <c r="A565" s="2">
        <v>564</v>
      </c>
      <c r="B565" s="2" t="s">
        <v>70</v>
      </c>
      <c r="C565" s="2" t="s">
        <v>16</v>
      </c>
      <c r="D565" s="2">
        <v>37</v>
      </c>
      <c r="E565" s="3">
        <v>57389</v>
      </c>
      <c r="F565" s="2" t="s">
        <v>20</v>
      </c>
      <c r="G565" s="2" t="s">
        <v>10</v>
      </c>
      <c r="H565" t="str">
        <f t="shared" si="8"/>
        <v>Standard</v>
      </c>
    </row>
    <row r="566" spans="1:8">
      <c r="A566" s="2">
        <v>565</v>
      </c>
      <c r="B566" s="2" t="s">
        <v>21</v>
      </c>
      <c r="C566" s="2" t="s">
        <v>22</v>
      </c>
      <c r="D566" s="2">
        <v>24</v>
      </c>
      <c r="E566" s="3">
        <v>71636</v>
      </c>
      <c r="F566" s="2" t="s">
        <v>17</v>
      </c>
      <c r="G566" s="2" t="s">
        <v>18</v>
      </c>
      <c r="H566" t="str">
        <f t="shared" si="8"/>
        <v>Review</v>
      </c>
    </row>
    <row r="567" spans="1:8">
      <c r="A567" s="2">
        <v>566</v>
      </c>
      <c r="B567" s="2" t="s">
        <v>55</v>
      </c>
      <c r="C567" s="2" t="s">
        <v>22</v>
      </c>
      <c r="D567" s="2">
        <v>8</v>
      </c>
      <c r="E567" s="3">
        <v>81508</v>
      </c>
      <c r="F567" s="2" t="s">
        <v>9</v>
      </c>
      <c r="G567" s="2" t="s">
        <v>10</v>
      </c>
      <c r="H567" t="str">
        <f t="shared" si="8"/>
        <v>Review</v>
      </c>
    </row>
    <row r="568" spans="1:8">
      <c r="A568" s="2">
        <v>567</v>
      </c>
      <c r="B568" s="2" t="s">
        <v>52</v>
      </c>
      <c r="C568" s="2" t="s">
        <v>12</v>
      </c>
      <c r="D568" s="2">
        <v>33</v>
      </c>
      <c r="E568" s="3">
        <v>42911</v>
      </c>
      <c r="F568" s="2" t="s">
        <v>13</v>
      </c>
      <c r="G568" s="2" t="s">
        <v>26</v>
      </c>
      <c r="H568" t="str">
        <f t="shared" si="8"/>
        <v>Standard</v>
      </c>
    </row>
    <row r="569" spans="1:8">
      <c r="A569" s="2">
        <v>568</v>
      </c>
      <c r="B569" s="2" t="s">
        <v>92</v>
      </c>
      <c r="C569" s="2" t="s">
        <v>8</v>
      </c>
      <c r="D569" s="2">
        <v>44</v>
      </c>
      <c r="E569" s="3">
        <v>37120</v>
      </c>
      <c r="F569" s="2" t="s">
        <v>20</v>
      </c>
      <c r="G569" s="2" t="s">
        <v>23</v>
      </c>
      <c r="H569" t="str">
        <f t="shared" si="8"/>
        <v>Standard</v>
      </c>
    </row>
    <row r="570" spans="1:8">
      <c r="A570" s="2">
        <v>569</v>
      </c>
      <c r="B570" s="2" t="s">
        <v>57</v>
      </c>
      <c r="C570" s="2" t="s">
        <v>22</v>
      </c>
      <c r="D570" s="2">
        <v>4</v>
      </c>
      <c r="E570" s="3">
        <v>60164</v>
      </c>
      <c r="F570" s="2" t="s">
        <v>25</v>
      </c>
      <c r="G570" s="2" t="s">
        <v>29</v>
      </c>
      <c r="H570" t="str">
        <f t="shared" si="8"/>
        <v>Review</v>
      </c>
    </row>
    <row r="571" spans="1:8">
      <c r="A571" s="2">
        <v>570</v>
      </c>
      <c r="B571" s="2" t="s">
        <v>60</v>
      </c>
      <c r="C571" s="2" t="s">
        <v>22</v>
      </c>
      <c r="D571" s="2">
        <v>12</v>
      </c>
      <c r="E571" s="3">
        <v>43911</v>
      </c>
      <c r="F571" s="2" t="s">
        <v>25</v>
      </c>
      <c r="G571" s="2" t="s">
        <v>10</v>
      </c>
      <c r="H571" t="str">
        <f t="shared" si="8"/>
        <v>Standard</v>
      </c>
    </row>
    <row r="572" spans="1:8">
      <c r="A572" s="2">
        <v>571</v>
      </c>
      <c r="B572" s="2" t="s">
        <v>72</v>
      </c>
      <c r="C572" s="2" t="s">
        <v>22</v>
      </c>
      <c r="D572" s="2">
        <v>15</v>
      </c>
      <c r="E572" s="3">
        <v>25829</v>
      </c>
      <c r="F572" s="2" t="s">
        <v>13</v>
      </c>
      <c r="G572" s="2" t="s">
        <v>26</v>
      </c>
      <c r="H572" t="str">
        <f t="shared" si="8"/>
        <v>Standard</v>
      </c>
    </row>
    <row r="573" spans="1:8">
      <c r="A573" s="2">
        <v>572</v>
      </c>
      <c r="B573" s="2" t="s">
        <v>46</v>
      </c>
      <c r="C573" s="2" t="s">
        <v>12</v>
      </c>
      <c r="D573" s="2">
        <v>34</v>
      </c>
      <c r="E573" s="3">
        <v>60216</v>
      </c>
      <c r="F573" s="2" t="s">
        <v>17</v>
      </c>
      <c r="G573" s="2" t="s">
        <v>26</v>
      </c>
      <c r="H573" t="str">
        <f t="shared" si="8"/>
        <v>Review</v>
      </c>
    </row>
    <row r="574" spans="1:8">
      <c r="A574" s="2">
        <v>573</v>
      </c>
      <c r="B574" s="2" t="s">
        <v>42</v>
      </c>
      <c r="C574" s="2" t="s">
        <v>22</v>
      </c>
      <c r="D574" s="2">
        <v>3</v>
      </c>
      <c r="E574" s="3">
        <v>82999</v>
      </c>
      <c r="F574" s="2" t="s">
        <v>25</v>
      </c>
      <c r="G574" s="2" t="s">
        <v>10</v>
      </c>
      <c r="H574" t="str">
        <f t="shared" si="8"/>
        <v>Review</v>
      </c>
    </row>
    <row r="575" spans="1:8">
      <c r="A575" s="2">
        <v>574</v>
      </c>
      <c r="B575" s="2" t="s">
        <v>79</v>
      </c>
      <c r="C575" s="2" t="s">
        <v>8</v>
      </c>
      <c r="D575" s="2">
        <v>26</v>
      </c>
      <c r="E575" s="3">
        <v>99562</v>
      </c>
      <c r="F575" s="2" t="s">
        <v>9</v>
      </c>
      <c r="G575" s="2" t="s">
        <v>10</v>
      </c>
      <c r="H575" t="str">
        <f t="shared" si="8"/>
        <v>Review</v>
      </c>
    </row>
    <row r="576" spans="1:8">
      <c r="A576" s="2">
        <v>575</v>
      </c>
      <c r="B576" s="2" t="s">
        <v>83</v>
      </c>
      <c r="C576" s="2" t="s">
        <v>12</v>
      </c>
      <c r="D576" s="2">
        <v>5</v>
      </c>
      <c r="E576" s="3">
        <v>81867</v>
      </c>
      <c r="F576" s="2" t="s">
        <v>17</v>
      </c>
      <c r="G576" s="2" t="s">
        <v>18</v>
      </c>
      <c r="H576" t="str">
        <f t="shared" si="8"/>
        <v>Review</v>
      </c>
    </row>
    <row r="577" spans="1:8">
      <c r="A577" s="2">
        <v>576</v>
      </c>
      <c r="B577" s="2" t="s">
        <v>66</v>
      </c>
      <c r="C577" s="2" t="s">
        <v>16</v>
      </c>
      <c r="D577" s="2">
        <v>30</v>
      </c>
      <c r="E577" s="3">
        <v>50802</v>
      </c>
      <c r="F577" s="2" t="s">
        <v>17</v>
      </c>
      <c r="G577" s="2" t="s">
        <v>29</v>
      </c>
      <c r="H577" t="str">
        <f t="shared" si="8"/>
        <v>Standard</v>
      </c>
    </row>
    <row r="578" spans="1:8">
      <c r="A578" s="2">
        <v>577</v>
      </c>
      <c r="B578" s="2" t="s">
        <v>7</v>
      </c>
      <c r="C578" s="2" t="s">
        <v>16</v>
      </c>
      <c r="D578" s="2">
        <v>19</v>
      </c>
      <c r="E578" s="3">
        <v>70947</v>
      </c>
      <c r="F578" s="2" t="s">
        <v>17</v>
      </c>
      <c r="G578" s="2" t="s">
        <v>23</v>
      </c>
      <c r="H578" t="str">
        <f t="shared" si="8"/>
        <v>Review</v>
      </c>
    </row>
    <row r="579" spans="1:8">
      <c r="A579" s="2">
        <v>578</v>
      </c>
      <c r="B579" s="2" t="s">
        <v>74</v>
      </c>
      <c r="C579" s="2" t="s">
        <v>12</v>
      </c>
      <c r="D579" s="2">
        <v>50</v>
      </c>
      <c r="E579" s="3">
        <v>46825</v>
      </c>
      <c r="F579" s="2" t="s">
        <v>17</v>
      </c>
      <c r="G579" s="2" t="s">
        <v>10</v>
      </c>
      <c r="H579" t="str">
        <f t="shared" ref="H579:H642" si="9">IF(AND(F579="Electric",E579&gt;45000),"Urgent",IF(OR(F579="Hybrid",E579&gt;60000),"Review","Standard"))</f>
        <v>Standard</v>
      </c>
    </row>
    <row r="580" spans="1:8">
      <c r="A580" s="2">
        <v>579</v>
      </c>
      <c r="B580" s="2" t="s">
        <v>47</v>
      </c>
      <c r="C580" s="2" t="s">
        <v>8</v>
      </c>
      <c r="D580" s="2">
        <v>20</v>
      </c>
      <c r="E580" s="3">
        <v>95044</v>
      </c>
      <c r="F580" s="2" t="s">
        <v>13</v>
      </c>
      <c r="G580" s="2" t="s">
        <v>14</v>
      </c>
      <c r="H580" t="str">
        <f t="shared" si="9"/>
        <v>Review</v>
      </c>
    </row>
    <row r="581" spans="1:8">
      <c r="A581" s="2">
        <v>580</v>
      </c>
      <c r="B581" s="2" t="s">
        <v>69</v>
      </c>
      <c r="C581" s="2" t="s">
        <v>12</v>
      </c>
      <c r="D581" s="2">
        <v>21</v>
      </c>
      <c r="E581" s="3">
        <v>91142</v>
      </c>
      <c r="F581" s="2" t="s">
        <v>13</v>
      </c>
      <c r="G581" s="2" t="s">
        <v>18</v>
      </c>
      <c r="H581" t="str">
        <f t="shared" si="9"/>
        <v>Review</v>
      </c>
    </row>
    <row r="582" spans="1:8">
      <c r="A582" s="2">
        <v>581</v>
      </c>
      <c r="B582" s="2" t="s">
        <v>61</v>
      </c>
      <c r="C582" s="2" t="s">
        <v>12</v>
      </c>
      <c r="D582" s="2">
        <v>6</v>
      </c>
      <c r="E582" s="3">
        <v>64988</v>
      </c>
      <c r="F582" s="2" t="s">
        <v>17</v>
      </c>
      <c r="G582" s="2" t="s">
        <v>10</v>
      </c>
      <c r="H582" t="str">
        <f t="shared" si="9"/>
        <v>Review</v>
      </c>
    </row>
    <row r="583" spans="1:8">
      <c r="A583" s="2">
        <v>582</v>
      </c>
      <c r="B583" s="2" t="s">
        <v>84</v>
      </c>
      <c r="C583" s="2" t="s">
        <v>12</v>
      </c>
      <c r="D583" s="2">
        <v>36</v>
      </c>
      <c r="E583" s="3">
        <v>71250</v>
      </c>
      <c r="F583" s="2" t="s">
        <v>32</v>
      </c>
      <c r="G583" s="2" t="s">
        <v>10</v>
      </c>
      <c r="H583" t="str">
        <f t="shared" si="9"/>
        <v>Review</v>
      </c>
    </row>
    <row r="584" spans="1:8">
      <c r="A584" s="2">
        <v>583</v>
      </c>
      <c r="B584" s="2" t="s">
        <v>82</v>
      </c>
      <c r="C584" s="2" t="s">
        <v>12</v>
      </c>
      <c r="D584" s="2">
        <v>30</v>
      </c>
      <c r="E584" s="3">
        <v>36853</v>
      </c>
      <c r="F584" s="2" t="s">
        <v>32</v>
      </c>
      <c r="G584" s="2" t="s">
        <v>26</v>
      </c>
      <c r="H584" t="str">
        <f t="shared" si="9"/>
        <v>Standard</v>
      </c>
    </row>
    <row r="585" spans="1:8">
      <c r="A585" s="2">
        <v>584</v>
      </c>
      <c r="B585" s="2" t="s">
        <v>45</v>
      </c>
      <c r="C585" s="2" t="s">
        <v>22</v>
      </c>
      <c r="D585" s="2">
        <v>1</v>
      </c>
      <c r="E585" s="3">
        <v>95347</v>
      </c>
      <c r="F585" s="2" t="s">
        <v>13</v>
      </c>
      <c r="G585" s="2" t="s">
        <v>18</v>
      </c>
      <c r="H585" t="str">
        <f t="shared" si="9"/>
        <v>Review</v>
      </c>
    </row>
    <row r="586" spans="1:8">
      <c r="A586" s="2">
        <v>585</v>
      </c>
      <c r="B586" s="2" t="s">
        <v>19</v>
      </c>
      <c r="C586" s="2" t="s">
        <v>16</v>
      </c>
      <c r="D586" s="2">
        <v>24</v>
      </c>
      <c r="E586" s="3">
        <v>83598</v>
      </c>
      <c r="F586" s="2" t="s">
        <v>28</v>
      </c>
      <c r="G586" s="2" t="s">
        <v>23</v>
      </c>
      <c r="H586" t="str">
        <f t="shared" si="9"/>
        <v>Review</v>
      </c>
    </row>
    <row r="587" spans="1:8">
      <c r="A587" s="2">
        <v>586</v>
      </c>
      <c r="B587" s="2" t="s">
        <v>41</v>
      </c>
      <c r="C587" s="2" t="s">
        <v>8</v>
      </c>
      <c r="D587" s="2">
        <v>13</v>
      </c>
      <c r="E587" s="3">
        <v>91231</v>
      </c>
      <c r="F587" s="2" t="s">
        <v>17</v>
      </c>
      <c r="G587" s="2" t="s">
        <v>26</v>
      </c>
      <c r="H587" t="str">
        <f t="shared" si="9"/>
        <v>Review</v>
      </c>
    </row>
    <row r="588" spans="1:8">
      <c r="A588" s="2">
        <v>587</v>
      </c>
      <c r="B588" s="2" t="s">
        <v>59</v>
      </c>
      <c r="C588" s="2" t="s">
        <v>22</v>
      </c>
      <c r="D588" s="2">
        <v>19</v>
      </c>
      <c r="E588" s="3">
        <v>62001</v>
      </c>
      <c r="F588" s="2" t="s">
        <v>9</v>
      </c>
      <c r="G588" s="2" t="s">
        <v>14</v>
      </c>
      <c r="H588" t="str">
        <f t="shared" si="9"/>
        <v>Review</v>
      </c>
    </row>
    <row r="589" spans="1:8">
      <c r="A589" s="2">
        <v>588</v>
      </c>
      <c r="B589" s="2" t="s">
        <v>93</v>
      </c>
      <c r="C589" s="2" t="s">
        <v>16</v>
      </c>
      <c r="D589" s="2">
        <v>37</v>
      </c>
      <c r="E589" s="3">
        <v>84428</v>
      </c>
      <c r="F589" s="2" t="s">
        <v>9</v>
      </c>
      <c r="G589" s="2" t="s">
        <v>14</v>
      </c>
      <c r="H589" t="str">
        <f t="shared" si="9"/>
        <v>Review</v>
      </c>
    </row>
    <row r="590" spans="1:8">
      <c r="A590" s="2">
        <v>589</v>
      </c>
      <c r="B590" s="2" t="s">
        <v>36</v>
      </c>
      <c r="C590" s="2" t="s">
        <v>12</v>
      </c>
      <c r="D590" s="2">
        <v>20</v>
      </c>
      <c r="E590" s="3">
        <v>42380</v>
      </c>
      <c r="F590" s="2" t="s">
        <v>13</v>
      </c>
      <c r="G590" s="2" t="s">
        <v>23</v>
      </c>
      <c r="H590" t="str">
        <f t="shared" si="9"/>
        <v>Standard</v>
      </c>
    </row>
    <row r="591" spans="1:8">
      <c r="A591" s="2">
        <v>590</v>
      </c>
      <c r="B591" s="2" t="s">
        <v>63</v>
      </c>
      <c r="C591" s="2" t="s">
        <v>16</v>
      </c>
      <c r="D591" s="2">
        <v>48</v>
      </c>
      <c r="E591" s="3">
        <v>98201</v>
      </c>
      <c r="F591" s="2" t="s">
        <v>38</v>
      </c>
      <c r="G591" s="2" t="s">
        <v>26</v>
      </c>
      <c r="H591" t="str">
        <f t="shared" si="9"/>
        <v>Review</v>
      </c>
    </row>
    <row r="592" spans="1:8">
      <c r="A592" s="2">
        <v>591</v>
      </c>
      <c r="B592" s="2" t="s">
        <v>41</v>
      </c>
      <c r="C592" s="2" t="s">
        <v>16</v>
      </c>
      <c r="D592" s="2">
        <v>40</v>
      </c>
      <c r="E592" s="3">
        <v>67108</v>
      </c>
      <c r="F592" s="2" t="s">
        <v>38</v>
      </c>
      <c r="G592" s="2" t="s">
        <v>18</v>
      </c>
      <c r="H592" t="str">
        <f t="shared" si="9"/>
        <v>Review</v>
      </c>
    </row>
    <row r="593" spans="1:8">
      <c r="A593" s="2">
        <v>592</v>
      </c>
      <c r="B593" s="2" t="s">
        <v>78</v>
      </c>
      <c r="C593" s="2" t="s">
        <v>22</v>
      </c>
      <c r="D593" s="2">
        <v>16</v>
      </c>
      <c r="E593" s="3">
        <v>45986</v>
      </c>
      <c r="F593" s="2" t="s">
        <v>28</v>
      </c>
      <c r="G593" s="2" t="s">
        <v>10</v>
      </c>
      <c r="H593" t="str">
        <f t="shared" si="9"/>
        <v>Standard</v>
      </c>
    </row>
    <row r="594" spans="1:8">
      <c r="A594" s="2">
        <v>593</v>
      </c>
      <c r="B594" s="2" t="s">
        <v>11</v>
      </c>
      <c r="C594" s="2" t="s">
        <v>22</v>
      </c>
      <c r="D594" s="2">
        <v>30</v>
      </c>
      <c r="E594" s="3">
        <v>80023</v>
      </c>
      <c r="F594" s="2" t="s">
        <v>38</v>
      </c>
      <c r="G594" s="2" t="s">
        <v>23</v>
      </c>
      <c r="H594" t="str">
        <f t="shared" si="9"/>
        <v>Review</v>
      </c>
    </row>
    <row r="595" spans="1:8">
      <c r="A595" s="2">
        <v>594</v>
      </c>
      <c r="B595" s="2" t="s">
        <v>67</v>
      </c>
      <c r="C595" s="2" t="s">
        <v>8</v>
      </c>
      <c r="D595" s="2">
        <v>24</v>
      </c>
      <c r="E595" s="3">
        <v>76205</v>
      </c>
      <c r="F595" s="2" t="s">
        <v>25</v>
      </c>
      <c r="G595" s="2" t="s">
        <v>26</v>
      </c>
      <c r="H595" t="str">
        <f t="shared" si="9"/>
        <v>Review</v>
      </c>
    </row>
    <row r="596" spans="1:8">
      <c r="A596" s="2">
        <v>595</v>
      </c>
      <c r="B596" s="2" t="s">
        <v>49</v>
      </c>
      <c r="C596" s="2" t="s">
        <v>12</v>
      </c>
      <c r="D596" s="2">
        <v>38</v>
      </c>
      <c r="E596" s="3">
        <v>79130</v>
      </c>
      <c r="F596" s="2" t="s">
        <v>28</v>
      </c>
      <c r="G596" s="2" t="s">
        <v>18</v>
      </c>
      <c r="H596" t="str">
        <f t="shared" si="9"/>
        <v>Review</v>
      </c>
    </row>
    <row r="597" spans="1:8">
      <c r="A597" s="2">
        <v>596</v>
      </c>
      <c r="B597" s="2" t="s">
        <v>74</v>
      </c>
      <c r="C597" s="2" t="s">
        <v>12</v>
      </c>
      <c r="D597" s="2">
        <v>32</v>
      </c>
      <c r="E597" s="3">
        <v>58279</v>
      </c>
      <c r="F597" s="2" t="s">
        <v>38</v>
      </c>
      <c r="G597" s="2" t="s">
        <v>18</v>
      </c>
      <c r="H597" t="str">
        <f t="shared" si="9"/>
        <v>Standard</v>
      </c>
    </row>
    <row r="598" spans="1:8">
      <c r="A598" s="2">
        <v>597</v>
      </c>
      <c r="B598" s="2" t="s">
        <v>59</v>
      </c>
      <c r="C598" s="2" t="s">
        <v>12</v>
      </c>
      <c r="D598" s="2">
        <v>50</v>
      </c>
      <c r="E598" s="3">
        <v>76277</v>
      </c>
      <c r="F598" s="2" t="s">
        <v>28</v>
      </c>
      <c r="G598" s="2" t="s">
        <v>18</v>
      </c>
      <c r="H598" t="str">
        <f t="shared" si="9"/>
        <v>Review</v>
      </c>
    </row>
    <row r="599" spans="1:8">
      <c r="A599" s="2">
        <v>598</v>
      </c>
      <c r="B599" s="2" t="s">
        <v>87</v>
      </c>
      <c r="C599" s="2" t="s">
        <v>16</v>
      </c>
      <c r="D599" s="2">
        <v>50</v>
      </c>
      <c r="E599" s="3">
        <v>67774</v>
      </c>
      <c r="F599" s="2" t="s">
        <v>32</v>
      </c>
      <c r="G599" s="2" t="s">
        <v>18</v>
      </c>
      <c r="H599" t="str">
        <f t="shared" si="9"/>
        <v>Review</v>
      </c>
    </row>
    <row r="600" spans="1:8">
      <c r="A600" s="2">
        <v>599</v>
      </c>
      <c r="B600" s="2" t="s">
        <v>30</v>
      </c>
      <c r="C600" s="2" t="s">
        <v>16</v>
      </c>
      <c r="D600" s="2">
        <v>13</v>
      </c>
      <c r="E600" s="3">
        <v>87684</v>
      </c>
      <c r="F600" s="2" t="s">
        <v>32</v>
      </c>
      <c r="G600" s="2" t="s">
        <v>14</v>
      </c>
      <c r="H600" t="str">
        <f t="shared" si="9"/>
        <v>Review</v>
      </c>
    </row>
    <row r="601" spans="1:8">
      <c r="A601" s="2">
        <v>600</v>
      </c>
      <c r="B601" s="2" t="s">
        <v>71</v>
      </c>
      <c r="C601" s="2" t="s">
        <v>12</v>
      </c>
      <c r="D601" s="2">
        <v>47</v>
      </c>
      <c r="E601" s="3">
        <v>91588</v>
      </c>
      <c r="F601" s="2" t="s">
        <v>17</v>
      </c>
      <c r="G601" s="2" t="s">
        <v>18</v>
      </c>
      <c r="H601" t="str">
        <f t="shared" si="9"/>
        <v>Review</v>
      </c>
    </row>
    <row r="602" spans="1:8">
      <c r="A602" s="2">
        <v>601</v>
      </c>
      <c r="B602" s="2" t="s">
        <v>64</v>
      </c>
      <c r="C602" s="2" t="s">
        <v>8</v>
      </c>
      <c r="D602" s="2">
        <v>35</v>
      </c>
      <c r="E602" s="3">
        <v>92000</v>
      </c>
      <c r="F602" s="2" t="s">
        <v>38</v>
      </c>
      <c r="G602" s="2" t="s">
        <v>26</v>
      </c>
      <c r="H602" t="str">
        <f t="shared" si="9"/>
        <v>Review</v>
      </c>
    </row>
    <row r="603" spans="1:8">
      <c r="A603" s="2">
        <v>602</v>
      </c>
      <c r="B603" s="2" t="s">
        <v>84</v>
      </c>
      <c r="C603" s="2" t="s">
        <v>16</v>
      </c>
      <c r="D603" s="2">
        <v>49</v>
      </c>
      <c r="E603" s="3">
        <v>65108</v>
      </c>
      <c r="F603" s="2" t="s">
        <v>28</v>
      </c>
      <c r="G603" s="2" t="s">
        <v>23</v>
      </c>
      <c r="H603" t="str">
        <f t="shared" si="9"/>
        <v>Review</v>
      </c>
    </row>
    <row r="604" spans="1:8">
      <c r="A604" s="2">
        <v>603</v>
      </c>
      <c r="B604" s="2" t="s">
        <v>66</v>
      </c>
      <c r="C604" s="2" t="s">
        <v>8</v>
      </c>
      <c r="D604" s="2">
        <v>16</v>
      </c>
      <c r="E604" s="3">
        <v>46916</v>
      </c>
      <c r="F604" s="2" t="s">
        <v>25</v>
      </c>
      <c r="G604" s="2" t="s">
        <v>10</v>
      </c>
      <c r="H604" t="str">
        <f t="shared" si="9"/>
        <v>Standard</v>
      </c>
    </row>
    <row r="605" spans="1:8">
      <c r="A605" s="2">
        <v>604</v>
      </c>
      <c r="B605" s="2" t="s">
        <v>15</v>
      </c>
      <c r="C605" s="2" t="s">
        <v>16</v>
      </c>
      <c r="D605" s="2">
        <v>10</v>
      </c>
      <c r="E605" s="3">
        <v>80206</v>
      </c>
      <c r="F605" s="2" t="s">
        <v>20</v>
      </c>
      <c r="G605" s="2" t="s">
        <v>10</v>
      </c>
      <c r="H605" t="str">
        <f t="shared" si="9"/>
        <v>Review</v>
      </c>
    </row>
    <row r="606" spans="1:8">
      <c r="A606" s="2">
        <v>605</v>
      </c>
      <c r="B606" s="2" t="s">
        <v>79</v>
      </c>
      <c r="C606" s="2" t="s">
        <v>22</v>
      </c>
      <c r="D606" s="2">
        <v>1</v>
      </c>
      <c r="E606" s="3">
        <v>82751</v>
      </c>
      <c r="F606" s="2" t="s">
        <v>38</v>
      </c>
      <c r="G606" s="2" t="s">
        <v>26</v>
      </c>
      <c r="H606" t="str">
        <f t="shared" si="9"/>
        <v>Review</v>
      </c>
    </row>
    <row r="607" spans="1:8">
      <c r="A607" s="2">
        <v>606</v>
      </c>
      <c r="B607" s="2" t="s">
        <v>78</v>
      </c>
      <c r="C607" s="2" t="s">
        <v>22</v>
      </c>
      <c r="D607" s="2">
        <v>27</v>
      </c>
      <c r="E607" s="3">
        <v>26835</v>
      </c>
      <c r="F607" s="2" t="s">
        <v>9</v>
      </c>
      <c r="G607" s="2" t="s">
        <v>26</v>
      </c>
      <c r="H607" t="str">
        <f t="shared" si="9"/>
        <v>Standard</v>
      </c>
    </row>
    <row r="608" spans="1:8">
      <c r="A608" s="2">
        <v>607</v>
      </c>
      <c r="B608" s="2" t="s">
        <v>89</v>
      </c>
      <c r="C608" s="2" t="s">
        <v>12</v>
      </c>
      <c r="D608" s="2">
        <v>2</v>
      </c>
      <c r="E608" s="3">
        <v>72724</v>
      </c>
      <c r="F608" s="2" t="s">
        <v>17</v>
      </c>
      <c r="G608" s="2" t="s">
        <v>29</v>
      </c>
      <c r="H608" t="str">
        <f t="shared" si="9"/>
        <v>Review</v>
      </c>
    </row>
    <row r="609" spans="1:8">
      <c r="A609" s="2">
        <v>608</v>
      </c>
      <c r="B609" s="2" t="s">
        <v>47</v>
      </c>
      <c r="C609" s="2" t="s">
        <v>22</v>
      </c>
      <c r="D609" s="2">
        <v>15</v>
      </c>
      <c r="E609" s="3">
        <v>61554</v>
      </c>
      <c r="F609" s="2" t="s">
        <v>25</v>
      </c>
      <c r="G609" s="2" t="s">
        <v>26</v>
      </c>
      <c r="H609" t="str">
        <f t="shared" si="9"/>
        <v>Review</v>
      </c>
    </row>
    <row r="610" spans="1:8">
      <c r="A610" s="2">
        <v>609</v>
      </c>
      <c r="B610" s="2" t="s">
        <v>92</v>
      </c>
      <c r="C610" s="2" t="s">
        <v>16</v>
      </c>
      <c r="D610" s="2">
        <v>35</v>
      </c>
      <c r="E610" s="3">
        <v>45733</v>
      </c>
      <c r="F610" s="2" t="s">
        <v>25</v>
      </c>
      <c r="G610" s="2" t="s">
        <v>26</v>
      </c>
      <c r="H610" t="str">
        <f t="shared" si="9"/>
        <v>Standard</v>
      </c>
    </row>
    <row r="611" spans="1:8">
      <c r="A611" s="2">
        <v>610</v>
      </c>
      <c r="B611" s="2" t="s">
        <v>59</v>
      </c>
      <c r="C611" s="2" t="s">
        <v>16</v>
      </c>
      <c r="D611" s="2">
        <v>23</v>
      </c>
      <c r="E611" s="3">
        <v>43442</v>
      </c>
      <c r="F611" s="2" t="s">
        <v>28</v>
      </c>
      <c r="G611" s="2" t="s">
        <v>23</v>
      </c>
      <c r="H611" t="str">
        <f t="shared" si="9"/>
        <v>Standard</v>
      </c>
    </row>
    <row r="612" spans="1:8">
      <c r="A612" s="2">
        <v>611</v>
      </c>
      <c r="B612" s="2" t="s">
        <v>83</v>
      </c>
      <c r="C612" s="2" t="s">
        <v>22</v>
      </c>
      <c r="D612" s="2">
        <v>41</v>
      </c>
      <c r="E612" s="3">
        <v>73196</v>
      </c>
      <c r="F612" s="2" t="s">
        <v>17</v>
      </c>
      <c r="G612" s="2" t="s">
        <v>29</v>
      </c>
      <c r="H612" t="str">
        <f t="shared" si="9"/>
        <v>Review</v>
      </c>
    </row>
    <row r="613" spans="1:8">
      <c r="A613" s="2">
        <v>612</v>
      </c>
      <c r="B613" s="2" t="s">
        <v>94</v>
      </c>
      <c r="C613" s="2" t="s">
        <v>22</v>
      </c>
      <c r="D613" s="2">
        <v>45</v>
      </c>
      <c r="E613" s="3">
        <v>65906</v>
      </c>
      <c r="F613" s="2" t="s">
        <v>32</v>
      </c>
      <c r="G613" s="2" t="s">
        <v>23</v>
      </c>
      <c r="H613" t="str">
        <f t="shared" si="9"/>
        <v>Review</v>
      </c>
    </row>
    <row r="614" spans="1:8">
      <c r="A614" s="2">
        <v>613</v>
      </c>
      <c r="B614" s="2" t="s">
        <v>91</v>
      </c>
      <c r="C614" s="2" t="s">
        <v>22</v>
      </c>
      <c r="D614" s="2">
        <v>1</v>
      </c>
      <c r="E614" s="3">
        <v>35450</v>
      </c>
      <c r="F614" s="2" t="s">
        <v>32</v>
      </c>
      <c r="G614" s="2" t="s">
        <v>18</v>
      </c>
      <c r="H614" t="str">
        <f t="shared" si="9"/>
        <v>Standard</v>
      </c>
    </row>
    <row r="615" spans="1:8">
      <c r="A615" s="2">
        <v>614</v>
      </c>
      <c r="B615" s="2" t="s">
        <v>33</v>
      </c>
      <c r="C615" s="2" t="s">
        <v>12</v>
      </c>
      <c r="D615" s="2">
        <v>22</v>
      </c>
      <c r="E615" s="3">
        <v>50789</v>
      </c>
      <c r="F615" s="2" t="s">
        <v>28</v>
      </c>
      <c r="G615" s="2" t="s">
        <v>26</v>
      </c>
      <c r="H615" t="str">
        <f t="shared" si="9"/>
        <v>Standard</v>
      </c>
    </row>
    <row r="616" spans="1:8">
      <c r="A616" s="2">
        <v>615</v>
      </c>
      <c r="B616" s="2" t="s">
        <v>39</v>
      </c>
      <c r="C616" s="2" t="s">
        <v>22</v>
      </c>
      <c r="D616" s="2">
        <v>1</v>
      </c>
      <c r="E616" s="3">
        <v>85804</v>
      </c>
      <c r="F616" s="2" t="s">
        <v>28</v>
      </c>
      <c r="G616" s="2" t="s">
        <v>26</v>
      </c>
      <c r="H616" t="str">
        <f t="shared" si="9"/>
        <v>Review</v>
      </c>
    </row>
    <row r="617" spans="1:8">
      <c r="A617" s="2">
        <v>616</v>
      </c>
      <c r="B617" s="2" t="s">
        <v>35</v>
      </c>
      <c r="C617" s="2" t="s">
        <v>16</v>
      </c>
      <c r="D617" s="2">
        <v>49</v>
      </c>
      <c r="E617" s="3">
        <v>49006</v>
      </c>
      <c r="F617" s="2" t="s">
        <v>20</v>
      </c>
      <c r="G617" s="2" t="s">
        <v>29</v>
      </c>
      <c r="H617" t="str">
        <f t="shared" si="9"/>
        <v>Standard</v>
      </c>
    </row>
    <row r="618" spans="1:8">
      <c r="A618" s="2">
        <v>617</v>
      </c>
      <c r="B618" s="2" t="s">
        <v>82</v>
      </c>
      <c r="C618" s="2" t="s">
        <v>22</v>
      </c>
      <c r="D618" s="2">
        <v>43</v>
      </c>
      <c r="E618" s="3">
        <v>93489</v>
      </c>
      <c r="F618" s="2" t="s">
        <v>13</v>
      </c>
      <c r="G618" s="2" t="s">
        <v>18</v>
      </c>
      <c r="H618" t="str">
        <f t="shared" si="9"/>
        <v>Review</v>
      </c>
    </row>
    <row r="619" spans="1:8">
      <c r="A619" s="2">
        <v>618</v>
      </c>
      <c r="B619" s="2" t="s">
        <v>93</v>
      </c>
      <c r="C619" s="2" t="s">
        <v>12</v>
      </c>
      <c r="D619" s="2">
        <v>25</v>
      </c>
      <c r="E619" s="3">
        <v>98934</v>
      </c>
      <c r="F619" s="2" t="s">
        <v>32</v>
      </c>
      <c r="G619" s="2" t="s">
        <v>23</v>
      </c>
      <c r="H619" t="str">
        <f t="shared" si="9"/>
        <v>Review</v>
      </c>
    </row>
    <row r="620" spans="1:8">
      <c r="A620" s="2">
        <v>619</v>
      </c>
      <c r="B620" s="2" t="s">
        <v>63</v>
      </c>
      <c r="C620" s="2" t="s">
        <v>12</v>
      </c>
      <c r="D620" s="2">
        <v>48</v>
      </c>
      <c r="E620" s="3">
        <v>62581</v>
      </c>
      <c r="F620" s="2" t="s">
        <v>20</v>
      </c>
      <c r="G620" s="2" t="s">
        <v>14</v>
      </c>
      <c r="H620" t="str">
        <f t="shared" si="9"/>
        <v>Review</v>
      </c>
    </row>
    <row r="621" spans="1:8">
      <c r="A621" s="2">
        <v>620</v>
      </c>
      <c r="B621" s="2" t="s">
        <v>89</v>
      </c>
      <c r="C621" s="2" t="s">
        <v>16</v>
      </c>
      <c r="D621" s="2">
        <v>47</v>
      </c>
      <c r="E621" s="3">
        <v>27103</v>
      </c>
      <c r="F621" s="2" t="s">
        <v>17</v>
      </c>
      <c r="G621" s="2" t="s">
        <v>26</v>
      </c>
      <c r="H621" t="str">
        <f t="shared" si="9"/>
        <v>Standard</v>
      </c>
    </row>
    <row r="622" spans="1:8">
      <c r="A622" s="2">
        <v>621</v>
      </c>
      <c r="B622" s="2" t="s">
        <v>51</v>
      </c>
      <c r="C622" s="2" t="s">
        <v>16</v>
      </c>
      <c r="D622" s="2">
        <v>20</v>
      </c>
      <c r="E622" s="3">
        <v>40433</v>
      </c>
      <c r="F622" s="2" t="s">
        <v>9</v>
      </c>
      <c r="G622" s="2" t="s">
        <v>14</v>
      </c>
      <c r="H622" t="str">
        <f t="shared" si="9"/>
        <v>Standard</v>
      </c>
    </row>
    <row r="623" spans="1:8">
      <c r="A623" s="2">
        <v>622</v>
      </c>
      <c r="B623" s="2" t="s">
        <v>74</v>
      </c>
      <c r="C623" s="2" t="s">
        <v>22</v>
      </c>
      <c r="D623" s="2">
        <v>7</v>
      </c>
      <c r="E623" s="3">
        <v>48810</v>
      </c>
      <c r="F623" s="2" t="s">
        <v>25</v>
      </c>
      <c r="G623" s="2" t="s">
        <v>14</v>
      </c>
      <c r="H623" t="str">
        <f t="shared" si="9"/>
        <v>Standard</v>
      </c>
    </row>
    <row r="624" spans="1:8">
      <c r="A624" s="2">
        <v>623</v>
      </c>
      <c r="B624" s="2" t="s">
        <v>68</v>
      </c>
      <c r="C624" s="2" t="s">
        <v>16</v>
      </c>
      <c r="D624" s="2">
        <v>14</v>
      </c>
      <c r="E624" s="3">
        <v>28815</v>
      </c>
      <c r="F624" s="2" t="s">
        <v>9</v>
      </c>
      <c r="G624" s="2" t="s">
        <v>14</v>
      </c>
      <c r="H624" t="str">
        <f t="shared" si="9"/>
        <v>Standard</v>
      </c>
    </row>
    <row r="625" spans="1:8">
      <c r="A625" s="2">
        <v>624</v>
      </c>
      <c r="B625" s="2" t="s">
        <v>56</v>
      </c>
      <c r="C625" s="2" t="s">
        <v>8</v>
      </c>
      <c r="D625" s="2">
        <v>34</v>
      </c>
      <c r="E625" s="3">
        <v>28127</v>
      </c>
      <c r="F625" s="2" t="s">
        <v>20</v>
      </c>
      <c r="G625" s="2" t="s">
        <v>10</v>
      </c>
      <c r="H625" t="str">
        <f t="shared" si="9"/>
        <v>Standard</v>
      </c>
    </row>
    <row r="626" spans="1:8">
      <c r="A626" s="2">
        <v>625</v>
      </c>
      <c r="B626" s="2" t="s">
        <v>24</v>
      </c>
      <c r="C626" s="2" t="s">
        <v>16</v>
      </c>
      <c r="D626" s="2">
        <v>16</v>
      </c>
      <c r="E626" s="3">
        <v>34188</v>
      </c>
      <c r="F626" s="2" t="s">
        <v>28</v>
      </c>
      <c r="G626" s="2" t="s">
        <v>14</v>
      </c>
      <c r="H626" t="str">
        <f t="shared" si="9"/>
        <v>Standard</v>
      </c>
    </row>
    <row r="627" spans="1:8">
      <c r="A627" s="2">
        <v>626</v>
      </c>
      <c r="B627" s="2" t="s">
        <v>36</v>
      </c>
      <c r="C627" s="2" t="s">
        <v>8</v>
      </c>
      <c r="D627" s="2">
        <v>27</v>
      </c>
      <c r="E627" s="3">
        <v>66580</v>
      </c>
      <c r="F627" s="2" t="s">
        <v>38</v>
      </c>
      <c r="G627" s="2" t="s">
        <v>23</v>
      </c>
      <c r="H627" t="str">
        <f t="shared" si="9"/>
        <v>Review</v>
      </c>
    </row>
    <row r="628" spans="1:8">
      <c r="A628" s="2">
        <v>627</v>
      </c>
      <c r="B628" s="2" t="s">
        <v>44</v>
      </c>
      <c r="C628" s="2" t="s">
        <v>8</v>
      </c>
      <c r="D628" s="2">
        <v>32</v>
      </c>
      <c r="E628" s="3">
        <v>89391</v>
      </c>
      <c r="F628" s="2" t="s">
        <v>13</v>
      </c>
      <c r="G628" s="2" t="s">
        <v>14</v>
      </c>
      <c r="H628" t="str">
        <f t="shared" si="9"/>
        <v>Review</v>
      </c>
    </row>
    <row r="629" spans="1:8">
      <c r="A629" s="2">
        <v>628</v>
      </c>
      <c r="B629" s="2" t="s">
        <v>79</v>
      </c>
      <c r="C629" s="2" t="s">
        <v>16</v>
      </c>
      <c r="D629" s="2">
        <v>4</v>
      </c>
      <c r="E629" s="3">
        <v>75598</v>
      </c>
      <c r="F629" s="2" t="s">
        <v>20</v>
      </c>
      <c r="G629" s="2" t="s">
        <v>26</v>
      </c>
      <c r="H629" t="str">
        <f t="shared" si="9"/>
        <v>Review</v>
      </c>
    </row>
    <row r="630" spans="1:8">
      <c r="A630" s="2">
        <v>629</v>
      </c>
      <c r="B630" s="2" t="s">
        <v>77</v>
      </c>
      <c r="C630" s="2" t="s">
        <v>8</v>
      </c>
      <c r="D630" s="2">
        <v>10</v>
      </c>
      <c r="E630" s="3">
        <v>39512</v>
      </c>
      <c r="F630" s="2" t="s">
        <v>38</v>
      </c>
      <c r="G630" s="2" t="s">
        <v>10</v>
      </c>
      <c r="H630" t="str">
        <f t="shared" si="9"/>
        <v>Standard</v>
      </c>
    </row>
    <row r="631" spans="1:8">
      <c r="A631" s="2">
        <v>630</v>
      </c>
      <c r="B631" s="2" t="s">
        <v>19</v>
      </c>
      <c r="C631" s="2" t="s">
        <v>16</v>
      </c>
      <c r="D631" s="2">
        <v>46</v>
      </c>
      <c r="E631" s="3">
        <v>67858</v>
      </c>
      <c r="F631" s="2" t="s">
        <v>17</v>
      </c>
      <c r="G631" s="2" t="s">
        <v>18</v>
      </c>
      <c r="H631" t="str">
        <f t="shared" si="9"/>
        <v>Review</v>
      </c>
    </row>
    <row r="632" spans="1:8">
      <c r="A632" s="2">
        <v>631</v>
      </c>
      <c r="B632" s="2" t="s">
        <v>88</v>
      </c>
      <c r="C632" s="2" t="s">
        <v>16</v>
      </c>
      <c r="D632" s="2">
        <v>18</v>
      </c>
      <c r="E632" s="3">
        <v>78673</v>
      </c>
      <c r="F632" s="2" t="s">
        <v>17</v>
      </c>
      <c r="G632" s="2" t="s">
        <v>29</v>
      </c>
      <c r="H632" t="str">
        <f t="shared" si="9"/>
        <v>Review</v>
      </c>
    </row>
    <row r="633" spans="1:8">
      <c r="A633" s="2">
        <v>632</v>
      </c>
      <c r="B633" s="2" t="s">
        <v>67</v>
      </c>
      <c r="C633" s="2" t="s">
        <v>12</v>
      </c>
      <c r="D633" s="2">
        <v>6</v>
      </c>
      <c r="E633" s="3">
        <v>48734</v>
      </c>
      <c r="F633" s="2" t="s">
        <v>13</v>
      </c>
      <c r="G633" s="2" t="s">
        <v>26</v>
      </c>
      <c r="H633" t="str">
        <f t="shared" si="9"/>
        <v>Standard</v>
      </c>
    </row>
    <row r="634" spans="1:8">
      <c r="A634" s="2">
        <v>633</v>
      </c>
      <c r="B634" s="2" t="s">
        <v>69</v>
      </c>
      <c r="C634" s="2" t="s">
        <v>8</v>
      </c>
      <c r="D634" s="2">
        <v>3</v>
      </c>
      <c r="E634" s="3">
        <v>66197</v>
      </c>
      <c r="F634" s="2" t="s">
        <v>13</v>
      </c>
      <c r="G634" s="2" t="s">
        <v>18</v>
      </c>
      <c r="H634" t="str">
        <f t="shared" si="9"/>
        <v>Review</v>
      </c>
    </row>
    <row r="635" spans="1:8">
      <c r="A635" s="2">
        <v>634</v>
      </c>
      <c r="B635" s="2" t="s">
        <v>34</v>
      </c>
      <c r="C635" s="2" t="s">
        <v>8</v>
      </c>
      <c r="D635" s="2">
        <v>15</v>
      </c>
      <c r="E635" s="3">
        <v>67244</v>
      </c>
      <c r="F635" s="2" t="s">
        <v>20</v>
      </c>
      <c r="G635" s="2" t="s">
        <v>18</v>
      </c>
      <c r="H635" t="str">
        <f t="shared" si="9"/>
        <v>Review</v>
      </c>
    </row>
    <row r="636" spans="1:8">
      <c r="A636" s="2">
        <v>635</v>
      </c>
      <c r="B636" s="2" t="s">
        <v>49</v>
      </c>
      <c r="C636" s="2" t="s">
        <v>22</v>
      </c>
      <c r="D636" s="2">
        <v>34</v>
      </c>
      <c r="E636" s="3">
        <v>63720</v>
      </c>
      <c r="F636" s="2" t="s">
        <v>32</v>
      </c>
      <c r="G636" s="2" t="s">
        <v>29</v>
      </c>
      <c r="H636" t="str">
        <f t="shared" si="9"/>
        <v>Review</v>
      </c>
    </row>
    <row r="637" spans="1:8">
      <c r="A637" s="2">
        <v>636</v>
      </c>
      <c r="B637" s="2" t="s">
        <v>79</v>
      </c>
      <c r="C637" s="2" t="s">
        <v>16</v>
      </c>
      <c r="D637" s="2">
        <v>27</v>
      </c>
      <c r="E637" s="3">
        <v>87623</v>
      </c>
      <c r="F637" s="2" t="s">
        <v>38</v>
      </c>
      <c r="G637" s="2" t="s">
        <v>14</v>
      </c>
      <c r="H637" t="str">
        <f t="shared" si="9"/>
        <v>Review</v>
      </c>
    </row>
    <row r="638" spans="1:8">
      <c r="A638" s="2">
        <v>637</v>
      </c>
      <c r="B638" s="2" t="s">
        <v>55</v>
      </c>
      <c r="C638" s="2" t="s">
        <v>12</v>
      </c>
      <c r="D638" s="2">
        <v>45</v>
      </c>
      <c r="E638" s="3">
        <v>55787</v>
      </c>
      <c r="F638" s="2" t="s">
        <v>13</v>
      </c>
      <c r="G638" s="2" t="s">
        <v>14</v>
      </c>
      <c r="H638" t="str">
        <f t="shared" si="9"/>
        <v>Standard</v>
      </c>
    </row>
    <row r="639" spans="1:8">
      <c r="A639" s="2">
        <v>638</v>
      </c>
      <c r="B639" s="2" t="s">
        <v>27</v>
      </c>
      <c r="C639" s="2" t="s">
        <v>12</v>
      </c>
      <c r="D639" s="2">
        <v>24</v>
      </c>
      <c r="E639" s="3">
        <v>28290</v>
      </c>
      <c r="F639" s="2" t="s">
        <v>38</v>
      </c>
      <c r="G639" s="2" t="s">
        <v>23</v>
      </c>
      <c r="H639" t="str">
        <f t="shared" si="9"/>
        <v>Standard</v>
      </c>
    </row>
    <row r="640" spans="1:8">
      <c r="A640" s="2">
        <v>639</v>
      </c>
      <c r="B640" s="2" t="s">
        <v>88</v>
      </c>
      <c r="C640" s="2" t="s">
        <v>22</v>
      </c>
      <c r="D640" s="2">
        <v>30</v>
      </c>
      <c r="E640" s="3">
        <v>30532</v>
      </c>
      <c r="F640" s="2" t="s">
        <v>28</v>
      </c>
      <c r="G640" s="2" t="s">
        <v>14</v>
      </c>
      <c r="H640" t="str">
        <f t="shared" si="9"/>
        <v>Standard</v>
      </c>
    </row>
    <row r="641" spans="1:8">
      <c r="A641" s="2">
        <v>640</v>
      </c>
      <c r="B641" s="2" t="s">
        <v>36</v>
      </c>
      <c r="C641" s="2" t="s">
        <v>8</v>
      </c>
      <c r="D641" s="2">
        <v>48</v>
      </c>
      <c r="E641" s="3">
        <v>89417</v>
      </c>
      <c r="F641" s="2" t="s">
        <v>38</v>
      </c>
      <c r="G641" s="2" t="s">
        <v>14</v>
      </c>
      <c r="H641" t="str">
        <f t="shared" si="9"/>
        <v>Review</v>
      </c>
    </row>
    <row r="642" spans="1:8">
      <c r="A642" s="2">
        <v>641</v>
      </c>
      <c r="B642" s="2" t="s">
        <v>75</v>
      </c>
      <c r="C642" s="2" t="s">
        <v>12</v>
      </c>
      <c r="D642" s="2">
        <v>6</v>
      </c>
      <c r="E642" s="3">
        <v>57366</v>
      </c>
      <c r="F642" s="2" t="s">
        <v>17</v>
      </c>
      <c r="G642" s="2" t="s">
        <v>23</v>
      </c>
      <c r="H642" t="str">
        <f t="shared" si="9"/>
        <v>Standard</v>
      </c>
    </row>
    <row r="643" spans="1:8">
      <c r="A643" s="2">
        <v>642</v>
      </c>
      <c r="B643" s="2" t="s">
        <v>11</v>
      </c>
      <c r="C643" s="2" t="s">
        <v>8</v>
      </c>
      <c r="D643" s="2">
        <v>38</v>
      </c>
      <c r="E643" s="3">
        <v>36870</v>
      </c>
      <c r="F643" s="2" t="s">
        <v>25</v>
      </c>
      <c r="G643" s="2" t="s">
        <v>26</v>
      </c>
      <c r="H643" t="str">
        <f t="shared" ref="H643:H706" si="10">IF(AND(F643="Electric",E643&gt;45000),"Urgent",IF(OR(F643="Hybrid",E643&gt;60000),"Review","Standard"))</f>
        <v>Standard</v>
      </c>
    </row>
    <row r="644" spans="1:8">
      <c r="A644" s="2">
        <v>643</v>
      </c>
      <c r="B644" s="2" t="s">
        <v>69</v>
      </c>
      <c r="C644" s="2" t="s">
        <v>12</v>
      </c>
      <c r="D644" s="2">
        <v>7</v>
      </c>
      <c r="E644" s="3">
        <v>28210</v>
      </c>
      <c r="F644" s="2" t="s">
        <v>17</v>
      </c>
      <c r="G644" s="2" t="s">
        <v>29</v>
      </c>
      <c r="H644" t="str">
        <f t="shared" si="10"/>
        <v>Standard</v>
      </c>
    </row>
    <row r="645" spans="1:8">
      <c r="A645" s="2">
        <v>644</v>
      </c>
      <c r="B645" s="2" t="s">
        <v>80</v>
      </c>
      <c r="C645" s="2" t="s">
        <v>12</v>
      </c>
      <c r="D645" s="2">
        <v>33</v>
      </c>
      <c r="E645" s="3">
        <v>44620</v>
      </c>
      <c r="F645" s="2" t="s">
        <v>32</v>
      </c>
      <c r="G645" s="2" t="s">
        <v>23</v>
      </c>
      <c r="H645" t="str">
        <f t="shared" si="10"/>
        <v>Standard</v>
      </c>
    </row>
    <row r="646" spans="1:8">
      <c r="A646" s="2">
        <v>645</v>
      </c>
      <c r="B646" s="2" t="s">
        <v>58</v>
      </c>
      <c r="C646" s="2" t="s">
        <v>16</v>
      </c>
      <c r="D646" s="2">
        <v>9</v>
      </c>
      <c r="E646" s="3">
        <v>71210</v>
      </c>
      <c r="F646" s="2" t="s">
        <v>25</v>
      </c>
      <c r="G646" s="2" t="s">
        <v>26</v>
      </c>
      <c r="H646" t="str">
        <f t="shared" si="10"/>
        <v>Review</v>
      </c>
    </row>
    <row r="647" spans="1:8">
      <c r="A647" s="2">
        <v>646</v>
      </c>
      <c r="B647" s="2" t="s">
        <v>36</v>
      </c>
      <c r="C647" s="2" t="s">
        <v>8</v>
      </c>
      <c r="D647" s="2">
        <v>41</v>
      </c>
      <c r="E647" s="3">
        <v>70822</v>
      </c>
      <c r="F647" s="2" t="s">
        <v>38</v>
      </c>
      <c r="G647" s="2" t="s">
        <v>14</v>
      </c>
      <c r="H647" t="str">
        <f t="shared" si="10"/>
        <v>Review</v>
      </c>
    </row>
    <row r="648" spans="1:8">
      <c r="A648" s="2">
        <v>647</v>
      </c>
      <c r="B648" s="2" t="s">
        <v>35</v>
      </c>
      <c r="C648" s="2" t="s">
        <v>12</v>
      </c>
      <c r="D648" s="2">
        <v>26</v>
      </c>
      <c r="E648" s="3">
        <v>81009</v>
      </c>
      <c r="F648" s="2" t="s">
        <v>13</v>
      </c>
      <c r="G648" s="2" t="s">
        <v>26</v>
      </c>
      <c r="H648" t="str">
        <f t="shared" si="10"/>
        <v>Review</v>
      </c>
    </row>
    <row r="649" spans="1:8">
      <c r="A649" s="2">
        <v>648</v>
      </c>
      <c r="B649" s="2" t="s">
        <v>80</v>
      </c>
      <c r="C649" s="2" t="s">
        <v>16</v>
      </c>
      <c r="D649" s="2">
        <v>5</v>
      </c>
      <c r="E649" s="3">
        <v>55078</v>
      </c>
      <c r="F649" s="2" t="s">
        <v>9</v>
      </c>
      <c r="G649" s="2" t="s">
        <v>14</v>
      </c>
      <c r="H649" t="str">
        <f t="shared" si="10"/>
        <v>Standard</v>
      </c>
    </row>
    <row r="650" spans="1:8">
      <c r="A650" s="2">
        <v>649</v>
      </c>
      <c r="B650" s="2" t="s">
        <v>80</v>
      </c>
      <c r="C650" s="2" t="s">
        <v>12</v>
      </c>
      <c r="D650" s="2">
        <v>38</v>
      </c>
      <c r="E650" s="3">
        <v>96112</v>
      </c>
      <c r="F650" s="2" t="s">
        <v>20</v>
      </c>
      <c r="G650" s="2" t="s">
        <v>14</v>
      </c>
      <c r="H650" t="str">
        <f t="shared" si="10"/>
        <v>Review</v>
      </c>
    </row>
    <row r="651" spans="1:8">
      <c r="A651" s="2">
        <v>650</v>
      </c>
      <c r="B651" s="2" t="s">
        <v>45</v>
      </c>
      <c r="C651" s="2" t="s">
        <v>16</v>
      </c>
      <c r="D651" s="2">
        <v>37</v>
      </c>
      <c r="E651" s="3">
        <v>29584</v>
      </c>
      <c r="F651" s="2" t="s">
        <v>32</v>
      </c>
      <c r="G651" s="2" t="s">
        <v>23</v>
      </c>
      <c r="H651" t="str">
        <f t="shared" si="10"/>
        <v>Standard</v>
      </c>
    </row>
    <row r="652" spans="1:8">
      <c r="A652" s="2">
        <v>651</v>
      </c>
      <c r="B652" s="2" t="s">
        <v>90</v>
      </c>
      <c r="C652" s="2" t="s">
        <v>16</v>
      </c>
      <c r="D652" s="2">
        <v>4</v>
      </c>
      <c r="E652" s="3">
        <v>91573</v>
      </c>
      <c r="F652" s="2" t="s">
        <v>13</v>
      </c>
      <c r="G652" s="2" t="s">
        <v>29</v>
      </c>
      <c r="H652" t="str">
        <f t="shared" si="10"/>
        <v>Review</v>
      </c>
    </row>
    <row r="653" spans="1:8">
      <c r="A653" s="2">
        <v>652</v>
      </c>
      <c r="B653" s="2" t="s">
        <v>91</v>
      </c>
      <c r="C653" s="2" t="s">
        <v>8</v>
      </c>
      <c r="D653" s="2">
        <v>28</v>
      </c>
      <c r="E653" s="3">
        <v>82713</v>
      </c>
      <c r="F653" s="2" t="s">
        <v>28</v>
      </c>
      <c r="G653" s="2" t="s">
        <v>10</v>
      </c>
      <c r="H653" t="str">
        <f t="shared" si="10"/>
        <v>Review</v>
      </c>
    </row>
    <row r="654" spans="1:8">
      <c r="A654" s="2">
        <v>653</v>
      </c>
      <c r="B654" s="2" t="s">
        <v>19</v>
      </c>
      <c r="C654" s="2" t="s">
        <v>16</v>
      </c>
      <c r="D654" s="2">
        <v>43</v>
      </c>
      <c r="E654" s="3">
        <v>81762</v>
      </c>
      <c r="F654" s="2" t="s">
        <v>13</v>
      </c>
      <c r="G654" s="2" t="s">
        <v>26</v>
      </c>
      <c r="H654" t="str">
        <f t="shared" si="10"/>
        <v>Review</v>
      </c>
    </row>
    <row r="655" spans="1:8">
      <c r="A655" s="2">
        <v>654</v>
      </c>
      <c r="B655" s="2" t="s">
        <v>91</v>
      </c>
      <c r="C655" s="2" t="s">
        <v>12</v>
      </c>
      <c r="D655" s="2">
        <v>9</v>
      </c>
      <c r="E655" s="3">
        <v>74063</v>
      </c>
      <c r="F655" s="2" t="s">
        <v>25</v>
      </c>
      <c r="G655" s="2" t="s">
        <v>26</v>
      </c>
      <c r="H655" t="str">
        <f t="shared" si="10"/>
        <v>Review</v>
      </c>
    </row>
    <row r="656" spans="1:8">
      <c r="A656" s="2">
        <v>655</v>
      </c>
      <c r="B656" s="2" t="s">
        <v>73</v>
      </c>
      <c r="C656" s="2" t="s">
        <v>22</v>
      </c>
      <c r="D656" s="2">
        <v>16</v>
      </c>
      <c r="E656" s="3">
        <v>74589</v>
      </c>
      <c r="F656" s="2" t="s">
        <v>25</v>
      </c>
      <c r="G656" s="2" t="s">
        <v>23</v>
      </c>
      <c r="H656" t="str">
        <f t="shared" si="10"/>
        <v>Review</v>
      </c>
    </row>
    <row r="657" spans="1:8">
      <c r="A657" s="2">
        <v>656</v>
      </c>
      <c r="B657" s="2" t="s">
        <v>7</v>
      </c>
      <c r="C657" s="2" t="s">
        <v>12</v>
      </c>
      <c r="D657" s="2">
        <v>19</v>
      </c>
      <c r="E657" s="3">
        <v>55769</v>
      </c>
      <c r="F657" s="2" t="s">
        <v>17</v>
      </c>
      <c r="G657" s="2" t="s">
        <v>29</v>
      </c>
      <c r="H657" t="str">
        <f t="shared" si="10"/>
        <v>Standard</v>
      </c>
    </row>
    <row r="658" spans="1:8">
      <c r="A658" s="2">
        <v>657</v>
      </c>
      <c r="B658" s="2" t="s">
        <v>90</v>
      </c>
      <c r="C658" s="2" t="s">
        <v>12</v>
      </c>
      <c r="D658" s="2">
        <v>17</v>
      </c>
      <c r="E658" s="3">
        <v>69770</v>
      </c>
      <c r="F658" s="2" t="s">
        <v>20</v>
      </c>
      <c r="G658" s="2" t="s">
        <v>14</v>
      </c>
      <c r="H658" t="str">
        <f t="shared" si="10"/>
        <v>Review</v>
      </c>
    </row>
    <row r="659" spans="1:8">
      <c r="A659" s="2">
        <v>658</v>
      </c>
      <c r="B659" s="2" t="s">
        <v>37</v>
      </c>
      <c r="C659" s="2" t="s">
        <v>16</v>
      </c>
      <c r="D659" s="2">
        <v>21</v>
      </c>
      <c r="E659" s="3">
        <v>91477</v>
      </c>
      <c r="F659" s="2" t="s">
        <v>9</v>
      </c>
      <c r="G659" s="2" t="s">
        <v>26</v>
      </c>
      <c r="H659" t="str">
        <f t="shared" si="10"/>
        <v>Review</v>
      </c>
    </row>
    <row r="660" spans="1:8">
      <c r="A660" s="2">
        <v>659</v>
      </c>
      <c r="B660" s="2" t="s">
        <v>94</v>
      </c>
      <c r="C660" s="2" t="s">
        <v>12</v>
      </c>
      <c r="D660" s="2">
        <v>26</v>
      </c>
      <c r="E660" s="3">
        <v>27338</v>
      </c>
      <c r="F660" s="2" t="s">
        <v>38</v>
      </c>
      <c r="G660" s="2" t="s">
        <v>29</v>
      </c>
      <c r="H660" t="str">
        <f t="shared" si="10"/>
        <v>Standard</v>
      </c>
    </row>
    <row r="661" spans="1:8">
      <c r="A661" s="2">
        <v>660</v>
      </c>
      <c r="B661" s="2" t="s">
        <v>49</v>
      </c>
      <c r="C661" s="2" t="s">
        <v>16</v>
      </c>
      <c r="D661" s="2">
        <v>45</v>
      </c>
      <c r="E661" s="3">
        <v>42992</v>
      </c>
      <c r="F661" s="2" t="s">
        <v>13</v>
      </c>
      <c r="G661" s="2" t="s">
        <v>18</v>
      </c>
      <c r="H661" t="str">
        <f t="shared" si="10"/>
        <v>Standard</v>
      </c>
    </row>
    <row r="662" spans="1:8">
      <c r="A662" s="2">
        <v>661</v>
      </c>
      <c r="B662" s="2" t="s">
        <v>48</v>
      </c>
      <c r="C662" s="2" t="s">
        <v>8</v>
      </c>
      <c r="D662" s="2">
        <v>48</v>
      </c>
      <c r="E662" s="3">
        <v>33633</v>
      </c>
      <c r="F662" s="2" t="s">
        <v>28</v>
      </c>
      <c r="G662" s="2" t="s">
        <v>18</v>
      </c>
      <c r="H662" t="str">
        <f t="shared" si="10"/>
        <v>Standard</v>
      </c>
    </row>
    <row r="663" spans="1:8">
      <c r="A663" s="2">
        <v>662</v>
      </c>
      <c r="B663" s="2" t="s">
        <v>72</v>
      </c>
      <c r="C663" s="2" t="s">
        <v>16</v>
      </c>
      <c r="D663" s="2">
        <v>21</v>
      </c>
      <c r="E663" s="3">
        <v>68092</v>
      </c>
      <c r="F663" s="2" t="s">
        <v>20</v>
      </c>
      <c r="G663" s="2" t="s">
        <v>10</v>
      </c>
      <c r="H663" t="str">
        <f t="shared" si="10"/>
        <v>Review</v>
      </c>
    </row>
    <row r="664" spans="1:8">
      <c r="A664" s="2">
        <v>663</v>
      </c>
      <c r="B664" s="2" t="s">
        <v>71</v>
      </c>
      <c r="C664" s="2" t="s">
        <v>8</v>
      </c>
      <c r="D664" s="2">
        <v>21</v>
      </c>
      <c r="E664" s="3">
        <v>82789</v>
      </c>
      <c r="F664" s="2" t="s">
        <v>13</v>
      </c>
      <c r="G664" s="2" t="s">
        <v>26</v>
      </c>
      <c r="H664" t="str">
        <f t="shared" si="10"/>
        <v>Review</v>
      </c>
    </row>
    <row r="665" spans="1:8">
      <c r="A665" s="2">
        <v>664</v>
      </c>
      <c r="B665" s="2" t="s">
        <v>33</v>
      </c>
      <c r="C665" s="2" t="s">
        <v>22</v>
      </c>
      <c r="D665" s="2">
        <v>29</v>
      </c>
      <c r="E665" s="3">
        <v>85688</v>
      </c>
      <c r="F665" s="2" t="s">
        <v>13</v>
      </c>
      <c r="G665" s="2" t="s">
        <v>14</v>
      </c>
      <c r="H665" t="str">
        <f t="shared" si="10"/>
        <v>Review</v>
      </c>
    </row>
    <row r="666" spans="1:8">
      <c r="A666" s="2">
        <v>665</v>
      </c>
      <c r="B666" s="2" t="s">
        <v>58</v>
      </c>
      <c r="C666" s="2" t="s">
        <v>12</v>
      </c>
      <c r="D666" s="2">
        <v>18</v>
      </c>
      <c r="E666" s="3">
        <v>32943</v>
      </c>
      <c r="F666" s="2" t="s">
        <v>25</v>
      </c>
      <c r="G666" s="2" t="s">
        <v>26</v>
      </c>
      <c r="H666" t="str">
        <f t="shared" si="10"/>
        <v>Standard</v>
      </c>
    </row>
    <row r="667" spans="1:8">
      <c r="A667" s="2">
        <v>666</v>
      </c>
      <c r="B667" s="2" t="s">
        <v>68</v>
      </c>
      <c r="C667" s="2" t="s">
        <v>8</v>
      </c>
      <c r="D667" s="2">
        <v>15</v>
      </c>
      <c r="E667" s="3">
        <v>49207</v>
      </c>
      <c r="F667" s="2" t="s">
        <v>25</v>
      </c>
      <c r="G667" s="2" t="s">
        <v>10</v>
      </c>
      <c r="H667" t="str">
        <f t="shared" si="10"/>
        <v>Standard</v>
      </c>
    </row>
    <row r="668" spans="1:8">
      <c r="A668" s="2">
        <v>667</v>
      </c>
      <c r="B668" s="2" t="s">
        <v>70</v>
      </c>
      <c r="C668" s="2" t="s">
        <v>22</v>
      </c>
      <c r="D668" s="2">
        <v>5</v>
      </c>
      <c r="E668" s="3">
        <v>99210</v>
      </c>
      <c r="F668" s="2" t="s">
        <v>9</v>
      </c>
      <c r="G668" s="2" t="s">
        <v>18</v>
      </c>
      <c r="H668" t="str">
        <f t="shared" si="10"/>
        <v>Review</v>
      </c>
    </row>
    <row r="669" spans="1:8">
      <c r="A669" s="2">
        <v>668</v>
      </c>
      <c r="B669" s="2" t="s">
        <v>27</v>
      </c>
      <c r="C669" s="2" t="s">
        <v>16</v>
      </c>
      <c r="D669" s="2">
        <v>13</v>
      </c>
      <c r="E669" s="3">
        <v>72120</v>
      </c>
      <c r="F669" s="2" t="s">
        <v>32</v>
      </c>
      <c r="G669" s="2" t="s">
        <v>10</v>
      </c>
      <c r="H669" t="str">
        <f t="shared" si="10"/>
        <v>Review</v>
      </c>
    </row>
    <row r="670" spans="1:8">
      <c r="A670" s="2">
        <v>669</v>
      </c>
      <c r="B670" s="2" t="s">
        <v>33</v>
      </c>
      <c r="C670" s="2" t="s">
        <v>22</v>
      </c>
      <c r="D670" s="2">
        <v>9</v>
      </c>
      <c r="E670" s="3">
        <v>93989</v>
      </c>
      <c r="F670" s="2" t="s">
        <v>9</v>
      </c>
      <c r="G670" s="2" t="s">
        <v>26</v>
      </c>
      <c r="H670" t="str">
        <f t="shared" si="10"/>
        <v>Review</v>
      </c>
    </row>
    <row r="671" spans="1:8">
      <c r="A671" s="2">
        <v>670</v>
      </c>
      <c r="B671" s="2" t="s">
        <v>35</v>
      </c>
      <c r="C671" s="2" t="s">
        <v>8</v>
      </c>
      <c r="D671" s="2">
        <v>50</v>
      </c>
      <c r="E671" s="3">
        <v>54864</v>
      </c>
      <c r="F671" s="2" t="s">
        <v>13</v>
      </c>
      <c r="G671" s="2" t="s">
        <v>26</v>
      </c>
      <c r="H671" t="str">
        <f t="shared" si="10"/>
        <v>Standard</v>
      </c>
    </row>
    <row r="672" spans="1:8">
      <c r="A672" s="2">
        <v>671</v>
      </c>
      <c r="B672" s="2" t="s">
        <v>70</v>
      </c>
      <c r="C672" s="2" t="s">
        <v>12</v>
      </c>
      <c r="D672" s="2">
        <v>50</v>
      </c>
      <c r="E672" s="3">
        <v>76992</v>
      </c>
      <c r="F672" s="2" t="s">
        <v>32</v>
      </c>
      <c r="G672" s="2" t="s">
        <v>18</v>
      </c>
      <c r="H672" t="str">
        <f t="shared" si="10"/>
        <v>Review</v>
      </c>
    </row>
    <row r="673" spans="1:8">
      <c r="A673" s="2">
        <v>672</v>
      </c>
      <c r="B673" s="2" t="s">
        <v>54</v>
      </c>
      <c r="C673" s="2" t="s">
        <v>22</v>
      </c>
      <c r="D673" s="2">
        <v>38</v>
      </c>
      <c r="E673" s="3">
        <v>39073</v>
      </c>
      <c r="F673" s="2" t="s">
        <v>32</v>
      </c>
      <c r="G673" s="2" t="s">
        <v>18</v>
      </c>
      <c r="H673" t="str">
        <f t="shared" si="10"/>
        <v>Standard</v>
      </c>
    </row>
    <row r="674" spans="1:8">
      <c r="A674" s="2">
        <v>673</v>
      </c>
      <c r="B674" s="2" t="s">
        <v>74</v>
      </c>
      <c r="C674" s="2" t="s">
        <v>22</v>
      </c>
      <c r="D674" s="2">
        <v>7</v>
      </c>
      <c r="E674" s="3">
        <v>41348</v>
      </c>
      <c r="F674" s="2" t="s">
        <v>32</v>
      </c>
      <c r="G674" s="2" t="s">
        <v>29</v>
      </c>
      <c r="H674" t="str">
        <f t="shared" si="10"/>
        <v>Standard</v>
      </c>
    </row>
    <row r="675" spans="1:8">
      <c r="A675" s="2">
        <v>674</v>
      </c>
      <c r="B675" s="2" t="s">
        <v>47</v>
      </c>
      <c r="C675" s="2" t="s">
        <v>16</v>
      </c>
      <c r="D675" s="2">
        <v>10</v>
      </c>
      <c r="E675" s="3">
        <v>51867</v>
      </c>
      <c r="F675" s="2" t="s">
        <v>20</v>
      </c>
      <c r="G675" s="2" t="s">
        <v>14</v>
      </c>
      <c r="H675" t="str">
        <f t="shared" si="10"/>
        <v>Standard</v>
      </c>
    </row>
    <row r="676" spans="1:8">
      <c r="A676" s="2">
        <v>675</v>
      </c>
      <c r="B676" s="2" t="s">
        <v>37</v>
      </c>
      <c r="C676" s="2" t="s">
        <v>16</v>
      </c>
      <c r="D676" s="2">
        <v>7</v>
      </c>
      <c r="E676" s="3">
        <v>43988</v>
      </c>
      <c r="F676" s="2" t="s">
        <v>28</v>
      </c>
      <c r="G676" s="2" t="s">
        <v>18</v>
      </c>
      <c r="H676" t="str">
        <f t="shared" si="10"/>
        <v>Standard</v>
      </c>
    </row>
    <row r="677" spans="1:8">
      <c r="A677" s="2">
        <v>676</v>
      </c>
      <c r="B677" s="2" t="s">
        <v>65</v>
      </c>
      <c r="C677" s="2" t="s">
        <v>12</v>
      </c>
      <c r="D677" s="2">
        <v>11</v>
      </c>
      <c r="E677" s="3">
        <v>57380</v>
      </c>
      <c r="F677" s="2" t="s">
        <v>13</v>
      </c>
      <c r="G677" s="2" t="s">
        <v>14</v>
      </c>
      <c r="H677" t="str">
        <f t="shared" si="10"/>
        <v>Standard</v>
      </c>
    </row>
    <row r="678" spans="1:8">
      <c r="A678" s="2">
        <v>677</v>
      </c>
      <c r="B678" s="2" t="s">
        <v>71</v>
      </c>
      <c r="C678" s="2" t="s">
        <v>16</v>
      </c>
      <c r="D678" s="2">
        <v>29</v>
      </c>
      <c r="E678" s="3">
        <v>57829</v>
      </c>
      <c r="F678" s="2" t="s">
        <v>17</v>
      </c>
      <c r="G678" s="2" t="s">
        <v>10</v>
      </c>
      <c r="H678" t="str">
        <f t="shared" si="10"/>
        <v>Standard</v>
      </c>
    </row>
    <row r="679" spans="1:8">
      <c r="A679" s="2">
        <v>678</v>
      </c>
      <c r="B679" s="2" t="s">
        <v>19</v>
      </c>
      <c r="C679" s="2" t="s">
        <v>8</v>
      </c>
      <c r="D679" s="2">
        <v>30</v>
      </c>
      <c r="E679" s="3">
        <v>43265</v>
      </c>
      <c r="F679" s="2" t="s">
        <v>20</v>
      </c>
      <c r="G679" s="2" t="s">
        <v>10</v>
      </c>
      <c r="H679" t="str">
        <f t="shared" si="10"/>
        <v>Standard</v>
      </c>
    </row>
    <row r="680" spans="1:8">
      <c r="A680" s="2">
        <v>679</v>
      </c>
      <c r="B680" s="2" t="s">
        <v>27</v>
      </c>
      <c r="C680" s="2" t="s">
        <v>8</v>
      </c>
      <c r="D680" s="2">
        <v>21</v>
      </c>
      <c r="E680" s="3">
        <v>29018</v>
      </c>
      <c r="F680" s="2" t="s">
        <v>20</v>
      </c>
      <c r="G680" s="2" t="s">
        <v>18</v>
      </c>
      <c r="H680" t="str">
        <f t="shared" si="10"/>
        <v>Standard</v>
      </c>
    </row>
    <row r="681" spans="1:8">
      <c r="A681" s="2">
        <v>680</v>
      </c>
      <c r="B681" s="2" t="s">
        <v>49</v>
      </c>
      <c r="C681" s="2" t="s">
        <v>22</v>
      </c>
      <c r="D681" s="2">
        <v>27</v>
      </c>
      <c r="E681" s="3">
        <v>98816</v>
      </c>
      <c r="F681" s="2" t="s">
        <v>13</v>
      </c>
      <c r="G681" s="2" t="s">
        <v>14</v>
      </c>
      <c r="H681" t="str">
        <f t="shared" si="10"/>
        <v>Review</v>
      </c>
    </row>
    <row r="682" spans="1:8">
      <c r="A682" s="2">
        <v>681</v>
      </c>
      <c r="B682" s="2" t="s">
        <v>71</v>
      </c>
      <c r="C682" s="2" t="s">
        <v>16</v>
      </c>
      <c r="D682" s="2">
        <v>8</v>
      </c>
      <c r="E682" s="3">
        <v>80290</v>
      </c>
      <c r="F682" s="2" t="s">
        <v>13</v>
      </c>
      <c r="G682" s="2" t="s">
        <v>18</v>
      </c>
      <c r="H682" t="str">
        <f t="shared" si="10"/>
        <v>Review</v>
      </c>
    </row>
    <row r="683" spans="1:8">
      <c r="A683" s="2">
        <v>682</v>
      </c>
      <c r="B683" s="2" t="s">
        <v>65</v>
      </c>
      <c r="C683" s="2" t="s">
        <v>16</v>
      </c>
      <c r="D683" s="2">
        <v>35</v>
      </c>
      <c r="E683" s="3">
        <v>58306</v>
      </c>
      <c r="F683" s="2" t="s">
        <v>17</v>
      </c>
      <c r="G683" s="2" t="s">
        <v>18</v>
      </c>
      <c r="H683" t="str">
        <f t="shared" si="10"/>
        <v>Standard</v>
      </c>
    </row>
    <row r="684" spans="1:8">
      <c r="A684" s="2">
        <v>683</v>
      </c>
      <c r="B684" s="2" t="s">
        <v>71</v>
      </c>
      <c r="C684" s="2" t="s">
        <v>22</v>
      </c>
      <c r="D684" s="2">
        <v>23</v>
      </c>
      <c r="E684" s="3">
        <v>55615</v>
      </c>
      <c r="F684" s="2" t="s">
        <v>17</v>
      </c>
      <c r="G684" s="2" t="s">
        <v>29</v>
      </c>
      <c r="H684" t="str">
        <f t="shared" si="10"/>
        <v>Standard</v>
      </c>
    </row>
    <row r="685" spans="1:8">
      <c r="A685" s="2">
        <v>684</v>
      </c>
      <c r="B685" s="2" t="s">
        <v>85</v>
      </c>
      <c r="C685" s="2" t="s">
        <v>12</v>
      </c>
      <c r="D685" s="2">
        <v>50</v>
      </c>
      <c r="E685" s="3">
        <v>62013</v>
      </c>
      <c r="F685" s="2" t="s">
        <v>32</v>
      </c>
      <c r="G685" s="2" t="s">
        <v>10</v>
      </c>
      <c r="H685" t="str">
        <f t="shared" si="10"/>
        <v>Review</v>
      </c>
    </row>
    <row r="686" spans="1:8">
      <c r="A686" s="2">
        <v>685</v>
      </c>
      <c r="B686" s="2" t="s">
        <v>53</v>
      </c>
      <c r="C686" s="2" t="s">
        <v>16</v>
      </c>
      <c r="D686" s="2">
        <v>14</v>
      </c>
      <c r="E686" s="3">
        <v>67872</v>
      </c>
      <c r="F686" s="2" t="s">
        <v>17</v>
      </c>
      <c r="G686" s="2" t="s">
        <v>14</v>
      </c>
      <c r="H686" t="str">
        <f t="shared" si="10"/>
        <v>Review</v>
      </c>
    </row>
    <row r="687" spans="1:8">
      <c r="A687" s="2">
        <v>686</v>
      </c>
      <c r="B687" s="2" t="s">
        <v>61</v>
      </c>
      <c r="C687" s="2" t="s">
        <v>16</v>
      </c>
      <c r="D687" s="2">
        <v>29</v>
      </c>
      <c r="E687" s="3">
        <v>40096</v>
      </c>
      <c r="F687" s="2" t="s">
        <v>17</v>
      </c>
      <c r="G687" s="2" t="s">
        <v>10</v>
      </c>
      <c r="H687" t="str">
        <f t="shared" si="10"/>
        <v>Standard</v>
      </c>
    </row>
    <row r="688" spans="1:8">
      <c r="A688" s="2">
        <v>687</v>
      </c>
      <c r="B688" s="2" t="s">
        <v>59</v>
      </c>
      <c r="C688" s="2" t="s">
        <v>12</v>
      </c>
      <c r="D688" s="2">
        <v>20</v>
      </c>
      <c r="E688" s="3">
        <v>27708</v>
      </c>
      <c r="F688" s="2" t="s">
        <v>38</v>
      </c>
      <c r="G688" s="2" t="s">
        <v>29</v>
      </c>
      <c r="H688" t="str">
        <f t="shared" si="10"/>
        <v>Standard</v>
      </c>
    </row>
    <row r="689" spans="1:8">
      <c r="A689" s="2">
        <v>688</v>
      </c>
      <c r="B689" s="2" t="s">
        <v>48</v>
      </c>
      <c r="C689" s="2" t="s">
        <v>16</v>
      </c>
      <c r="D689" s="2">
        <v>30</v>
      </c>
      <c r="E689" s="3">
        <v>87283</v>
      </c>
      <c r="F689" s="2" t="s">
        <v>28</v>
      </c>
      <c r="G689" s="2" t="s">
        <v>23</v>
      </c>
      <c r="H689" t="str">
        <f t="shared" si="10"/>
        <v>Review</v>
      </c>
    </row>
    <row r="690" spans="1:8">
      <c r="A690" s="2">
        <v>689</v>
      </c>
      <c r="B690" s="2" t="s">
        <v>60</v>
      </c>
      <c r="C690" s="2" t="s">
        <v>8</v>
      </c>
      <c r="D690" s="2">
        <v>17</v>
      </c>
      <c r="E690" s="3">
        <v>54764</v>
      </c>
      <c r="F690" s="2" t="s">
        <v>25</v>
      </c>
      <c r="G690" s="2" t="s">
        <v>10</v>
      </c>
      <c r="H690" t="str">
        <f t="shared" si="10"/>
        <v>Standard</v>
      </c>
    </row>
    <row r="691" spans="1:8">
      <c r="A691" s="2">
        <v>690</v>
      </c>
      <c r="B691" s="2" t="s">
        <v>30</v>
      </c>
      <c r="C691" s="2" t="s">
        <v>8</v>
      </c>
      <c r="D691" s="2">
        <v>8</v>
      </c>
      <c r="E691" s="3">
        <v>26048</v>
      </c>
      <c r="F691" s="2" t="s">
        <v>17</v>
      </c>
      <c r="G691" s="2" t="s">
        <v>29</v>
      </c>
      <c r="H691" t="str">
        <f t="shared" si="10"/>
        <v>Standard</v>
      </c>
    </row>
    <row r="692" spans="1:8">
      <c r="A692" s="2">
        <v>691</v>
      </c>
      <c r="B692" s="2" t="s">
        <v>52</v>
      </c>
      <c r="C692" s="2" t="s">
        <v>12</v>
      </c>
      <c r="D692" s="2">
        <v>6</v>
      </c>
      <c r="E692" s="3">
        <v>61933</v>
      </c>
      <c r="F692" s="2" t="s">
        <v>9</v>
      </c>
      <c r="G692" s="2" t="s">
        <v>26</v>
      </c>
      <c r="H692" t="str">
        <f t="shared" si="10"/>
        <v>Review</v>
      </c>
    </row>
    <row r="693" spans="1:8">
      <c r="A693" s="2">
        <v>692</v>
      </c>
      <c r="B693" s="2" t="s">
        <v>11</v>
      </c>
      <c r="C693" s="2" t="s">
        <v>12</v>
      </c>
      <c r="D693" s="2">
        <v>11</v>
      </c>
      <c r="E693" s="3">
        <v>94774</v>
      </c>
      <c r="F693" s="2" t="s">
        <v>25</v>
      </c>
      <c r="G693" s="2" t="s">
        <v>10</v>
      </c>
      <c r="H693" t="str">
        <f t="shared" si="10"/>
        <v>Review</v>
      </c>
    </row>
    <row r="694" spans="1:8">
      <c r="A694" s="2">
        <v>693</v>
      </c>
      <c r="B694" s="2" t="s">
        <v>34</v>
      </c>
      <c r="C694" s="2" t="s">
        <v>8</v>
      </c>
      <c r="D694" s="2">
        <v>44</v>
      </c>
      <c r="E694" s="3">
        <v>68674</v>
      </c>
      <c r="F694" s="2" t="s">
        <v>9</v>
      </c>
      <c r="G694" s="2" t="s">
        <v>14</v>
      </c>
      <c r="H694" t="str">
        <f t="shared" si="10"/>
        <v>Review</v>
      </c>
    </row>
    <row r="695" spans="1:8">
      <c r="A695" s="2">
        <v>694</v>
      </c>
      <c r="B695" s="2" t="s">
        <v>84</v>
      </c>
      <c r="C695" s="2" t="s">
        <v>8</v>
      </c>
      <c r="D695" s="2">
        <v>20</v>
      </c>
      <c r="E695" s="3">
        <v>67227</v>
      </c>
      <c r="F695" s="2" t="s">
        <v>38</v>
      </c>
      <c r="G695" s="2" t="s">
        <v>29</v>
      </c>
      <c r="H695" t="str">
        <f t="shared" si="10"/>
        <v>Review</v>
      </c>
    </row>
    <row r="696" spans="1:8">
      <c r="A696" s="2">
        <v>695</v>
      </c>
      <c r="B696" s="2" t="s">
        <v>65</v>
      </c>
      <c r="C696" s="2" t="s">
        <v>8</v>
      </c>
      <c r="D696" s="2">
        <v>46</v>
      </c>
      <c r="E696" s="3">
        <v>68037</v>
      </c>
      <c r="F696" s="2" t="s">
        <v>32</v>
      </c>
      <c r="G696" s="2" t="s">
        <v>23</v>
      </c>
      <c r="H696" t="str">
        <f t="shared" si="10"/>
        <v>Review</v>
      </c>
    </row>
    <row r="697" spans="1:8">
      <c r="A697" s="2">
        <v>696</v>
      </c>
      <c r="B697" s="2" t="s">
        <v>34</v>
      </c>
      <c r="C697" s="2" t="s">
        <v>8</v>
      </c>
      <c r="D697" s="2">
        <v>45</v>
      </c>
      <c r="E697" s="3">
        <v>58113</v>
      </c>
      <c r="F697" s="2" t="s">
        <v>32</v>
      </c>
      <c r="G697" s="2" t="s">
        <v>10</v>
      </c>
      <c r="H697" t="str">
        <f t="shared" si="10"/>
        <v>Standard</v>
      </c>
    </row>
    <row r="698" spans="1:8">
      <c r="A698" s="2">
        <v>697</v>
      </c>
      <c r="B698" s="2" t="s">
        <v>67</v>
      </c>
      <c r="C698" s="2" t="s">
        <v>12</v>
      </c>
      <c r="D698" s="2">
        <v>39</v>
      </c>
      <c r="E698" s="3">
        <v>40966</v>
      </c>
      <c r="F698" s="2" t="s">
        <v>17</v>
      </c>
      <c r="G698" s="2" t="s">
        <v>29</v>
      </c>
      <c r="H698" t="str">
        <f t="shared" si="10"/>
        <v>Standard</v>
      </c>
    </row>
    <row r="699" spans="1:8">
      <c r="A699" s="2">
        <v>698</v>
      </c>
      <c r="B699" s="2" t="s">
        <v>84</v>
      </c>
      <c r="C699" s="2" t="s">
        <v>12</v>
      </c>
      <c r="D699" s="2">
        <v>3</v>
      </c>
      <c r="E699" s="3">
        <v>36899</v>
      </c>
      <c r="F699" s="2" t="s">
        <v>25</v>
      </c>
      <c r="G699" s="2" t="s">
        <v>23</v>
      </c>
      <c r="H699" t="str">
        <f t="shared" si="10"/>
        <v>Standard</v>
      </c>
    </row>
    <row r="700" spans="1:8">
      <c r="A700" s="2">
        <v>699</v>
      </c>
      <c r="B700" s="2" t="s">
        <v>91</v>
      </c>
      <c r="C700" s="2" t="s">
        <v>22</v>
      </c>
      <c r="D700" s="2">
        <v>14</v>
      </c>
      <c r="E700" s="3">
        <v>71117</v>
      </c>
      <c r="F700" s="2" t="s">
        <v>20</v>
      </c>
      <c r="G700" s="2" t="s">
        <v>26</v>
      </c>
      <c r="H700" t="str">
        <f t="shared" si="10"/>
        <v>Review</v>
      </c>
    </row>
    <row r="701" spans="1:8">
      <c r="A701" s="2">
        <v>700</v>
      </c>
      <c r="B701" s="2" t="s">
        <v>47</v>
      </c>
      <c r="C701" s="2" t="s">
        <v>12</v>
      </c>
      <c r="D701" s="2">
        <v>21</v>
      </c>
      <c r="E701" s="3">
        <v>46269</v>
      </c>
      <c r="F701" s="2" t="s">
        <v>20</v>
      </c>
      <c r="G701" s="2" t="s">
        <v>14</v>
      </c>
      <c r="H701" t="str">
        <f t="shared" si="10"/>
        <v>Standard</v>
      </c>
    </row>
    <row r="702" spans="1:8">
      <c r="A702" s="2">
        <v>701</v>
      </c>
      <c r="B702" s="2" t="s">
        <v>24</v>
      </c>
      <c r="C702" s="2" t="s">
        <v>8</v>
      </c>
      <c r="D702" s="2">
        <v>10</v>
      </c>
      <c r="E702" s="3">
        <v>33320</v>
      </c>
      <c r="F702" s="2" t="s">
        <v>38</v>
      </c>
      <c r="G702" s="2" t="s">
        <v>10</v>
      </c>
      <c r="H702" t="str">
        <f t="shared" si="10"/>
        <v>Standard</v>
      </c>
    </row>
    <row r="703" spans="1:8">
      <c r="A703" s="2">
        <v>702</v>
      </c>
      <c r="B703" s="2" t="s">
        <v>30</v>
      </c>
      <c r="C703" s="2" t="s">
        <v>16</v>
      </c>
      <c r="D703" s="2">
        <v>6</v>
      </c>
      <c r="E703" s="3">
        <v>64977</v>
      </c>
      <c r="F703" s="2" t="s">
        <v>32</v>
      </c>
      <c r="G703" s="2" t="s">
        <v>26</v>
      </c>
      <c r="H703" t="str">
        <f t="shared" si="10"/>
        <v>Review</v>
      </c>
    </row>
    <row r="704" spans="1:8">
      <c r="A704" s="2">
        <v>703</v>
      </c>
      <c r="B704" s="2" t="s">
        <v>62</v>
      </c>
      <c r="C704" s="2" t="s">
        <v>8</v>
      </c>
      <c r="D704" s="2">
        <v>46</v>
      </c>
      <c r="E704" s="3">
        <v>33685</v>
      </c>
      <c r="F704" s="2" t="s">
        <v>25</v>
      </c>
      <c r="G704" s="2" t="s">
        <v>18</v>
      </c>
      <c r="H704" t="str">
        <f t="shared" si="10"/>
        <v>Standard</v>
      </c>
    </row>
    <row r="705" spans="1:8">
      <c r="A705" s="2">
        <v>704</v>
      </c>
      <c r="B705" s="2" t="s">
        <v>93</v>
      </c>
      <c r="C705" s="2" t="s">
        <v>8</v>
      </c>
      <c r="D705" s="2">
        <v>16</v>
      </c>
      <c r="E705" s="3">
        <v>47510</v>
      </c>
      <c r="F705" s="2" t="s">
        <v>28</v>
      </c>
      <c r="G705" s="2" t="s">
        <v>14</v>
      </c>
      <c r="H705" t="str">
        <f t="shared" si="10"/>
        <v>Standard</v>
      </c>
    </row>
    <row r="706" spans="1:8">
      <c r="A706" s="2">
        <v>705</v>
      </c>
      <c r="B706" s="2" t="s">
        <v>61</v>
      </c>
      <c r="C706" s="2" t="s">
        <v>12</v>
      </c>
      <c r="D706" s="2">
        <v>23</v>
      </c>
      <c r="E706" s="3">
        <v>60667</v>
      </c>
      <c r="F706" s="2" t="s">
        <v>38</v>
      </c>
      <c r="G706" s="2" t="s">
        <v>14</v>
      </c>
      <c r="H706" t="str">
        <f t="shared" si="10"/>
        <v>Review</v>
      </c>
    </row>
    <row r="707" spans="1:8">
      <c r="A707" s="2">
        <v>706</v>
      </c>
      <c r="B707" s="2" t="s">
        <v>94</v>
      </c>
      <c r="C707" s="2" t="s">
        <v>22</v>
      </c>
      <c r="D707" s="2">
        <v>26</v>
      </c>
      <c r="E707" s="3">
        <v>25142</v>
      </c>
      <c r="F707" s="2" t="s">
        <v>17</v>
      </c>
      <c r="G707" s="2" t="s">
        <v>14</v>
      </c>
      <c r="H707" t="str">
        <f t="shared" ref="H707:H770" si="11">IF(AND(F707="Electric",E707&gt;45000),"Urgent",IF(OR(F707="Hybrid",E707&gt;60000),"Review","Standard"))</f>
        <v>Standard</v>
      </c>
    </row>
    <row r="708" spans="1:8">
      <c r="A708" s="2">
        <v>707</v>
      </c>
      <c r="B708" s="2" t="s">
        <v>56</v>
      </c>
      <c r="C708" s="2" t="s">
        <v>16</v>
      </c>
      <c r="D708" s="2">
        <v>33</v>
      </c>
      <c r="E708" s="3">
        <v>86382</v>
      </c>
      <c r="F708" s="2" t="s">
        <v>20</v>
      </c>
      <c r="G708" s="2" t="s">
        <v>14</v>
      </c>
      <c r="H708" t="str">
        <f t="shared" si="11"/>
        <v>Review</v>
      </c>
    </row>
    <row r="709" spans="1:8">
      <c r="A709" s="2">
        <v>708</v>
      </c>
      <c r="B709" s="2" t="s">
        <v>47</v>
      </c>
      <c r="C709" s="2" t="s">
        <v>16</v>
      </c>
      <c r="D709" s="2">
        <v>4</v>
      </c>
      <c r="E709" s="3">
        <v>39574</v>
      </c>
      <c r="F709" s="2" t="s">
        <v>28</v>
      </c>
      <c r="G709" s="2" t="s">
        <v>23</v>
      </c>
      <c r="H709" t="str">
        <f t="shared" si="11"/>
        <v>Standard</v>
      </c>
    </row>
    <row r="710" spans="1:8">
      <c r="A710" s="2">
        <v>709</v>
      </c>
      <c r="B710" s="2" t="s">
        <v>63</v>
      </c>
      <c r="C710" s="2" t="s">
        <v>22</v>
      </c>
      <c r="D710" s="2">
        <v>44</v>
      </c>
      <c r="E710" s="3">
        <v>35981</v>
      </c>
      <c r="F710" s="2" t="s">
        <v>9</v>
      </c>
      <c r="G710" s="2" t="s">
        <v>26</v>
      </c>
      <c r="H710" t="str">
        <f t="shared" si="11"/>
        <v>Standard</v>
      </c>
    </row>
    <row r="711" spans="1:8">
      <c r="A711" s="2">
        <v>710</v>
      </c>
      <c r="B711" s="2" t="s">
        <v>86</v>
      </c>
      <c r="C711" s="2" t="s">
        <v>8</v>
      </c>
      <c r="D711" s="2">
        <v>20</v>
      </c>
      <c r="E711" s="3">
        <v>60846</v>
      </c>
      <c r="F711" s="2" t="s">
        <v>9</v>
      </c>
      <c r="G711" s="2" t="s">
        <v>18</v>
      </c>
      <c r="H711" t="str">
        <f t="shared" si="11"/>
        <v>Review</v>
      </c>
    </row>
    <row r="712" spans="1:8">
      <c r="A712" s="2">
        <v>711</v>
      </c>
      <c r="B712" s="2" t="s">
        <v>48</v>
      </c>
      <c r="C712" s="2" t="s">
        <v>12</v>
      </c>
      <c r="D712" s="2">
        <v>17</v>
      </c>
      <c r="E712" s="3">
        <v>97067</v>
      </c>
      <c r="F712" s="2" t="s">
        <v>38</v>
      </c>
      <c r="G712" s="2" t="s">
        <v>10</v>
      </c>
      <c r="H712" t="str">
        <f t="shared" si="11"/>
        <v>Review</v>
      </c>
    </row>
    <row r="713" spans="1:8">
      <c r="A713" s="2">
        <v>712</v>
      </c>
      <c r="B713" s="2" t="s">
        <v>21</v>
      </c>
      <c r="C713" s="2" t="s">
        <v>8</v>
      </c>
      <c r="D713" s="2">
        <v>12</v>
      </c>
      <c r="E713" s="3">
        <v>72575</v>
      </c>
      <c r="F713" s="2" t="s">
        <v>17</v>
      </c>
      <c r="G713" s="2" t="s">
        <v>14</v>
      </c>
      <c r="H713" t="str">
        <f t="shared" si="11"/>
        <v>Review</v>
      </c>
    </row>
    <row r="714" spans="1:8">
      <c r="A714" s="2">
        <v>713</v>
      </c>
      <c r="B714" s="2" t="s">
        <v>51</v>
      </c>
      <c r="C714" s="2" t="s">
        <v>16</v>
      </c>
      <c r="D714" s="2">
        <v>2</v>
      </c>
      <c r="E714" s="3">
        <v>53446</v>
      </c>
      <c r="F714" s="2" t="s">
        <v>32</v>
      </c>
      <c r="G714" s="2" t="s">
        <v>10</v>
      </c>
      <c r="H714" t="str">
        <f t="shared" si="11"/>
        <v>Standard</v>
      </c>
    </row>
    <row r="715" spans="1:8">
      <c r="A715" s="2">
        <v>714</v>
      </c>
      <c r="B715" s="2" t="s">
        <v>70</v>
      </c>
      <c r="C715" s="2" t="s">
        <v>16</v>
      </c>
      <c r="D715" s="2">
        <v>26</v>
      </c>
      <c r="E715" s="3">
        <v>73658</v>
      </c>
      <c r="F715" s="2" t="s">
        <v>32</v>
      </c>
      <c r="G715" s="2" t="s">
        <v>29</v>
      </c>
      <c r="H715" t="str">
        <f t="shared" si="11"/>
        <v>Review</v>
      </c>
    </row>
    <row r="716" spans="1:8">
      <c r="A716" s="2">
        <v>715</v>
      </c>
      <c r="B716" s="2" t="s">
        <v>94</v>
      </c>
      <c r="C716" s="2" t="s">
        <v>8</v>
      </c>
      <c r="D716" s="2">
        <v>29</v>
      </c>
      <c r="E716" s="3">
        <v>67188</v>
      </c>
      <c r="F716" s="2" t="s">
        <v>32</v>
      </c>
      <c r="G716" s="2" t="s">
        <v>26</v>
      </c>
      <c r="H716" t="str">
        <f t="shared" si="11"/>
        <v>Review</v>
      </c>
    </row>
    <row r="717" spans="1:8">
      <c r="A717" s="2">
        <v>716</v>
      </c>
      <c r="B717" s="2" t="s">
        <v>64</v>
      </c>
      <c r="C717" s="2" t="s">
        <v>16</v>
      </c>
      <c r="D717" s="2">
        <v>36</v>
      </c>
      <c r="E717" s="3">
        <v>52939</v>
      </c>
      <c r="F717" s="2" t="s">
        <v>28</v>
      </c>
      <c r="G717" s="2" t="s">
        <v>26</v>
      </c>
      <c r="H717" t="str">
        <f t="shared" si="11"/>
        <v>Standard</v>
      </c>
    </row>
    <row r="718" spans="1:8">
      <c r="A718" s="2">
        <v>717</v>
      </c>
      <c r="B718" s="2" t="s">
        <v>73</v>
      </c>
      <c r="C718" s="2" t="s">
        <v>12</v>
      </c>
      <c r="D718" s="2">
        <v>48</v>
      </c>
      <c r="E718" s="3">
        <v>45150</v>
      </c>
      <c r="F718" s="2" t="s">
        <v>9</v>
      </c>
      <c r="G718" s="2" t="s">
        <v>14</v>
      </c>
      <c r="H718" t="str">
        <f t="shared" si="11"/>
        <v>Standard</v>
      </c>
    </row>
    <row r="719" spans="1:8">
      <c r="A719" s="2">
        <v>718</v>
      </c>
      <c r="B719" s="2" t="s">
        <v>90</v>
      </c>
      <c r="C719" s="2" t="s">
        <v>16</v>
      </c>
      <c r="D719" s="2">
        <v>36</v>
      </c>
      <c r="E719" s="3">
        <v>99948</v>
      </c>
      <c r="F719" s="2" t="s">
        <v>25</v>
      </c>
      <c r="G719" s="2" t="s">
        <v>14</v>
      </c>
      <c r="H719" t="str">
        <f t="shared" si="11"/>
        <v>Review</v>
      </c>
    </row>
    <row r="720" spans="1:8">
      <c r="A720" s="2">
        <v>719</v>
      </c>
      <c r="B720" s="2" t="s">
        <v>93</v>
      </c>
      <c r="C720" s="2" t="s">
        <v>12</v>
      </c>
      <c r="D720" s="2">
        <v>16</v>
      </c>
      <c r="E720" s="3">
        <v>29467</v>
      </c>
      <c r="F720" s="2" t="s">
        <v>38</v>
      </c>
      <c r="G720" s="2" t="s">
        <v>26</v>
      </c>
      <c r="H720" t="str">
        <f t="shared" si="11"/>
        <v>Standard</v>
      </c>
    </row>
    <row r="721" spans="1:8">
      <c r="A721" s="2">
        <v>720</v>
      </c>
      <c r="B721" s="2" t="s">
        <v>79</v>
      </c>
      <c r="C721" s="2" t="s">
        <v>8</v>
      </c>
      <c r="D721" s="2">
        <v>7</v>
      </c>
      <c r="E721" s="3">
        <v>45959</v>
      </c>
      <c r="F721" s="2" t="s">
        <v>13</v>
      </c>
      <c r="G721" s="2" t="s">
        <v>10</v>
      </c>
      <c r="H721" t="str">
        <f t="shared" si="11"/>
        <v>Standard</v>
      </c>
    </row>
    <row r="722" spans="1:8">
      <c r="A722" s="2">
        <v>721</v>
      </c>
      <c r="B722" s="2" t="s">
        <v>77</v>
      </c>
      <c r="C722" s="2" t="s">
        <v>8</v>
      </c>
      <c r="D722" s="2">
        <v>30</v>
      </c>
      <c r="E722" s="3">
        <v>91618</v>
      </c>
      <c r="F722" s="2" t="s">
        <v>38</v>
      </c>
      <c r="G722" s="2" t="s">
        <v>18</v>
      </c>
      <c r="H722" t="str">
        <f t="shared" si="11"/>
        <v>Review</v>
      </c>
    </row>
    <row r="723" spans="1:8">
      <c r="A723" s="2">
        <v>722</v>
      </c>
      <c r="B723" s="2" t="s">
        <v>89</v>
      </c>
      <c r="C723" s="2" t="s">
        <v>12</v>
      </c>
      <c r="D723" s="2">
        <v>7</v>
      </c>
      <c r="E723" s="3">
        <v>75196</v>
      </c>
      <c r="F723" s="2" t="s">
        <v>28</v>
      </c>
      <c r="G723" s="2" t="s">
        <v>29</v>
      </c>
      <c r="H723" t="str">
        <f t="shared" si="11"/>
        <v>Review</v>
      </c>
    </row>
    <row r="724" spans="1:8">
      <c r="A724" s="2">
        <v>723</v>
      </c>
      <c r="B724" s="2" t="s">
        <v>73</v>
      </c>
      <c r="C724" s="2" t="s">
        <v>12</v>
      </c>
      <c r="D724" s="2">
        <v>9</v>
      </c>
      <c r="E724" s="3">
        <v>88321</v>
      </c>
      <c r="F724" s="2" t="s">
        <v>25</v>
      </c>
      <c r="G724" s="2" t="s">
        <v>26</v>
      </c>
      <c r="H724" t="str">
        <f t="shared" si="11"/>
        <v>Review</v>
      </c>
    </row>
    <row r="725" spans="1:8">
      <c r="A725" s="2">
        <v>724</v>
      </c>
      <c r="B725" s="2" t="s">
        <v>77</v>
      </c>
      <c r="C725" s="2" t="s">
        <v>12</v>
      </c>
      <c r="D725" s="2">
        <v>8</v>
      </c>
      <c r="E725" s="3">
        <v>44166</v>
      </c>
      <c r="F725" s="2" t="s">
        <v>38</v>
      </c>
      <c r="G725" s="2" t="s">
        <v>18</v>
      </c>
      <c r="H725" t="str">
        <f t="shared" si="11"/>
        <v>Standard</v>
      </c>
    </row>
    <row r="726" spans="1:8">
      <c r="A726" s="2">
        <v>725</v>
      </c>
      <c r="B726" s="2" t="s">
        <v>83</v>
      </c>
      <c r="C726" s="2" t="s">
        <v>16</v>
      </c>
      <c r="D726" s="2">
        <v>1</v>
      </c>
      <c r="E726" s="3">
        <v>33462</v>
      </c>
      <c r="F726" s="2" t="s">
        <v>28</v>
      </c>
      <c r="G726" s="2" t="s">
        <v>10</v>
      </c>
      <c r="H726" t="str">
        <f t="shared" si="11"/>
        <v>Standard</v>
      </c>
    </row>
    <row r="727" spans="1:8">
      <c r="A727" s="2">
        <v>726</v>
      </c>
      <c r="B727" s="2" t="s">
        <v>88</v>
      </c>
      <c r="C727" s="2" t="s">
        <v>8</v>
      </c>
      <c r="D727" s="2">
        <v>4</v>
      </c>
      <c r="E727" s="3">
        <v>37436</v>
      </c>
      <c r="F727" s="2" t="s">
        <v>32</v>
      </c>
      <c r="G727" s="2" t="s">
        <v>23</v>
      </c>
      <c r="H727" t="str">
        <f t="shared" si="11"/>
        <v>Standard</v>
      </c>
    </row>
    <row r="728" spans="1:8">
      <c r="A728" s="2">
        <v>727</v>
      </c>
      <c r="B728" s="2" t="s">
        <v>42</v>
      </c>
      <c r="C728" s="2" t="s">
        <v>16</v>
      </c>
      <c r="D728" s="2">
        <v>50</v>
      </c>
      <c r="E728" s="3">
        <v>57618</v>
      </c>
      <c r="F728" s="2" t="s">
        <v>28</v>
      </c>
      <c r="G728" s="2" t="s">
        <v>14</v>
      </c>
      <c r="H728" t="str">
        <f t="shared" si="11"/>
        <v>Standard</v>
      </c>
    </row>
    <row r="729" spans="1:8">
      <c r="A729" s="2">
        <v>728</v>
      </c>
      <c r="B729" s="2" t="s">
        <v>67</v>
      </c>
      <c r="C729" s="2" t="s">
        <v>16</v>
      </c>
      <c r="D729" s="2">
        <v>15</v>
      </c>
      <c r="E729" s="3">
        <v>71659</v>
      </c>
      <c r="F729" s="2" t="s">
        <v>38</v>
      </c>
      <c r="G729" s="2" t="s">
        <v>23</v>
      </c>
      <c r="H729" t="str">
        <f t="shared" si="11"/>
        <v>Review</v>
      </c>
    </row>
    <row r="730" spans="1:8">
      <c r="A730" s="2">
        <v>729</v>
      </c>
      <c r="B730" s="2" t="s">
        <v>70</v>
      </c>
      <c r="C730" s="2" t="s">
        <v>12</v>
      </c>
      <c r="D730" s="2">
        <v>9</v>
      </c>
      <c r="E730" s="3">
        <v>28355</v>
      </c>
      <c r="F730" s="2" t="s">
        <v>9</v>
      </c>
      <c r="G730" s="2" t="s">
        <v>26</v>
      </c>
      <c r="H730" t="str">
        <f t="shared" si="11"/>
        <v>Standard</v>
      </c>
    </row>
    <row r="731" spans="1:8">
      <c r="A731" s="2">
        <v>730</v>
      </c>
      <c r="B731" s="2" t="s">
        <v>92</v>
      </c>
      <c r="C731" s="2" t="s">
        <v>16</v>
      </c>
      <c r="D731" s="2">
        <v>13</v>
      </c>
      <c r="E731" s="3">
        <v>26655</v>
      </c>
      <c r="F731" s="2" t="s">
        <v>38</v>
      </c>
      <c r="G731" s="2" t="s">
        <v>10</v>
      </c>
      <c r="H731" t="str">
        <f t="shared" si="11"/>
        <v>Standard</v>
      </c>
    </row>
    <row r="732" spans="1:8">
      <c r="A732" s="2">
        <v>731</v>
      </c>
      <c r="B732" s="2" t="s">
        <v>86</v>
      </c>
      <c r="C732" s="2" t="s">
        <v>22</v>
      </c>
      <c r="D732" s="2">
        <v>26</v>
      </c>
      <c r="E732" s="3">
        <v>75072</v>
      </c>
      <c r="F732" s="2" t="s">
        <v>20</v>
      </c>
      <c r="G732" s="2" t="s">
        <v>10</v>
      </c>
      <c r="H732" t="str">
        <f t="shared" si="11"/>
        <v>Review</v>
      </c>
    </row>
    <row r="733" spans="1:8">
      <c r="A733" s="2">
        <v>732</v>
      </c>
      <c r="B733" s="2" t="s">
        <v>54</v>
      </c>
      <c r="C733" s="2" t="s">
        <v>22</v>
      </c>
      <c r="D733" s="2">
        <v>24</v>
      </c>
      <c r="E733" s="3">
        <v>80603</v>
      </c>
      <c r="F733" s="2" t="s">
        <v>13</v>
      </c>
      <c r="G733" s="2" t="s">
        <v>10</v>
      </c>
      <c r="H733" t="str">
        <f t="shared" si="11"/>
        <v>Review</v>
      </c>
    </row>
    <row r="734" spans="1:8">
      <c r="A734" s="2">
        <v>733</v>
      </c>
      <c r="B734" s="2" t="s">
        <v>15</v>
      </c>
      <c r="C734" s="2" t="s">
        <v>22</v>
      </c>
      <c r="D734" s="2">
        <v>44</v>
      </c>
      <c r="E734" s="3">
        <v>87206</v>
      </c>
      <c r="F734" s="2" t="s">
        <v>28</v>
      </c>
      <c r="G734" s="2" t="s">
        <v>10</v>
      </c>
      <c r="H734" t="str">
        <f t="shared" si="11"/>
        <v>Review</v>
      </c>
    </row>
    <row r="735" spans="1:8">
      <c r="A735" s="2">
        <v>734</v>
      </c>
      <c r="B735" s="2" t="s">
        <v>61</v>
      </c>
      <c r="C735" s="2" t="s">
        <v>22</v>
      </c>
      <c r="D735" s="2">
        <v>41</v>
      </c>
      <c r="E735" s="3">
        <v>33067</v>
      </c>
      <c r="F735" s="2" t="s">
        <v>17</v>
      </c>
      <c r="G735" s="2" t="s">
        <v>26</v>
      </c>
      <c r="H735" t="str">
        <f t="shared" si="11"/>
        <v>Standard</v>
      </c>
    </row>
    <row r="736" spans="1:8">
      <c r="A736" s="2">
        <v>735</v>
      </c>
      <c r="B736" s="2" t="s">
        <v>11</v>
      </c>
      <c r="C736" s="2" t="s">
        <v>22</v>
      </c>
      <c r="D736" s="2">
        <v>42</v>
      </c>
      <c r="E736" s="3">
        <v>39973</v>
      </c>
      <c r="F736" s="2" t="s">
        <v>20</v>
      </c>
      <c r="G736" s="2" t="s">
        <v>14</v>
      </c>
      <c r="H736" t="str">
        <f t="shared" si="11"/>
        <v>Standard</v>
      </c>
    </row>
    <row r="737" spans="1:8">
      <c r="A737" s="2">
        <v>736</v>
      </c>
      <c r="B737" s="2" t="s">
        <v>39</v>
      </c>
      <c r="C737" s="2" t="s">
        <v>12</v>
      </c>
      <c r="D737" s="2">
        <v>6</v>
      </c>
      <c r="E737" s="3">
        <v>56984</v>
      </c>
      <c r="F737" s="2" t="s">
        <v>38</v>
      </c>
      <c r="G737" s="2" t="s">
        <v>23</v>
      </c>
      <c r="H737" t="str">
        <f t="shared" si="11"/>
        <v>Standard</v>
      </c>
    </row>
    <row r="738" spans="1:8">
      <c r="A738" s="2">
        <v>737</v>
      </c>
      <c r="B738" s="2" t="s">
        <v>42</v>
      </c>
      <c r="C738" s="2" t="s">
        <v>16</v>
      </c>
      <c r="D738" s="2">
        <v>38</v>
      </c>
      <c r="E738" s="3">
        <v>55043</v>
      </c>
      <c r="F738" s="2" t="s">
        <v>28</v>
      </c>
      <c r="G738" s="2" t="s">
        <v>29</v>
      </c>
      <c r="H738" t="str">
        <f t="shared" si="11"/>
        <v>Standard</v>
      </c>
    </row>
    <row r="739" spans="1:8">
      <c r="A739" s="2">
        <v>738</v>
      </c>
      <c r="B739" s="2" t="s">
        <v>31</v>
      </c>
      <c r="C739" s="2" t="s">
        <v>16</v>
      </c>
      <c r="D739" s="2">
        <v>38</v>
      </c>
      <c r="E739" s="3">
        <v>92323</v>
      </c>
      <c r="F739" s="2" t="s">
        <v>13</v>
      </c>
      <c r="G739" s="2" t="s">
        <v>14</v>
      </c>
      <c r="H739" t="str">
        <f t="shared" si="11"/>
        <v>Review</v>
      </c>
    </row>
    <row r="740" spans="1:8">
      <c r="A740" s="2">
        <v>739</v>
      </c>
      <c r="B740" s="2" t="s">
        <v>66</v>
      </c>
      <c r="C740" s="2" t="s">
        <v>22</v>
      </c>
      <c r="D740" s="2">
        <v>17</v>
      </c>
      <c r="E740" s="3">
        <v>50443</v>
      </c>
      <c r="F740" s="2" t="s">
        <v>32</v>
      </c>
      <c r="G740" s="2" t="s">
        <v>10</v>
      </c>
      <c r="H740" t="str">
        <f t="shared" si="11"/>
        <v>Standard</v>
      </c>
    </row>
    <row r="741" spans="1:8">
      <c r="A741" s="2">
        <v>740</v>
      </c>
      <c r="B741" s="2" t="s">
        <v>41</v>
      </c>
      <c r="C741" s="2" t="s">
        <v>16</v>
      </c>
      <c r="D741" s="2">
        <v>5</v>
      </c>
      <c r="E741" s="3">
        <v>36790</v>
      </c>
      <c r="F741" s="2" t="s">
        <v>13</v>
      </c>
      <c r="G741" s="2" t="s">
        <v>26</v>
      </c>
      <c r="H741" t="str">
        <f t="shared" si="11"/>
        <v>Standard</v>
      </c>
    </row>
    <row r="742" spans="1:8">
      <c r="A742" s="2">
        <v>741</v>
      </c>
      <c r="B742" s="2" t="s">
        <v>94</v>
      </c>
      <c r="C742" s="2" t="s">
        <v>22</v>
      </c>
      <c r="D742" s="2">
        <v>2</v>
      </c>
      <c r="E742" s="3">
        <v>53377</v>
      </c>
      <c r="F742" s="2" t="s">
        <v>20</v>
      </c>
      <c r="G742" s="2" t="s">
        <v>10</v>
      </c>
      <c r="H742" t="str">
        <f t="shared" si="11"/>
        <v>Standard</v>
      </c>
    </row>
    <row r="743" spans="1:8">
      <c r="A743" s="2">
        <v>742</v>
      </c>
      <c r="B743" s="2" t="s">
        <v>87</v>
      </c>
      <c r="C743" s="2" t="s">
        <v>16</v>
      </c>
      <c r="D743" s="2">
        <v>5</v>
      </c>
      <c r="E743" s="3">
        <v>79403</v>
      </c>
      <c r="F743" s="2" t="s">
        <v>17</v>
      </c>
      <c r="G743" s="2" t="s">
        <v>14</v>
      </c>
      <c r="H743" t="str">
        <f t="shared" si="11"/>
        <v>Review</v>
      </c>
    </row>
    <row r="744" spans="1:8">
      <c r="A744" s="2">
        <v>743</v>
      </c>
      <c r="B744" s="2" t="s">
        <v>37</v>
      </c>
      <c r="C744" s="2" t="s">
        <v>12</v>
      </c>
      <c r="D744" s="2">
        <v>13</v>
      </c>
      <c r="E744" s="3">
        <v>75684</v>
      </c>
      <c r="F744" s="2" t="s">
        <v>9</v>
      </c>
      <c r="G744" s="2" t="s">
        <v>23</v>
      </c>
      <c r="H744" t="str">
        <f t="shared" si="11"/>
        <v>Review</v>
      </c>
    </row>
    <row r="745" spans="1:8">
      <c r="A745" s="2">
        <v>744</v>
      </c>
      <c r="B745" s="2" t="s">
        <v>43</v>
      </c>
      <c r="C745" s="2" t="s">
        <v>8</v>
      </c>
      <c r="D745" s="2">
        <v>42</v>
      </c>
      <c r="E745" s="3">
        <v>49608</v>
      </c>
      <c r="F745" s="2" t="s">
        <v>20</v>
      </c>
      <c r="G745" s="2" t="s">
        <v>23</v>
      </c>
      <c r="H745" t="str">
        <f t="shared" si="11"/>
        <v>Standard</v>
      </c>
    </row>
    <row r="746" spans="1:8">
      <c r="A746" s="2">
        <v>745</v>
      </c>
      <c r="B746" s="2" t="s">
        <v>43</v>
      </c>
      <c r="C746" s="2" t="s">
        <v>22</v>
      </c>
      <c r="D746" s="2">
        <v>29</v>
      </c>
      <c r="E746" s="3">
        <v>31609</v>
      </c>
      <c r="F746" s="2" t="s">
        <v>25</v>
      </c>
      <c r="G746" s="2" t="s">
        <v>18</v>
      </c>
      <c r="H746" t="str">
        <f t="shared" si="11"/>
        <v>Standard</v>
      </c>
    </row>
    <row r="747" spans="1:8">
      <c r="A747" s="2">
        <v>746</v>
      </c>
      <c r="B747" s="2" t="s">
        <v>88</v>
      </c>
      <c r="C747" s="2" t="s">
        <v>12</v>
      </c>
      <c r="D747" s="2">
        <v>9</v>
      </c>
      <c r="E747" s="3">
        <v>77229</v>
      </c>
      <c r="F747" s="2" t="s">
        <v>32</v>
      </c>
      <c r="G747" s="2" t="s">
        <v>18</v>
      </c>
      <c r="H747" t="str">
        <f t="shared" si="11"/>
        <v>Review</v>
      </c>
    </row>
    <row r="748" spans="1:8">
      <c r="A748" s="2">
        <v>747</v>
      </c>
      <c r="B748" s="2" t="s">
        <v>45</v>
      </c>
      <c r="C748" s="2" t="s">
        <v>12</v>
      </c>
      <c r="D748" s="2">
        <v>6</v>
      </c>
      <c r="E748" s="3">
        <v>78859</v>
      </c>
      <c r="F748" s="2" t="s">
        <v>9</v>
      </c>
      <c r="G748" s="2" t="s">
        <v>26</v>
      </c>
      <c r="H748" t="str">
        <f t="shared" si="11"/>
        <v>Review</v>
      </c>
    </row>
    <row r="749" spans="1:8">
      <c r="A749" s="2">
        <v>748</v>
      </c>
      <c r="B749" s="2" t="s">
        <v>31</v>
      </c>
      <c r="C749" s="2" t="s">
        <v>22</v>
      </c>
      <c r="D749" s="2">
        <v>22</v>
      </c>
      <c r="E749" s="3">
        <v>30846</v>
      </c>
      <c r="F749" s="2" t="s">
        <v>38</v>
      </c>
      <c r="G749" s="2" t="s">
        <v>18</v>
      </c>
      <c r="H749" t="str">
        <f t="shared" si="11"/>
        <v>Standard</v>
      </c>
    </row>
    <row r="750" spans="1:8">
      <c r="A750" s="2">
        <v>749</v>
      </c>
      <c r="B750" s="2" t="s">
        <v>62</v>
      </c>
      <c r="C750" s="2" t="s">
        <v>22</v>
      </c>
      <c r="D750" s="2">
        <v>8</v>
      </c>
      <c r="E750" s="3">
        <v>44187</v>
      </c>
      <c r="F750" s="2" t="s">
        <v>38</v>
      </c>
      <c r="G750" s="2" t="s">
        <v>10</v>
      </c>
      <c r="H750" t="str">
        <f t="shared" si="11"/>
        <v>Standard</v>
      </c>
    </row>
    <row r="751" spans="1:8">
      <c r="A751" s="2">
        <v>750</v>
      </c>
      <c r="B751" s="2" t="s">
        <v>42</v>
      </c>
      <c r="C751" s="2" t="s">
        <v>12</v>
      </c>
      <c r="D751" s="2">
        <v>3</v>
      </c>
      <c r="E751" s="3">
        <v>34896</v>
      </c>
      <c r="F751" s="2" t="s">
        <v>32</v>
      </c>
      <c r="G751" s="2" t="s">
        <v>14</v>
      </c>
      <c r="H751" t="str">
        <f t="shared" si="11"/>
        <v>Standard</v>
      </c>
    </row>
    <row r="752" spans="1:8">
      <c r="A752" s="2">
        <v>751</v>
      </c>
      <c r="B752" s="2" t="s">
        <v>82</v>
      </c>
      <c r="C752" s="2" t="s">
        <v>22</v>
      </c>
      <c r="D752" s="2">
        <v>30</v>
      </c>
      <c r="E752" s="3">
        <v>80209</v>
      </c>
      <c r="F752" s="2" t="s">
        <v>28</v>
      </c>
      <c r="G752" s="2" t="s">
        <v>26</v>
      </c>
      <c r="H752" t="str">
        <f t="shared" si="11"/>
        <v>Review</v>
      </c>
    </row>
    <row r="753" spans="1:8">
      <c r="A753" s="2">
        <v>752</v>
      </c>
      <c r="B753" s="2" t="s">
        <v>66</v>
      </c>
      <c r="C753" s="2" t="s">
        <v>22</v>
      </c>
      <c r="D753" s="2">
        <v>4</v>
      </c>
      <c r="E753" s="3">
        <v>84582</v>
      </c>
      <c r="F753" s="2" t="s">
        <v>17</v>
      </c>
      <c r="G753" s="2" t="s">
        <v>26</v>
      </c>
      <c r="H753" t="str">
        <f t="shared" si="11"/>
        <v>Review</v>
      </c>
    </row>
    <row r="754" spans="1:8">
      <c r="A754" s="2">
        <v>753</v>
      </c>
      <c r="B754" s="2" t="s">
        <v>62</v>
      </c>
      <c r="C754" s="2" t="s">
        <v>8</v>
      </c>
      <c r="D754" s="2">
        <v>11</v>
      </c>
      <c r="E754" s="3">
        <v>87310</v>
      </c>
      <c r="F754" s="2" t="s">
        <v>9</v>
      </c>
      <c r="G754" s="2" t="s">
        <v>14</v>
      </c>
      <c r="H754" t="str">
        <f t="shared" si="11"/>
        <v>Review</v>
      </c>
    </row>
    <row r="755" spans="1:8">
      <c r="A755" s="2">
        <v>754</v>
      </c>
      <c r="B755" s="2" t="s">
        <v>93</v>
      </c>
      <c r="C755" s="2" t="s">
        <v>8</v>
      </c>
      <c r="D755" s="2">
        <v>37</v>
      </c>
      <c r="E755" s="3">
        <v>92277</v>
      </c>
      <c r="F755" s="2" t="s">
        <v>13</v>
      </c>
      <c r="G755" s="2" t="s">
        <v>18</v>
      </c>
      <c r="H755" t="str">
        <f t="shared" si="11"/>
        <v>Review</v>
      </c>
    </row>
    <row r="756" spans="1:8">
      <c r="A756" s="2">
        <v>755</v>
      </c>
      <c r="B756" s="2" t="s">
        <v>48</v>
      </c>
      <c r="C756" s="2" t="s">
        <v>22</v>
      </c>
      <c r="D756" s="2">
        <v>28</v>
      </c>
      <c r="E756" s="3">
        <v>85145</v>
      </c>
      <c r="F756" s="2" t="s">
        <v>25</v>
      </c>
      <c r="G756" s="2" t="s">
        <v>23</v>
      </c>
      <c r="H756" t="str">
        <f t="shared" si="11"/>
        <v>Review</v>
      </c>
    </row>
    <row r="757" spans="1:8">
      <c r="A757" s="2">
        <v>756</v>
      </c>
      <c r="B757" s="2" t="s">
        <v>56</v>
      </c>
      <c r="C757" s="2" t="s">
        <v>12</v>
      </c>
      <c r="D757" s="2">
        <v>47</v>
      </c>
      <c r="E757" s="3">
        <v>25410</v>
      </c>
      <c r="F757" s="2" t="s">
        <v>38</v>
      </c>
      <c r="G757" s="2" t="s">
        <v>18</v>
      </c>
      <c r="H757" t="str">
        <f t="shared" si="11"/>
        <v>Standard</v>
      </c>
    </row>
    <row r="758" spans="1:8">
      <c r="A758" s="2">
        <v>757</v>
      </c>
      <c r="B758" s="2" t="s">
        <v>39</v>
      </c>
      <c r="C758" s="2" t="s">
        <v>16</v>
      </c>
      <c r="D758" s="2">
        <v>26</v>
      </c>
      <c r="E758" s="3">
        <v>99518</v>
      </c>
      <c r="F758" s="2" t="s">
        <v>17</v>
      </c>
      <c r="G758" s="2" t="s">
        <v>14</v>
      </c>
      <c r="H758" t="str">
        <f t="shared" si="11"/>
        <v>Review</v>
      </c>
    </row>
    <row r="759" spans="1:8">
      <c r="A759" s="2">
        <v>758</v>
      </c>
      <c r="B759" s="2" t="s">
        <v>75</v>
      </c>
      <c r="C759" s="2" t="s">
        <v>22</v>
      </c>
      <c r="D759" s="2">
        <v>32</v>
      </c>
      <c r="E759" s="3">
        <v>98532</v>
      </c>
      <c r="F759" s="2" t="s">
        <v>17</v>
      </c>
      <c r="G759" s="2" t="s">
        <v>10</v>
      </c>
      <c r="H759" t="str">
        <f t="shared" si="11"/>
        <v>Review</v>
      </c>
    </row>
    <row r="760" spans="1:8">
      <c r="A760" s="2">
        <v>759</v>
      </c>
      <c r="B760" s="2" t="s">
        <v>53</v>
      </c>
      <c r="C760" s="2" t="s">
        <v>22</v>
      </c>
      <c r="D760" s="2">
        <v>2</v>
      </c>
      <c r="E760" s="3">
        <v>35731</v>
      </c>
      <c r="F760" s="2" t="s">
        <v>17</v>
      </c>
      <c r="G760" s="2" t="s">
        <v>18</v>
      </c>
      <c r="H760" t="str">
        <f t="shared" si="11"/>
        <v>Standard</v>
      </c>
    </row>
    <row r="761" spans="1:8">
      <c r="A761" s="2">
        <v>760</v>
      </c>
      <c r="B761" s="2" t="s">
        <v>59</v>
      </c>
      <c r="C761" s="2" t="s">
        <v>16</v>
      </c>
      <c r="D761" s="2">
        <v>25</v>
      </c>
      <c r="E761" s="3">
        <v>56729</v>
      </c>
      <c r="F761" s="2" t="s">
        <v>28</v>
      </c>
      <c r="G761" s="2" t="s">
        <v>26</v>
      </c>
      <c r="H761" t="str">
        <f t="shared" si="11"/>
        <v>Standard</v>
      </c>
    </row>
    <row r="762" spans="1:8">
      <c r="A762" s="2">
        <v>761</v>
      </c>
      <c r="B762" s="2" t="s">
        <v>30</v>
      </c>
      <c r="C762" s="2" t="s">
        <v>16</v>
      </c>
      <c r="D762" s="2">
        <v>44</v>
      </c>
      <c r="E762" s="3">
        <v>41642</v>
      </c>
      <c r="F762" s="2" t="s">
        <v>32</v>
      </c>
      <c r="G762" s="2" t="s">
        <v>29</v>
      </c>
      <c r="H762" t="str">
        <f t="shared" si="11"/>
        <v>Standard</v>
      </c>
    </row>
    <row r="763" spans="1:8">
      <c r="A763" s="2">
        <v>762</v>
      </c>
      <c r="B763" s="2" t="s">
        <v>52</v>
      </c>
      <c r="C763" s="2" t="s">
        <v>16</v>
      </c>
      <c r="D763" s="2">
        <v>28</v>
      </c>
      <c r="E763" s="3">
        <v>32277</v>
      </c>
      <c r="F763" s="2" t="s">
        <v>28</v>
      </c>
      <c r="G763" s="2" t="s">
        <v>29</v>
      </c>
      <c r="H763" t="str">
        <f t="shared" si="11"/>
        <v>Standard</v>
      </c>
    </row>
    <row r="764" spans="1:8">
      <c r="A764" s="2">
        <v>763</v>
      </c>
      <c r="B764" s="2" t="s">
        <v>92</v>
      </c>
      <c r="C764" s="2" t="s">
        <v>8</v>
      </c>
      <c r="D764" s="2">
        <v>12</v>
      </c>
      <c r="E764" s="3">
        <v>54389</v>
      </c>
      <c r="F764" s="2" t="s">
        <v>38</v>
      </c>
      <c r="G764" s="2" t="s">
        <v>23</v>
      </c>
      <c r="H764" t="str">
        <f t="shared" si="11"/>
        <v>Standard</v>
      </c>
    </row>
    <row r="765" spans="1:8">
      <c r="A765" s="2">
        <v>764</v>
      </c>
      <c r="B765" s="2" t="s">
        <v>78</v>
      </c>
      <c r="C765" s="2" t="s">
        <v>8</v>
      </c>
      <c r="D765" s="2">
        <v>23</v>
      </c>
      <c r="E765" s="3">
        <v>50704</v>
      </c>
      <c r="F765" s="2" t="s">
        <v>28</v>
      </c>
      <c r="G765" s="2" t="s">
        <v>14</v>
      </c>
      <c r="H765" t="str">
        <f t="shared" si="11"/>
        <v>Standard</v>
      </c>
    </row>
    <row r="766" spans="1:8">
      <c r="A766" s="2">
        <v>765</v>
      </c>
      <c r="B766" s="2" t="s">
        <v>55</v>
      </c>
      <c r="C766" s="2" t="s">
        <v>8</v>
      </c>
      <c r="D766" s="2">
        <v>14</v>
      </c>
      <c r="E766" s="3">
        <v>59903</v>
      </c>
      <c r="F766" s="2" t="s">
        <v>13</v>
      </c>
      <c r="G766" s="2" t="s">
        <v>10</v>
      </c>
      <c r="H766" t="str">
        <f t="shared" si="11"/>
        <v>Standard</v>
      </c>
    </row>
    <row r="767" spans="1:8">
      <c r="A767" s="2">
        <v>766</v>
      </c>
      <c r="B767" s="2" t="s">
        <v>70</v>
      </c>
      <c r="C767" s="2" t="s">
        <v>12</v>
      </c>
      <c r="D767" s="2">
        <v>12</v>
      </c>
      <c r="E767" s="3">
        <v>67192</v>
      </c>
      <c r="F767" s="2" t="s">
        <v>38</v>
      </c>
      <c r="G767" s="2" t="s">
        <v>26</v>
      </c>
      <c r="H767" t="str">
        <f t="shared" si="11"/>
        <v>Review</v>
      </c>
    </row>
    <row r="768" spans="1:8">
      <c r="A768" s="2">
        <v>767</v>
      </c>
      <c r="B768" s="2" t="s">
        <v>15</v>
      </c>
      <c r="C768" s="2" t="s">
        <v>22</v>
      </c>
      <c r="D768" s="2">
        <v>18</v>
      </c>
      <c r="E768" s="3">
        <v>87999</v>
      </c>
      <c r="F768" s="2" t="s">
        <v>28</v>
      </c>
      <c r="G768" s="2" t="s">
        <v>29</v>
      </c>
      <c r="H768" t="str">
        <f t="shared" si="11"/>
        <v>Review</v>
      </c>
    </row>
    <row r="769" spans="1:8">
      <c r="A769" s="2">
        <v>768</v>
      </c>
      <c r="B769" s="2" t="s">
        <v>19</v>
      </c>
      <c r="C769" s="2" t="s">
        <v>8</v>
      </c>
      <c r="D769" s="2">
        <v>18</v>
      </c>
      <c r="E769" s="3">
        <v>96123</v>
      </c>
      <c r="F769" s="2" t="s">
        <v>32</v>
      </c>
      <c r="G769" s="2" t="s">
        <v>18</v>
      </c>
      <c r="H769" t="str">
        <f t="shared" si="11"/>
        <v>Review</v>
      </c>
    </row>
    <row r="770" spans="1:8">
      <c r="A770" s="2">
        <v>769</v>
      </c>
      <c r="B770" s="2" t="s">
        <v>27</v>
      </c>
      <c r="C770" s="2" t="s">
        <v>12</v>
      </c>
      <c r="D770" s="2">
        <v>29</v>
      </c>
      <c r="E770" s="3">
        <v>99164</v>
      </c>
      <c r="F770" s="2" t="s">
        <v>25</v>
      </c>
      <c r="G770" s="2" t="s">
        <v>26</v>
      </c>
      <c r="H770" t="str">
        <f t="shared" si="11"/>
        <v>Review</v>
      </c>
    </row>
    <row r="771" spans="1:8">
      <c r="A771" s="2">
        <v>770</v>
      </c>
      <c r="B771" s="2" t="s">
        <v>37</v>
      </c>
      <c r="C771" s="2" t="s">
        <v>12</v>
      </c>
      <c r="D771" s="2">
        <v>10</v>
      </c>
      <c r="E771" s="3">
        <v>50200</v>
      </c>
      <c r="F771" s="2" t="s">
        <v>17</v>
      </c>
      <c r="G771" s="2" t="s">
        <v>10</v>
      </c>
      <c r="H771" t="str">
        <f t="shared" ref="H771:H834" si="12">IF(AND(F771="Electric",E771&gt;45000),"Urgent",IF(OR(F771="Hybrid",E771&gt;60000),"Review","Standard"))</f>
        <v>Standard</v>
      </c>
    </row>
    <row r="772" spans="1:8">
      <c r="A772" s="2">
        <v>771</v>
      </c>
      <c r="B772" s="2" t="s">
        <v>77</v>
      </c>
      <c r="C772" s="2" t="s">
        <v>16</v>
      </c>
      <c r="D772" s="2">
        <v>3</v>
      </c>
      <c r="E772" s="3">
        <v>88511</v>
      </c>
      <c r="F772" s="2" t="s">
        <v>13</v>
      </c>
      <c r="G772" s="2" t="s">
        <v>14</v>
      </c>
      <c r="H772" t="str">
        <f t="shared" si="12"/>
        <v>Review</v>
      </c>
    </row>
    <row r="773" spans="1:8">
      <c r="A773" s="2">
        <v>772</v>
      </c>
      <c r="B773" s="2" t="s">
        <v>51</v>
      </c>
      <c r="C773" s="2" t="s">
        <v>16</v>
      </c>
      <c r="D773" s="2">
        <v>40</v>
      </c>
      <c r="E773" s="3">
        <v>90910</v>
      </c>
      <c r="F773" s="2" t="s">
        <v>25</v>
      </c>
      <c r="G773" s="2" t="s">
        <v>26</v>
      </c>
      <c r="H773" t="str">
        <f t="shared" si="12"/>
        <v>Review</v>
      </c>
    </row>
    <row r="774" spans="1:8">
      <c r="A774" s="2">
        <v>773</v>
      </c>
      <c r="B774" s="2" t="s">
        <v>57</v>
      </c>
      <c r="C774" s="2" t="s">
        <v>8</v>
      </c>
      <c r="D774" s="2">
        <v>40</v>
      </c>
      <c r="E774" s="3">
        <v>46021</v>
      </c>
      <c r="F774" s="2" t="s">
        <v>20</v>
      </c>
      <c r="G774" s="2" t="s">
        <v>26</v>
      </c>
      <c r="H774" t="str">
        <f t="shared" si="12"/>
        <v>Standard</v>
      </c>
    </row>
    <row r="775" spans="1:8">
      <c r="A775" s="2">
        <v>774</v>
      </c>
      <c r="B775" s="2" t="s">
        <v>68</v>
      </c>
      <c r="C775" s="2" t="s">
        <v>22</v>
      </c>
      <c r="D775" s="2">
        <v>40</v>
      </c>
      <c r="E775" s="3">
        <v>84997</v>
      </c>
      <c r="F775" s="2" t="s">
        <v>13</v>
      </c>
      <c r="G775" s="2" t="s">
        <v>18</v>
      </c>
      <c r="H775" t="str">
        <f t="shared" si="12"/>
        <v>Review</v>
      </c>
    </row>
    <row r="776" spans="1:8">
      <c r="A776" s="2">
        <v>775</v>
      </c>
      <c r="B776" s="2" t="s">
        <v>64</v>
      </c>
      <c r="C776" s="2" t="s">
        <v>22</v>
      </c>
      <c r="D776" s="2">
        <v>16</v>
      </c>
      <c r="E776" s="3">
        <v>86754</v>
      </c>
      <c r="F776" s="2" t="s">
        <v>32</v>
      </c>
      <c r="G776" s="2" t="s">
        <v>10</v>
      </c>
      <c r="H776" t="str">
        <f t="shared" si="12"/>
        <v>Review</v>
      </c>
    </row>
    <row r="777" spans="1:8">
      <c r="A777" s="2">
        <v>776</v>
      </c>
      <c r="B777" s="2" t="s">
        <v>42</v>
      </c>
      <c r="C777" s="2" t="s">
        <v>22</v>
      </c>
      <c r="D777" s="2">
        <v>42</v>
      </c>
      <c r="E777" s="3">
        <v>44478</v>
      </c>
      <c r="F777" s="2" t="s">
        <v>13</v>
      </c>
      <c r="G777" s="2" t="s">
        <v>14</v>
      </c>
      <c r="H777" t="str">
        <f t="shared" si="12"/>
        <v>Standard</v>
      </c>
    </row>
    <row r="778" spans="1:8">
      <c r="A778" s="2">
        <v>777</v>
      </c>
      <c r="B778" s="2" t="s">
        <v>84</v>
      </c>
      <c r="C778" s="2" t="s">
        <v>12</v>
      </c>
      <c r="D778" s="2">
        <v>19</v>
      </c>
      <c r="E778" s="3">
        <v>35609</v>
      </c>
      <c r="F778" s="2" t="s">
        <v>32</v>
      </c>
      <c r="G778" s="2" t="s">
        <v>26</v>
      </c>
      <c r="H778" t="str">
        <f t="shared" si="12"/>
        <v>Standard</v>
      </c>
    </row>
    <row r="779" spans="1:8">
      <c r="A779" s="2">
        <v>778</v>
      </c>
      <c r="B779" s="2" t="s">
        <v>62</v>
      </c>
      <c r="C779" s="2" t="s">
        <v>12</v>
      </c>
      <c r="D779" s="2">
        <v>32</v>
      </c>
      <c r="E779" s="3">
        <v>96930</v>
      </c>
      <c r="F779" s="2" t="s">
        <v>25</v>
      </c>
      <c r="G779" s="2" t="s">
        <v>10</v>
      </c>
      <c r="H779" t="str">
        <f t="shared" si="12"/>
        <v>Review</v>
      </c>
    </row>
    <row r="780" spans="1:8">
      <c r="A780" s="2">
        <v>779</v>
      </c>
      <c r="B780" s="2" t="s">
        <v>90</v>
      </c>
      <c r="C780" s="2" t="s">
        <v>12</v>
      </c>
      <c r="D780" s="2">
        <v>27</v>
      </c>
      <c r="E780" s="3">
        <v>61213</v>
      </c>
      <c r="F780" s="2" t="s">
        <v>13</v>
      </c>
      <c r="G780" s="2" t="s">
        <v>26</v>
      </c>
      <c r="H780" t="str">
        <f t="shared" si="12"/>
        <v>Review</v>
      </c>
    </row>
    <row r="781" spans="1:8">
      <c r="A781" s="2">
        <v>780</v>
      </c>
      <c r="B781" s="2" t="s">
        <v>75</v>
      </c>
      <c r="C781" s="2" t="s">
        <v>12</v>
      </c>
      <c r="D781" s="2">
        <v>36</v>
      </c>
      <c r="E781" s="3">
        <v>65961</v>
      </c>
      <c r="F781" s="2" t="s">
        <v>28</v>
      </c>
      <c r="G781" s="2" t="s">
        <v>29</v>
      </c>
      <c r="H781" t="str">
        <f t="shared" si="12"/>
        <v>Review</v>
      </c>
    </row>
    <row r="782" spans="1:8">
      <c r="A782" s="2">
        <v>781</v>
      </c>
      <c r="B782" s="2" t="s">
        <v>63</v>
      </c>
      <c r="C782" s="2" t="s">
        <v>22</v>
      </c>
      <c r="D782" s="2">
        <v>31</v>
      </c>
      <c r="E782" s="3">
        <v>77289</v>
      </c>
      <c r="F782" s="2" t="s">
        <v>17</v>
      </c>
      <c r="G782" s="2" t="s">
        <v>29</v>
      </c>
      <c r="H782" t="str">
        <f t="shared" si="12"/>
        <v>Review</v>
      </c>
    </row>
    <row r="783" spans="1:8">
      <c r="A783" s="2">
        <v>782</v>
      </c>
      <c r="B783" s="2" t="s">
        <v>15</v>
      </c>
      <c r="C783" s="2" t="s">
        <v>22</v>
      </c>
      <c r="D783" s="2">
        <v>4</v>
      </c>
      <c r="E783" s="3">
        <v>68813</v>
      </c>
      <c r="F783" s="2" t="s">
        <v>9</v>
      </c>
      <c r="G783" s="2" t="s">
        <v>14</v>
      </c>
      <c r="H783" t="str">
        <f t="shared" si="12"/>
        <v>Review</v>
      </c>
    </row>
    <row r="784" spans="1:8">
      <c r="A784" s="2">
        <v>783</v>
      </c>
      <c r="B784" s="2" t="s">
        <v>60</v>
      </c>
      <c r="C784" s="2" t="s">
        <v>16</v>
      </c>
      <c r="D784" s="2">
        <v>6</v>
      </c>
      <c r="E784" s="3">
        <v>38907</v>
      </c>
      <c r="F784" s="2" t="s">
        <v>25</v>
      </c>
      <c r="G784" s="2" t="s">
        <v>29</v>
      </c>
      <c r="H784" t="str">
        <f t="shared" si="12"/>
        <v>Standard</v>
      </c>
    </row>
    <row r="785" spans="1:8">
      <c r="A785" s="2">
        <v>784</v>
      </c>
      <c r="B785" s="2" t="s">
        <v>80</v>
      </c>
      <c r="C785" s="2" t="s">
        <v>22</v>
      </c>
      <c r="D785" s="2">
        <v>18</v>
      </c>
      <c r="E785" s="3">
        <v>90778</v>
      </c>
      <c r="F785" s="2" t="s">
        <v>32</v>
      </c>
      <c r="G785" s="2" t="s">
        <v>14</v>
      </c>
      <c r="H785" t="str">
        <f t="shared" si="12"/>
        <v>Review</v>
      </c>
    </row>
    <row r="786" spans="1:8">
      <c r="A786" s="2">
        <v>785</v>
      </c>
      <c r="B786" s="2" t="s">
        <v>15</v>
      </c>
      <c r="C786" s="2" t="s">
        <v>12</v>
      </c>
      <c r="D786" s="2">
        <v>25</v>
      </c>
      <c r="E786" s="3">
        <v>59575</v>
      </c>
      <c r="F786" s="2" t="s">
        <v>25</v>
      </c>
      <c r="G786" s="2" t="s">
        <v>26</v>
      </c>
      <c r="H786" t="str">
        <f t="shared" si="12"/>
        <v>Standard</v>
      </c>
    </row>
    <row r="787" spans="1:8">
      <c r="A787" s="2">
        <v>786</v>
      </c>
      <c r="B787" s="2" t="s">
        <v>64</v>
      </c>
      <c r="C787" s="2" t="s">
        <v>12</v>
      </c>
      <c r="D787" s="2">
        <v>9</v>
      </c>
      <c r="E787" s="3">
        <v>35052</v>
      </c>
      <c r="F787" s="2" t="s">
        <v>32</v>
      </c>
      <c r="G787" s="2" t="s">
        <v>23</v>
      </c>
      <c r="H787" t="str">
        <f t="shared" si="12"/>
        <v>Standard</v>
      </c>
    </row>
    <row r="788" spans="1:8">
      <c r="A788" s="2">
        <v>787</v>
      </c>
      <c r="B788" s="2" t="s">
        <v>48</v>
      </c>
      <c r="C788" s="2" t="s">
        <v>8</v>
      </c>
      <c r="D788" s="2">
        <v>27</v>
      </c>
      <c r="E788" s="3">
        <v>75899</v>
      </c>
      <c r="F788" s="2" t="s">
        <v>25</v>
      </c>
      <c r="G788" s="2" t="s">
        <v>29</v>
      </c>
      <c r="H788" t="str">
        <f t="shared" si="12"/>
        <v>Review</v>
      </c>
    </row>
    <row r="789" spans="1:8">
      <c r="A789" s="2">
        <v>788</v>
      </c>
      <c r="B789" s="2" t="s">
        <v>83</v>
      </c>
      <c r="C789" s="2" t="s">
        <v>22</v>
      </c>
      <c r="D789" s="2">
        <v>13</v>
      </c>
      <c r="E789" s="3">
        <v>72061</v>
      </c>
      <c r="F789" s="2" t="s">
        <v>28</v>
      </c>
      <c r="G789" s="2" t="s">
        <v>10</v>
      </c>
      <c r="H789" t="str">
        <f t="shared" si="12"/>
        <v>Review</v>
      </c>
    </row>
    <row r="790" spans="1:8">
      <c r="A790" s="2">
        <v>789</v>
      </c>
      <c r="B790" s="2" t="s">
        <v>49</v>
      </c>
      <c r="C790" s="2" t="s">
        <v>22</v>
      </c>
      <c r="D790" s="2">
        <v>42</v>
      </c>
      <c r="E790" s="3">
        <v>82701</v>
      </c>
      <c r="F790" s="2" t="s">
        <v>25</v>
      </c>
      <c r="G790" s="2" t="s">
        <v>10</v>
      </c>
      <c r="H790" t="str">
        <f t="shared" si="12"/>
        <v>Review</v>
      </c>
    </row>
    <row r="791" spans="1:8">
      <c r="A791" s="2">
        <v>790</v>
      </c>
      <c r="B791" s="2" t="s">
        <v>89</v>
      </c>
      <c r="C791" s="2" t="s">
        <v>16</v>
      </c>
      <c r="D791" s="2">
        <v>34</v>
      </c>
      <c r="E791" s="3">
        <v>55374</v>
      </c>
      <c r="F791" s="2" t="s">
        <v>13</v>
      </c>
      <c r="G791" s="2" t="s">
        <v>14</v>
      </c>
      <c r="H791" t="str">
        <f t="shared" si="12"/>
        <v>Standard</v>
      </c>
    </row>
    <row r="792" spans="1:8">
      <c r="A792" s="2">
        <v>791</v>
      </c>
      <c r="B792" s="2" t="s">
        <v>39</v>
      </c>
      <c r="C792" s="2" t="s">
        <v>16</v>
      </c>
      <c r="D792" s="2">
        <v>16</v>
      </c>
      <c r="E792" s="3">
        <v>63101</v>
      </c>
      <c r="F792" s="2" t="s">
        <v>25</v>
      </c>
      <c r="G792" s="2" t="s">
        <v>23</v>
      </c>
      <c r="H792" t="str">
        <f t="shared" si="12"/>
        <v>Review</v>
      </c>
    </row>
    <row r="793" spans="1:8">
      <c r="A793" s="2">
        <v>792</v>
      </c>
      <c r="B793" s="2" t="s">
        <v>50</v>
      </c>
      <c r="C793" s="2" t="s">
        <v>12</v>
      </c>
      <c r="D793" s="2">
        <v>41</v>
      </c>
      <c r="E793" s="3">
        <v>65929</v>
      </c>
      <c r="F793" s="2" t="s">
        <v>25</v>
      </c>
      <c r="G793" s="2" t="s">
        <v>26</v>
      </c>
      <c r="H793" t="str">
        <f t="shared" si="12"/>
        <v>Review</v>
      </c>
    </row>
    <row r="794" spans="1:8">
      <c r="A794" s="2">
        <v>793</v>
      </c>
      <c r="B794" s="2" t="s">
        <v>49</v>
      </c>
      <c r="C794" s="2" t="s">
        <v>8</v>
      </c>
      <c r="D794" s="2">
        <v>35</v>
      </c>
      <c r="E794" s="3">
        <v>31619</v>
      </c>
      <c r="F794" s="2" t="s">
        <v>17</v>
      </c>
      <c r="G794" s="2" t="s">
        <v>18</v>
      </c>
      <c r="H794" t="str">
        <f t="shared" si="12"/>
        <v>Standard</v>
      </c>
    </row>
    <row r="795" spans="1:8">
      <c r="A795" s="2">
        <v>794</v>
      </c>
      <c r="B795" s="2" t="s">
        <v>11</v>
      </c>
      <c r="C795" s="2" t="s">
        <v>22</v>
      </c>
      <c r="D795" s="2">
        <v>2</v>
      </c>
      <c r="E795" s="3">
        <v>49425</v>
      </c>
      <c r="F795" s="2" t="s">
        <v>20</v>
      </c>
      <c r="G795" s="2" t="s">
        <v>10</v>
      </c>
      <c r="H795" t="str">
        <f t="shared" si="12"/>
        <v>Standard</v>
      </c>
    </row>
    <row r="796" spans="1:8">
      <c r="A796" s="2">
        <v>795</v>
      </c>
      <c r="B796" s="2" t="s">
        <v>76</v>
      </c>
      <c r="C796" s="2" t="s">
        <v>22</v>
      </c>
      <c r="D796" s="2">
        <v>25</v>
      </c>
      <c r="E796" s="3">
        <v>49290</v>
      </c>
      <c r="F796" s="2" t="s">
        <v>20</v>
      </c>
      <c r="G796" s="2" t="s">
        <v>23</v>
      </c>
      <c r="H796" t="str">
        <f t="shared" si="12"/>
        <v>Standard</v>
      </c>
    </row>
    <row r="797" spans="1:8">
      <c r="A797" s="2">
        <v>796</v>
      </c>
      <c r="B797" s="2" t="s">
        <v>39</v>
      </c>
      <c r="C797" s="2" t="s">
        <v>8</v>
      </c>
      <c r="D797" s="2">
        <v>46</v>
      </c>
      <c r="E797" s="3">
        <v>86096</v>
      </c>
      <c r="F797" s="2" t="s">
        <v>25</v>
      </c>
      <c r="G797" s="2" t="s">
        <v>10</v>
      </c>
      <c r="H797" t="str">
        <f t="shared" si="12"/>
        <v>Review</v>
      </c>
    </row>
    <row r="798" spans="1:8">
      <c r="A798" s="2">
        <v>797</v>
      </c>
      <c r="B798" s="2" t="s">
        <v>49</v>
      </c>
      <c r="C798" s="2" t="s">
        <v>22</v>
      </c>
      <c r="D798" s="2">
        <v>23</v>
      </c>
      <c r="E798" s="3">
        <v>62268</v>
      </c>
      <c r="F798" s="2" t="s">
        <v>17</v>
      </c>
      <c r="G798" s="2" t="s">
        <v>14</v>
      </c>
      <c r="H798" t="str">
        <f t="shared" si="12"/>
        <v>Review</v>
      </c>
    </row>
    <row r="799" spans="1:8">
      <c r="A799" s="2">
        <v>798</v>
      </c>
      <c r="B799" s="2" t="s">
        <v>24</v>
      </c>
      <c r="C799" s="2" t="s">
        <v>16</v>
      </c>
      <c r="D799" s="2">
        <v>31</v>
      </c>
      <c r="E799" s="3">
        <v>74197</v>
      </c>
      <c r="F799" s="2" t="s">
        <v>25</v>
      </c>
      <c r="G799" s="2" t="s">
        <v>14</v>
      </c>
      <c r="H799" t="str">
        <f t="shared" si="12"/>
        <v>Review</v>
      </c>
    </row>
    <row r="800" spans="1:8">
      <c r="A800" s="2">
        <v>799</v>
      </c>
      <c r="B800" s="2" t="s">
        <v>88</v>
      </c>
      <c r="C800" s="2" t="s">
        <v>8</v>
      </c>
      <c r="D800" s="2">
        <v>35</v>
      </c>
      <c r="E800" s="3">
        <v>30403</v>
      </c>
      <c r="F800" s="2" t="s">
        <v>38</v>
      </c>
      <c r="G800" s="2" t="s">
        <v>18</v>
      </c>
      <c r="H800" t="str">
        <f t="shared" si="12"/>
        <v>Standard</v>
      </c>
    </row>
    <row r="801" spans="1:8">
      <c r="A801" s="2">
        <v>800</v>
      </c>
      <c r="B801" s="2" t="s">
        <v>60</v>
      </c>
      <c r="C801" s="2" t="s">
        <v>22</v>
      </c>
      <c r="D801" s="2">
        <v>32</v>
      </c>
      <c r="E801" s="3">
        <v>29073</v>
      </c>
      <c r="F801" s="2" t="s">
        <v>17</v>
      </c>
      <c r="G801" s="2" t="s">
        <v>14</v>
      </c>
      <c r="H801" t="str">
        <f t="shared" si="12"/>
        <v>Standard</v>
      </c>
    </row>
    <row r="802" spans="1:8">
      <c r="A802" s="2">
        <v>801</v>
      </c>
      <c r="B802" s="2" t="s">
        <v>36</v>
      </c>
      <c r="C802" s="2" t="s">
        <v>16</v>
      </c>
      <c r="D802" s="2">
        <v>23</v>
      </c>
      <c r="E802" s="3">
        <v>44905</v>
      </c>
      <c r="F802" s="2" t="s">
        <v>13</v>
      </c>
      <c r="G802" s="2" t="s">
        <v>18</v>
      </c>
      <c r="H802" t="str">
        <f t="shared" si="12"/>
        <v>Standard</v>
      </c>
    </row>
    <row r="803" spans="1:8">
      <c r="A803" s="2">
        <v>802</v>
      </c>
      <c r="B803" s="2" t="s">
        <v>71</v>
      </c>
      <c r="C803" s="2" t="s">
        <v>16</v>
      </c>
      <c r="D803" s="2">
        <v>37</v>
      </c>
      <c r="E803" s="3">
        <v>28832</v>
      </c>
      <c r="F803" s="2" t="s">
        <v>13</v>
      </c>
      <c r="G803" s="2" t="s">
        <v>26</v>
      </c>
      <c r="H803" t="str">
        <f t="shared" si="12"/>
        <v>Standard</v>
      </c>
    </row>
    <row r="804" spans="1:8">
      <c r="A804" s="2">
        <v>803</v>
      </c>
      <c r="B804" s="2" t="s">
        <v>70</v>
      </c>
      <c r="C804" s="2" t="s">
        <v>12</v>
      </c>
      <c r="D804" s="2">
        <v>33</v>
      </c>
      <c r="E804" s="3">
        <v>40615</v>
      </c>
      <c r="F804" s="2" t="s">
        <v>28</v>
      </c>
      <c r="G804" s="2" t="s">
        <v>14</v>
      </c>
      <c r="H804" t="str">
        <f t="shared" si="12"/>
        <v>Standard</v>
      </c>
    </row>
    <row r="805" spans="1:8">
      <c r="A805" s="2">
        <v>804</v>
      </c>
      <c r="B805" s="2" t="s">
        <v>88</v>
      </c>
      <c r="C805" s="2" t="s">
        <v>22</v>
      </c>
      <c r="D805" s="2">
        <v>21</v>
      </c>
      <c r="E805" s="3">
        <v>63664</v>
      </c>
      <c r="F805" s="2" t="s">
        <v>9</v>
      </c>
      <c r="G805" s="2" t="s">
        <v>10</v>
      </c>
      <c r="H805" t="str">
        <f t="shared" si="12"/>
        <v>Review</v>
      </c>
    </row>
    <row r="806" spans="1:8">
      <c r="A806" s="2">
        <v>805</v>
      </c>
      <c r="B806" s="2" t="s">
        <v>73</v>
      </c>
      <c r="C806" s="2" t="s">
        <v>8</v>
      </c>
      <c r="D806" s="2">
        <v>25</v>
      </c>
      <c r="E806" s="3">
        <v>78287</v>
      </c>
      <c r="F806" s="2" t="s">
        <v>28</v>
      </c>
      <c r="G806" s="2" t="s">
        <v>14</v>
      </c>
      <c r="H806" t="str">
        <f t="shared" si="12"/>
        <v>Review</v>
      </c>
    </row>
    <row r="807" spans="1:8">
      <c r="A807" s="2">
        <v>806</v>
      </c>
      <c r="B807" s="2" t="s">
        <v>78</v>
      </c>
      <c r="C807" s="2" t="s">
        <v>16</v>
      </c>
      <c r="D807" s="2">
        <v>18</v>
      </c>
      <c r="E807" s="3">
        <v>43613</v>
      </c>
      <c r="F807" s="2" t="s">
        <v>25</v>
      </c>
      <c r="G807" s="2" t="s">
        <v>29</v>
      </c>
      <c r="H807" t="str">
        <f t="shared" si="12"/>
        <v>Standard</v>
      </c>
    </row>
    <row r="808" spans="1:8">
      <c r="A808" s="2">
        <v>807</v>
      </c>
      <c r="B808" s="2" t="s">
        <v>67</v>
      </c>
      <c r="C808" s="2" t="s">
        <v>16</v>
      </c>
      <c r="D808" s="2">
        <v>12</v>
      </c>
      <c r="E808" s="3">
        <v>82035</v>
      </c>
      <c r="F808" s="2" t="s">
        <v>32</v>
      </c>
      <c r="G808" s="2" t="s">
        <v>26</v>
      </c>
      <c r="H808" t="str">
        <f t="shared" si="12"/>
        <v>Review</v>
      </c>
    </row>
    <row r="809" spans="1:8">
      <c r="A809" s="2">
        <v>808</v>
      </c>
      <c r="B809" s="2" t="s">
        <v>68</v>
      </c>
      <c r="C809" s="2" t="s">
        <v>12</v>
      </c>
      <c r="D809" s="2">
        <v>2</v>
      </c>
      <c r="E809" s="3">
        <v>82337</v>
      </c>
      <c r="F809" s="2" t="s">
        <v>20</v>
      </c>
      <c r="G809" s="2" t="s">
        <v>26</v>
      </c>
      <c r="H809" t="str">
        <f t="shared" si="12"/>
        <v>Review</v>
      </c>
    </row>
    <row r="810" spans="1:8">
      <c r="A810" s="2">
        <v>809</v>
      </c>
      <c r="B810" s="2" t="s">
        <v>76</v>
      </c>
      <c r="C810" s="2" t="s">
        <v>8</v>
      </c>
      <c r="D810" s="2">
        <v>21</v>
      </c>
      <c r="E810" s="3">
        <v>46921</v>
      </c>
      <c r="F810" s="2" t="s">
        <v>25</v>
      </c>
      <c r="G810" s="2" t="s">
        <v>23</v>
      </c>
      <c r="H810" t="str">
        <f t="shared" si="12"/>
        <v>Standard</v>
      </c>
    </row>
    <row r="811" spans="1:8">
      <c r="A811" s="2">
        <v>810</v>
      </c>
      <c r="B811" s="2" t="s">
        <v>70</v>
      </c>
      <c r="C811" s="2" t="s">
        <v>12</v>
      </c>
      <c r="D811" s="2">
        <v>39</v>
      </c>
      <c r="E811" s="3">
        <v>49551</v>
      </c>
      <c r="F811" s="2" t="s">
        <v>25</v>
      </c>
      <c r="G811" s="2" t="s">
        <v>10</v>
      </c>
      <c r="H811" t="str">
        <f t="shared" si="12"/>
        <v>Standard</v>
      </c>
    </row>
    <row r="812" spans="1:8">
      <c r="A812" s="2">
        <v>811</v>
      </c>
      <c r="B812" s="2" t="s">
        <v>78</v>
      </c>
      <c r="C812" s="2" t="s">
        <v>16</v>
      </c>
      <c r="D812" s="2">
        <v>15</v>
      </c>
      <c r="E812" s="3">
        <v>90782</v>
      </c>
      <c r="F812" s="2" t="s">
        <v>38</v>
      </c>
      <c r="G812" s="2" t="s">
        <v>26</v>
      </c>
      <c r="H812" t="str">
        <f t="shared" si="12"/>
        <v>Review</v>
      </c>
    </row>
    <row r="813" spans="1:8">
      <c r="A813" s="2">
        <v>812</v>
      </c>
      <c r="B813" s="2" t="s">
        <v>58</v>
      </c>
      <c r="C813" s="2" t="s">
        <v>22</v>
      </c>
      <c r="D813" s="2">
        <v>2</v>
      </c>
      <c r="E813" s="3">
        <v>78256</v>
      </c>
      <c r="F813" s="2" t="s">
        <v>28</v>
      </c>
      <c r="G813" s="2" t="s">
        <v>23</v>
      </c>
      <c r="H813" t="str">
        <f t="shared" si="12"/>
        <v>Review</v>
      </c>
    </row>
    <row r="814" spans="1:8">
      <c r="A814" s="2">
        <v>813</v>
      </c>
      <c r="B814" s="2" t="s">
        <v>7</v>
      </c>
      <c r="C814" s="2" t="s">
        <v>8</v>
      </c>
      <c r="D814" s="2">
        <v>50</v>
      </c>
      <c r="E814" s="3">
        <v>52545</v>
      </c>
      <c r="F814" s="2" t="s">
        <v>32</v>
      </c>
      <c r="G814" s="2" t="s">
        <v>29</v>
      </c>
      <c r="H814" t="str">
        <f t="shared" si="12"/>
        <v>Standard</v>
      </c>
    </row>
    <row r="815" spans="1:8">
      <c r="A815" s="2">
        <v>814</v>
      </c>
      <c r="B815" s="2" t="s">
        <v>59</v>
      </c>
      <c r="C815" s="2" t="s">
        <v>22</v>
      </c>
      <c r="D815" s="2">
        <v>18</v>
      </c>
      <c r="E815" s="3">
        <v>39124</v>
      </c>
      <c r="F815" s="2" t="s">
        <v>32</v>
      </c>
      <c r="G815" s="2" t="s">
        <v>26</v>
      </c>
      <c r="H815" t="str">
        <f t="shared" si="12"/>
        <v>Standard</v>
      </c>
    </row>
    <row r="816" spans="1:8">
      <c r="A816" s="2">
        <v>815</v>
      </c>
      <c r="B816" s="2" t="s">
        <v>56</v>
      </c>
      <c r="C816" s="2" t="s">
        <v>22</v>
      </c>
      <c r="D816" s="2">
        <v>4</v>
      </c>
      <c r="E816" s="3">
        <v>61756</v>
      </c>
      <c r="F816" s="2" t="s">
        <v>32</v>
      </c>
      <c r="G816" s="2" t="s">
        <v>23</v>
      </c>
      <c r="H816" t="str">
        <f t="shared" si="12"/>
        <v>Review</v>
      </c>
    </row>
    <row r="817" spans="1:8">
      <c r="A817" s="2">
        <v>816</v>
      </c>
      <c r="B817" s="2" t="s">
        <v>60</v>
      </c>
      <c r="C817" s="2" t="s">
        <v>12</v>
      </c>
      <c r="D817" s="2">
        <v>31</v>
      </c>
      <c r="E817" s="3">
        <v>91466</v>
      </c>
      <c r="F817" s="2" t="s">
        <v>38</v>
      </c>
      <c r="G817" s="2" t="s">
        <v>29</v>
      </c>
      <c r="H817" t="str">
        <f t="shared" si="12"/>
        <v>Review</v>
      </c>
    </row>
    <row r="818" spans="1:8">
      <c r="A818" s="2">
        <v>817</v>
      </c>
      <c r="B818" s="2" t="s">
        <v>33</v>
      </c>
      <c r="C818" s="2" t="s">
        <v>16</v>
      </c>
      <c r="D818" s="2">
        <v>34</v>
      </c>
      <c r="E818" s="3">
        <v>45030</v>
      </c>
      <c r="F818" s="2" t="s">
        <v>17</v>
      </c>
      <c r="G818" s="2" t="s">
        <v>14</v>
      </c>
      <c r="H818" t="str">
        <f t="shared" si="12"/>
        <v>Standard</v>
      </c>
    </row>
    <row r="819" spans="1:8">
      <c r="A819" s="2">
        <v>818</v>
      </c>
      <c r="B819" s="2" t="s">
        <v>85</v>
      </c>
      <c r="C819" s="2" t="s">
        <v>22</v>
      </c>
      <c r="D819" s="2">
        <v>23</v>
      </c>
      <c r="E819" s="3">
        <v>71010</v>
      </c>
      <c r="F819" s="2" t="s">
        <v>20</v>
      </c>
      <c r="G819" s="2" t="s">
        <v>14</v>
      </c>
      <c r="H819" t="str">
        <f t="shared" si="12"/>
        <v>Review</v>
      </c>
    </row>
    <row r="820" spans="1:8">
      <c r="A820" s="2">
        <v>819</v>
      </c>
      <c r="B820" s="2" t="s">
        <v>68</v>
      </c>
      <c r="C820" s="2" t="s">
        <v>8</v>
      </c>
      <c r="D820" s="2">
        <v>50</v>
      </c>
      <c r="E820" s="3">
        <v>83941</v>
      </c>
      <c r="F820" s="2" t="s">
        <v>9</v>
      </c>
      <c r="G820" s="2" t="s">
        <v>26</v>
      </c>
      <c r="H820" t="str">
        <f t="shared" si="12"/>
        <v>Review</v>
      </c>
    </row>
    <row r="821" spans="1:8">
      <c r="A821" s="2">
        <v>820</v>
      </c>
      <c r="B821" s="2" t="s">
        <v>83</v>
      </c>
      <c r="C821" s="2" t="s">
        <v>12</v>
      </c>
      <c r="D821" s="2">
        <v>38</v>
      </c>
      <c r="E821" s="3">
        <v>51857</v>
      </c>
      <c r="F821" s="2" t="s">
        <v>25</v>
      </c>
      <c r="G821" s="2" t="s">
        <v>29</v>
      </c>
      <c r="H821" t="str">
        <f t="shared" si="12"/>
        <v>Standard</v>
      </c>
    </row>
    <row r="822" spans="1:8">
      <c r="A822" s="2">
        <v>821</v>
      </c>
      <c r="B822" s="2" t="s">
        <v>54</v>
      </c>
      <c r="C822" s="2" t="s">
        <v>8</v>
      </c>
      <c r="D822" s="2">
        <v>15</v>
      </c>
      <c r="E822" s="3">
        <v>61464</v>
      </c>
      <c r="F822" s="2" t="s">
        <v>9</v>
      </c>
      <c r="G822" s="2" t="s">
        <v>10</v>
      </c>
      <c r="H822" t="str">
        <f t="shared" si="12"/>
        <v>Review</v>
      </c>
    </row>
    <row r="823" spans="1:8">
      <c r="A823" s="2">
        <v>822</v>
      </c>
      <c r="B823" s="2" t="s">
        <v>62</v>
      </c>
      <c r="C823" s="2" t="s">
        <v>22</v>
      </c>
      <c r="D823" s="2">
        <v>11</v>
      </c>
      <c r="E823" s="3">
        <v>70215</v>
      </c>
      <c r="F823" s="2" t="s">
        <v>17</v>
      </c>
      <c r="G823" s="2" t="s">
        <v>26</v>
      </c>
      <c r="H823" t="str">
        <f t="shared" si="12"/>
        <v>Review</v>
      </c>
    </row>
    <row r="824" spans="1:8">
      <c r="A824" s="2">
        <v>823</v>
      </c>
      <c r="B824" s="2" t="s">
        <v>7</v>
      </c>
      <c r="C824" s="2" t="s">
        <v>8</v>
      </c>
      <c r="D824" s="2">
        <v>7</v>
      </c>
      <c r="E824" s="3">
        <v>64931</v>
      </c>
      <c r="F824" s="2" t="s">
        <v>25</v>
      </c>
      <c r="G824" s="2" t="s">
        <v>14</v>
      </c>
      <c r="H824" t="str">
        <f t="shared" si="12"/>
        <v>Review</v>
      </c>
    </row>
    <row r="825" spans="1:8">
      <c r="A825" s="2">
        <v>824</v>
      </c>
      <c r="B825" s="2" t="s">
        <v>42</v>
      </c>
      <c r="C825" s="2" t="s">
        <v>12</v>
      </c>
      <c r="D825" s="2">
        <v>16</v>
      </c>
      <c r="E825" s="3">
        <v>55840</v>
      </c>
      <c r="F825" s="2" t="s">
        <v>13</v>
      </c>
      <c r="G825" s="2" t="s">
        <v>10</v>
      </c>
      <c r="H825" t="str">
        <f t="shared" si="12"/>
        <v>Standard</v>
      </c>
    </row>
    <row r="826" spans="1:8">
      <c r="A826" s="2">
        <v>825</v>
      </c>
      <c r="B826" s="2" t="s">
        <v>65</v>
      </c>
      <c r="C826" s="2" t="s">
        <v>12</v>
      </c>
      <c r="D826" s="2">
        <v>43</v>
      </c>
      <c r="E826" s="3">
        <v>35956</v>
      </c>
      <c r="F826" s="2" t="s">
        <v>9</v>
      </c>
      <c r="G826" s="2" t="s">
        <v>23</v>
      </c>
      <c r="H826" t="str">
        <f t="shared" si="12"/>
        <v>Standard</v>
      </c>
    </row>
    <row r="827" spans="1:8">
      <c r="A827" s="2">
        <v>826</v>
      </c>
      <c r="B827" s="2" t="s">
        <v>75</v>
      </c>
      <c r="C827" s="2" t="s">
        <v>16</v>
      </c>
      <c r="D827" s="2">
        <v>16</v>
      </c>
      <c r="E827" s="3">
        <v>71884</v>
      </c>
      <c r="F827" s="2" t="s">
        <v>9</v>
      </c>
      <c r="G827" s="2" t="s">
        <v>14</v>
      </c>
      <c r="H827" t="str">
        <f t="shared" si="12"/>
        <v>Review</v>
      </c>
    </row>
    <row r="828" spans="1:8">
      <c r="A828" s="2">
        <v>827</v>
      </c>
      <c r="B828" s="2" t="s">
        <v>74</v>
      </c>
      <c r="C828" s="2" t="s">
        <v>8</v>
      </c>
      <c r="D828" s="2">
        <v>18</v>
      </c>
      <c r="E828" s="3">
        <v>42087</v>
      </c>
      <c r="F828" s="2" t="s">
        <v>25</v>
      </c>
      <c r="G828" s="2" t="s">
        <v>29</v>
      </c>
      <c r="H828" t="str">
        <f t="shared" si="12"/>
        <v>Standard</v>
      </c>
    </row>
    <row r="829" spans="1:8">
      <c r="A829" s="2">
        <v>828</v>
      </c>
      <c r="B829" s="2" t="s">
        <v>33</v>
      </c>
      <c r="C829" s="2" t="s">
        <v>12</v>
      </c>
      <c r="D829" s="2">
        <v>35</v>
      </c>
      <c r="E829" s="3">
        <v>34601</v>
      </c>
      <c r="F829" s="2" t="s">
        <v>25</v>
      </c>
      <c r="G829" s="2" t="s">
        <v>26</v>
      </c>
      <c r="H829" t="str">
        <f t="shared" si="12"/>
        <v>Standard</v>
      </c>
    </row>
    <row r="830" spans="1:8">
      <c r="A830" s="2">
        <v>829</v>
      </c>
      <c r="B830" s="2" t="s">
        <v>63</v>
      </c>
      <c r="C830" s="2" t="s">
        <v>12</v>
      </c>
      <c r="D830" s="2">
        <v>48</v>
      </c>
      <c r="E830" s="3">
        <v>33400</v>
      </c>
      <c r="F830" s="2" t="s">
        <v>32</v>
      </c>
      <c r="G830" s="2" t="s">
        <v>26</v>
      </c>
      <c r="H830" t="str">
        <f t="shared" si="12"/>
        <v>Standard</v>
      </c>
    </row>
    <row r="831" spans="1:8">
      <c r="A831" s="2">
        <v>830</v>
      </c>
      <c r="B831" s="2" t="s">
        <v>33</v>
      </c>
      <c r="C831" s="2" t="s">
        <v>16</v>
      </c>
      <c r="D831" s="2">
        <v>4</v>
      </c>
      <c r="E831" s="3">
        <v>76499</v>
      </c>
      <c r="F831" s="2" t="s">
        <v>32</v>
      </c>
      <c r="G831" s="2" t="s">
        <v>29</v>
      </c>
      <c r="H831" t="str">
        <f t="shared" si="12"/>
        <v>Review</v>
      </c>
    </row>
    <row r="832" spans="1:8">
      <c r="A832" s="2">
        <v>831</v>
      </c>
      <c r="B832" s="2" t="s">
        <v>42</v>
      </c>
      <c r="C832" s="2" t="s">
        <v>12</v>
      </c>
      <c r="D832" s="2">
        <v>49</v>
      </c>
      <c r="E832" s="3">
        <v>40602</v>
      </c>
      <c r="F832" s="2" t="s">
        <v>38</v>
      </c>
      <c r="G832" s="2" t="s">
        <v>14</v>
      </c>
      <c r="H832" t="str">
        <f t="shared" si="12"/>
        <v>Standard</v>
      </c>
    </row>
    <row r="833" spans="1:8">
      <c r="A833" s="2">
        <v>832</v>
      </c>
      <c r="B833" s="2" t="s">
        <v>30</v>
      </c>
      <c r="C833" s="2" t="s">
        <v>22</v>
      </c>
      <c r="D833" s="2">
        <v>15</v>
      </c>
      <c r="E833" s="3">
        <v>72557</v>
      </c>
      <c r="F833" s="2" t="s">
        <v>13</v>
      </c>
      <c r="G833" s="2" t="s">
        <v>29</v>
      </c>
      <c r="H833" t="str">
        <f t="shared" si="12"/>
        <v>Review</v>
      </c>
    </row>
    <row r="834" spans="1:8">
      <c r="A834" s="2">
        <v>833</v>
      </c>
      <c r="B834" s="2" t="s">
        <v>34</v>
      </c>
      <c r="C834" s="2" t="s">
        <v>8</v>
      </c>
      <c r="D834" s="2">
        <v>37</v>
      </c>
      <c r="E834" s="3">
        <v>56658</v>
      </c>
      <c r="F834" s="2" t="s">
        <v>38</v>
      </c>
      <c r="G834" s="2" t="s">
        <v>26</v>
      </c>
      <c r="H834" t="str">
        <f t="shared" si="12"/>
        <v>Standard</v>
      </c>
    </row>
    <row r="835" spans="1:8">
      <c r="A835" s="2">
        <v>834</v>
      </c>
      <c r="B835" s="2" t="s">
        <v>88</v>
      </c>
      <c r="C835" s="2" t="s">
        <v>16</v>
      </c>
      <c r="D835" s="2">
        <v>25</v>
      </c>
      <c r="E835" s="3">
        <v>82009</v>
      </c>
      <c r="F835" s="2" t="s">
        <v>28</v>
      </c>
      <c r="G835" s="2" t="s">
        <v>14</v>
      </c>
      <c r="H835" t="str">
        <f t="shared" ref="H835:H898" si="13">IF(AND(F835="Electric",E835&gt;45000),"Urgent",IF(OR(F835="Hybrid",E835&gt;60000),"Review","Standard"))</f>
        <v>Review</v>
      </c>
    </row>
    <row r="836" spans="1:8">
      <c r="A836" s="2">
        <v>835</v>
      </c>
      <c r="B836" s="2" t="s">
        <v>88</v>
      </c>
      <c r="C836" s="2" t="s">
        <v>22</v>
      </c>
      <c r="D836" s="2">
        <v>23</v>
      </c>
      <c r="E836" s="3">
        <v>41515</v>
      </c>
      <c r="F836" s="2" t="s">
        <v>13</v>
      </c>
      <c r="G836" s="2" t="s">
        <v>18</v>
      </c>
      <c r="H836" t="str">
        <f t="shared" si="13"/>
        <v>Standard</v>
      </c>
    </row>
    <row r="837" spans="1:8">
      <c r="A837" s="2">
        <v>836</v>
      </c>
      <c r="B837" s="2" t="s">
        <v>70</v>
      </c>
      <c r="C837" s="2" t="s">
        <v>22</v>
      </c>
      <c r="D837" s="2">
        <v>12</v>
      </c>
      <c r="E837" s="3">
        <v>61309</v>
      </c>
      <c r="F837" s="2" t="s">
        <v>32</v>
      </c>
      <c r="G837" s="2" t="s">
        <v>14</v>
      </c>
      <c r="H837" t="str">
        <f t="shared" si="13"/>
        <v>Review</v>
      </c>
    </row>
    <row r="838" spans="1:8">
      <c r="A838" s="2">
        <v>837</v>
      </c>
      <c r="B838" s="2" t="s">
        <v>33</v>
      </c>
      <c r="C838" s="2" t="s">
        <v>8</v>
      </c>
      <c r="D838" s="2">
        <v>12</v>
      </c>
      <c r="E838" s="3">
        <v>69282</v>
      </c>
      <c r="F838" s="2" t="s">
        <v>32</v>
      </c>
      <c r="G838" s="2" t="s">
        <v>10</v>
      </c>
      <c r="H838" t="str">
        <f t="shared" si="13"/>
        <v>Review</v>
      </c>
    </row>
    <row r="839" spans="1:8">
      <c r="A839" s="2">
        <v>838</v>
      </c>
      <c r="B839" s="2" t="s">
        <v>79</v>
      </c>
      <c r="C839" s="2" t="s">
        <v>16</v>
      </c>
      <c r="D839" s="2">
        <v>16</v>
      </c>
      <c r="E839" s="3">
        <v>94534</v>
      </c>
      <c r="F839" s="2" t="s">
        <v>32</v>
      </c>
      <c r="G839" s="2" t="s">
        <v>23</v>
      </c>
      <c r="H839" t="str">
        <f t="shared" si="13"/>
        <v>Review</v>
      </c>
    </row>
    <row r="840" spans="1:8">
      <c r="A840" s="2">
        <v>839</v>
      </c>
      <c r="B840" s="2" t="s">
        <v>15</v>
      </c>
      <c r="C840" s="2" t="s">
        <v>12</v>
      </c>
      <c r="D840" s="2">
        <v>38</v>
      </c>
      <c r="E840" s="3">
        <v>97526</v>
      </c>
      <c r="F840" s="2" t="s">
        <v>20</v>
      </c>
      <c r="G840" s="2" t="s">
        <v>29</v>
      </c>
      <c r="H840" t="str">
        <f t="shared" si="13"/>
        <v>Review</v>
      </c>
    </row>
    <row r="841" spans="1:8">
      <c r="A841" s="2">
        <v>840</v>
      </c>
      <c r="B841" s="2" t="s">
        <v>90</v>
      </c>
      <c r="C841" s="2" t="s">
        <v>16</v>
      </c>
      <c r="D841" s="2">
        <v>21</v>
      </c>
      <c r="E841" s="3">
        <v>36028</v>
      </c>
      <c r="F841" s="2" t="s">
        <v>25</v>
      </c>
      <c r="G841" s="2" t="s">
        <v>23</v>
      </c>
      <c r="H841" t="str">
        <f t="shared" si="13"/>
        <v>Standard</v>
      </c>
    </row>
    <row r="842" spans="1:8">
      <c r="A842" s="2">
        <v>841</v>
      </c>
      <c r="B842" s="2" t="s">
        <v>71</v>
      </c>
      <c r="C842" s="2" t="s">
        <v>12</v>
      </c>
      <c r="D842" s="2">
        <v>48</v>
      </c>
      <c r="E842" s="3">
        <v>84645</v>
      </c>
      <c r="F842" s="2" t="s">
        <v>9</v>
      </c>
      <c r="G842" s="2" t="s">
        <v>14</v>
      </c>
      <c r="H842" t="str">
        <f t="shared" si="13"/>
        <v>Review</v>
      </c>
    </row>
    <row r="843" spans="1:8">
      <c r="A843" s="2">
        <v>842</v>
      </c>
      <c r="B843" s="2" t="s">
        <v>36</v>
      </c>
      <c r="C843" s="2" t="s">
        <v>8</v>
      </c>
      <c r="D843" s="2">
        <v>45</v>
      </c>
      <c r="E843" s="3">
        <v>27846</v>
      </c>
      <c r="F843" s="2" t="s">
        <v>9</v>
      </c>
      <c r="G843" s="2" t="s">
        <v>14</v>
      </c>
      <c r="H843" t="str">
        <f t="shared" si="13"/>
        <v>Standard</v>
      </c>
    </row>
    <row r="844" spans="1:8">
      <c r="A844" s="2">
        <v>843</v>
      </c>
      <c r="B844" s="2" t="s">
        <v>54</v>
      </c>
      <c r="C844" s="2" t="s">
        <v>8</v>
      </c>
      <c r="D844" s="2">
        <v>23</v>
      </c>
      <c r="E844" s="3">
        <v>33076</v>
      </c>
      <c r="F844" s="2" t="s">
        <v>17</v>
      </c>
      <c r="G844" s="2" t="s">
        <v>14</v>
      </c>
      <c r="H844" t="str">
        <f t="shared" si="13"/>
        <v>Standard</v>
      </c>
    </row>
    <row r="845" spans="1:8">
      <c r="A845" s="2">
        <v>844</v>
      </c>
      <c r="B845" s="2" t="s">
        <v>7</v>
      </c>
      <c r="C845" s="2" t="s">
        <v>22</v>
      </c>
      <c r="D845" s="2">
        <v>38</v>
      </c>
      <c r="E845" s="3">
        <v>87993</v>
      </c>
      <c r="F845" s="2" t="s">
        <v>9</v>
      </c>
      <c r="G845" s="2" t="s">
        <v>10</v>
      </c>
      <c r="H845" t="str">
        <f t="shared" si="13"/>
        <v>Review</v>
      </c>
    </row>
    <row r="846" spans="1:8">
      <c r="A846" s="2">
        <v>845</v>
      </c>
      <c r="B846" s="2" t="s">
        <v>42</v>
      </c>
      <c r="C846" s="2" t="s">
        <v>22</v>
      </c>
      <c r="D846" s="2">
        <v>2</v>
      </c>
      <c r="E846" s="3">
        <v>65998</v>
      </c>
      <c r="F846" s="2" t="s">
        <v>32</v>
      </c>
      <c r="G846" s="2" t="s">
        <v>23</v>
      </c>
      <c r="H846" t="str">
        <f t="shared" si="13"/>
        <v>Review</v>
      </c>
    </row>
    <row r="847" spans="1:8">
      <c r="A847" s="2">
        <v>846</v>
      </c>
      <c r="B847" s="2" t="s">
        <v>21</v>
      </c>
      <c r="C847" s="2" t="s">
        <v>22</v>
      </c>
      <c r="D847" s="2">
        <v>46</v>
      </c>
      <c r="E847" s="3">
        <v>31641</v>
      </c>
      <c r="F847" s="2" t="s">
        <v>13</v>
      </c>
      <c r="G847" s="2" t="s">
        <v>23</v>
      </c>
      <c r="H847" t="str">
        <f t="shared" si="13"/>
        <v>Standard</v>
      </c>
    </row>
    <row r="848" spans="1:8">
      <c r="A848" s="2">
        <v>847</v>
      </c>
      <c r="B848" s="2" t="s">
        <v>49</v>
      </c>
      <c r="C848" s="2" t="s">
        <v>8</v>
      </c>
      <c r="D848" s="2">
        <v>45</v>
      </c>
      <c r="E848" s="3">
        <v>50629</v>
      </c>
      <c r="F848" s="2" t="s">
        <v>13</v>
      </c>
      <c r="G848" s="2" t="s">
        <v>29</v>
      </c>
      <c r="H848" t="str">
        <f t="shared" si="13"/>
        <v>Standard</v>
      </c>
    </row>
    <row r="849" spans="1:8">
      <c r="A849" s="2">
        <v>848</v>
      </c>
      <c r="B849" s="2" t="s">
        <v>31</v>
      </c>
      <c r="C849" s="2" t="s">
        <v>12</v>
      </c>
      <c r="D849" s="2">
        <v>23</v>
      </c>
      <c r="E849" s="3">
        <v>97702</v>
      </c>
      <c r="F849" s="2" t="s">
        <v>38</v>
      </c>
      <c r="G849" s="2" t="s">
        <v>14</v>
      </c>
      <c r="H849" t="str">
        <f t="shared" si="13"/>
        <v>Review</v>
      </c>
    </row>
    <row r="850" spans="1:8">
      <c r="A850" s="2">
        <v>849</v>
      </c>
      <c r="B850" s="2" t="s">
        <v>72</v>
      </c>
      <c r="C850" s="2" t="s">
        <v>8</v>
      </c>
      <c r="D850" s="2">
        <v>37</v>
      </c>
      <c r="E850" s="3">
        <v>30605</v>
      </c>
      <c r="F850" s="2" t="s">
        <v>13</v>
      </c>
      <c r="G850" s="2" t="s">
        <v>29</v>
      </c>
      <c r="H850" t="str">
        <f t="shared" si="13"/>
        <v>Standard</v>
      </c>
    </row>
    <row r="851" spans="1:8">
      <c r="A851" s="2">
        <v>850</v>
      </c>
      <c r="B851" s="2" t="s">
        <v>42</v>
      </c>
      <c r="C851" s="2" t="s">
        <v>8</v>
      </c>
      <c r="D851" s="2">
        <v>37</v>
      </c>
      <c r="E851" s="3">
        <v>71706</v>
      </c>
      <c r="F851" s="2" t="s">
        <v>17</v>
      </c>
      <c r="G851" s="2" t="s">
        <v>10</v>
      </c>
      <c r="H851" t="str">
        <f t="shared" si="13"/>
        <v>Review</v>
      </c>
    </row>
    <row r="852" spans="1:8">
      <c r="A852" s="2">
        <v>851</v>
      </c>
      <c r="B852" s="2" t="s">
        <v>50</v>
      </c>
      <c r="C852" s="2" t="s">
        <v>22</v>
      </c>
      <c r="D852" s="2">
        <v>10</v>
      </c>
      <c r="E852" s="3">
        <v>86134</v>
      </c>
      <c r="F852" s="2" t="s">
        <v>13</v>
      </c>
      <c r="G852" s="2" t="s">
        <v>18</v>
      </c>
      <c r="H852" t="str">
        <f t="shared" si="13"/>
        <v>Review</v>
      </c>
    </row>
    <row r="853" spans="1:8">
      <c r="A853" s="2">
        <v>852</v>
      </c>
      <c r="B853" s="2" t="s">
        <v>57</v>
      </c>
      <c r="C853" s="2" t="s">
        <v>16</v>
      </c>
      <c r="D853" s="2">
        <v>37</v>
      </c>
      <c r="E853" s="3">
        <v>42692</v>
      </c>
      <c r="F853" s="2" t="s">
        <v>38</v>
      </c>
      <c r="G853" s="2" t="s">
        <v>26</v>
      </c>
      <c r="H853" t="str">
        <f t="shared" si="13"/>
        <v>Standard</v>
      </c>
    </row>
    <row r="854" spans="1:8">
      <c r="A854" s="2">
        <v>853</v>
      </c>
      <c r="B854" s="2" t="s">
        <v>7</v>
      </c>
      <c r="C854" s="2" t="s">
        <v>22</v>
      </c>
      <c r="D854" s="2">
        <v>13</v>
      </c>
      <c r="E854" s="3">
        <v>95613</v>
      </c>
      <c r="F854" s="2" t="s">
        <v>20</v>
      </c>
      <c r="G854" s="2" t="s">
        <v>26</v>
      </c>
      <c r="H854" t="str">
        <f t="shared" si="13"/>
        <v>Review</v>
      </c>
    </row>
    <row r="855" spans="1:8">
      <c r="A855" s="2">
        <v>854</v>
      </c>
      <c r="B855" s="2" t="s">
        <v>83</v>
      </c>
      <c r="C855" s="2" t="s">
        <v>16</v>
      </c>
      <c r="D855" s="2">
        <v>32</v>
      </c>
      <c r="E855" s="3">
        <v>26167</v>
      </c>
      <c r="F855" s="2" t="s">
        <v>9</v>
      </c>
      <c r="G855" s="2" t="s">
        <v>10</v>
      </c>
      <c r="H855" t="str">
        <f t="shared" si="13"/>
        <v>Standard</v>
      </c>
    </row>
    <row r="856" spans="1:8">
      <c r="A856" s="2">
        <v>855</v>
      </c>
      <c r="B856" s="2" t="s">
        <v>35</v>
      </c>
      <c r="C856" s="2" t="s">
        <v>12</v>
      </c>
      <c r="D856" s="2">
        <v>35</v>
      </c>
      <c r="E856" s="3">
        <v>43670</v>
      </c>
      <c r="F856" s="2" t="s">
        <v>9</v>
      </c>
      <c r="G856" s="2" t="s">
        <v>18</v>
      </c>
      <c r="H856" t="str">
        <f t="shared" si="13"/>
        <v>Standard</v>
      </c>
    </row>
    <row r="857" spans="1:8">
      <c r="A857" s="2">
        <v>856</v>
      </c>
      <c r="B857" s="2" t="s">
        <v>74</v>
      </c>
      <c r="C857" s="2" t="s">
        <v>12</v>
      </c>
      <c r="D857" s="2">
        <v>20</v>
      </c>
      <c r="E857" s="3">
        <v>96717</v>
      </c>
      <c r="F857" s="2" t="s">
        <v>38</v>
      </c>
      <c r="G857" s="2" t="s">
        <v>14</v>
      </c>
      <c r="H857" t="str">
        <f t="shared" si="13"/>
        <v>Review</v>
      </c>
    </row>
    <row r="858" spans="1:8">
      <c r="A858" s="2">
        <v>857</v>
      </c>
      <c r="B858" s="2" t="s">
        <v>56</v>
      </c>
      <c r="C858" s="2" t="s">
        <v>12</v>
      </c>
      <c r="D858" s="2">
        <v>12</v>
      </c>
      <c r="E858" s="3">
        <v>52258</v>
      </c>
      <c r="F858" s="2" t="s">
        <v>32</v>
      </c>
      <c r="G858" s="2" t="s">
        <v>26</v>
      </c>
      <c r="H858" t="str">
        <f t="shared" si="13"/>
        <v>Standard</v>
      </c>
    </row>
    <row r="859" spans="1:8">
      <c r="A859" s="2">
        <v>858</v>
      </c>
      <c r="B859" s="2" t="s">
        <v>90</v>
      </c>
      <c r="C859" s="2" t="s">
        <v>22</v>
      </c>
      <c r="D859" s="2">
        <v>32</v>
      </c>
      <c r="E859" s="3">
        <v>83772</v>
      </c>
      <c r="F859" s="2" t="s">
        <v>13</v>
      </c>
      <c r="G859" s="2" t="s">
        <v>23</v>
      </c>
      <c r="H859" t="str">
        <f t="shared" si="13"/>
        <v>Review</v>
      </c>
    </row>
    <row r="860" spans="1:8">
      <c r="A860" s="2">
        <v>859</v>
      </c>
      <c r="B860" s="2" t="s">
        <v>84</v>
      </c>
      <c r="C860" s="2" t="s">
        <v>22</v>
      </c>
      <c r="D860" s="2">
        <v>3</v>
      </c>
      <c r="E860" s="3">
        <v>27710</v>
      </c>
      <c r="F860" s="2" t="s">
        <v>38</v>
      </c>
      <c r="G860" s="2" t="s">
        <v>23</v>
      </c>
      <c r="H860" t="str">
        <f t="shared" si="13"/>
        <v>Standard</v>
      </c>
    </row>
    <row r="861" spans="1:8">
      <c r="A861" s="2">
        <v>860</v>
      </c>
      <c r="B861" s="2" t="s">
        <v>55</v>
      </c>
      <c r="C861" s="2" t="s">
        <v>22</v>
      </c>
      <c r="D861" s="2">
        <v>6</v>
      </c>
      <c r="E861" s="3">
        <v>65375</v>
      </c>
      <c r="F861" s="2" t="s">
        <v>13</v>
      </c>
      <c r="G861" s="2" t="s">
        <v>29</v>
      </c>
      <c r="H861" t="str">
        <f t="shared" si="13"/>
        <v>Review</v>
      </c>
    </row>
    <row r="862" spans="1:8">
      <c r="A862" s="2">
        <v>861</v>
      </c>
      <c r="B862" s="2" t="s">
        <v>76</v>
      </c>
      <c r="C862" s="2" t="s">
        <v>8</v>
      </c>
      <c r="D862" s="2">
        <v>4</v>
      </c>
      <c r="E862" s="3">
        <v>79634</v>
      </c>
      <c r="F862" s="2" t="s">
        <v>38</v>
      </c>
      <c r="G862" s="2" t="s">
        <v>18</v>
      </c>
      <c r="H862" t="str">
        <f t="shared" si="13"/>
        <v>Review</v>
      </c>
    </row>
    <row r="863" spans="1:8">
      <c r="A863" s="2">
        <v>862</v>
      </c>
      <c r="B863" s="2" t="s">
        <v>42</v>
      </c>
      <c r="C863" s="2" t="s">
        <v>22</v>
      </c>
      <c r="D863" s="2">
        <v>15</v>
      </c>
      <c r="E863" s="3">
        <v>57786</v>
      </c>
      <c r="F863" s="2" t="s">
        <v>32</v>
      </c>
      <c r="G863" s="2" t="s">
        <v>29</v>
      </c>
      <c r="H863" t="str">
        <f t="shared" si="13"/>
        <v>Standard</v>
      </c>
    </row>
    <row r="864" spans="1:8">
      <c r="A864" s="2">
        <v>863</v>
      </c>
      <c r="B864" s="2" t="s">
        <v>70</v>
      </c>
      <c r="C864" s="2" t="s">
        <v>8</v>
      </c>
      <c r="D864" s="2">
        <v>39</v>
      </c>
      <c r="E864" s="3">
        <v>82534</v>
      </c>
      <c r="F864" s="2" t="s">
        <v>28</v>
      </c>
      <c r="G864" s="2" t="s">
        <v>14</v>
      </c>
      <c r="H864" t="str">
        <f t="shared" si="13"/>
        <v>Review</v>
      </c>
    </row>
    <row r="865" spans="1:8">
      <c r="A865" s="2">
        <v>864</v>
      </c>
      <c r="B865" s="2" t="s">
        <v>62</v>
      </c>
      <c r="C865" s="2" t="s">
        <v>12</v>
      </c>
      <c r="D865" s="2">
        <v>15</v>
      </c>
      <c r="E865" s="3">
        <v>77575</v>
      </c>
      <c r="F865" s="2" t="s">
        <v>9</v>
      </c>
      <c r="G865" s="2" t="s">
        <v>23</v>
      </c>
      <c r="H865" t="str">
        <f t="shared" si="13"/>
        <v>Review</v>
      </c>
    </row>
    <row r="866" spans="1:8">
      <c r="A866" s="2">
        <v>865</v>
      </c>
      <c r="B866" s="2" t="s">
        <v>43</v>
      </c>
      <c r="C866" s="2" t="s">
        <v>22</v>
      </c>
      <c r="D866" s="2">
        <v>2</v>
      </c>
      <c r="E866" s="3">
        <v>94671</v>
      </c>
      <c r="F866" s="2" t="s">
        <v>13</v>
      </c>
      <c r="G866" s="2" t="s">
        <v>29</v>
      </c>
      <c r="H866" t="str">
        <f t="shared" si="13"/>
        <v>Review</v>
      </c>
    </row>
    <row r="867" spans="1:8">
      <c r="A867" s="2">
        <v>866</v>
      </c>
      <c r="B867" s="2" t="s">
        <v>7</v>
      </c>
      <c r="C867" s="2" t="s">
        <v>8</v>
      </c>
      <c r="D867" s="2">
        <v>34</v>
      </c>
      <c r="E867" s="3">
        <v>48137</v>
      </c>
      <c r="F867" s="2" t="s">
        <v>28</v>
      </c>
      <c r="G867" s="2" t="s">
        <v>18</v>
      </c>
      <c r="H867" t="str">
        <f t="shared" si="13"/>
        <v>Standard</v>
      </c>
    </row>
    <row r="868" spans="1:8">
      <c r="A868" s="2">
        <v>867</v>
      </c>
      <c r="B868" s="2" t="s">
        <v>80</v>
      </c>
      <c r="C868" s="2" t="s">
        <v>12</v>
      </c>
      <c r="D868" s="2">
        <v>31</v>
      </c>
      <c r="E868" s="3">
        <v>28199</v>
      </c>
      <c r="F868" s="2" t="s">
        <v>28</v>
      </c>
      <c r="G868" s="2" t="s">
        <v>14</v>
      </c>
      <c r="H868" t="str">
        <f t="shared" si="13"/>
        <v>Standard</v>
      </c>
    </row>
    <row r="869" spans="1:8">
      <c r="A869" s="2">
        <v>868</v>
      </c>
      <c r="B869" s="2" t="s">
        <v>70</v>
      </c>
      <c r="C869" s="2" t="s">
        <v>12</v>
      </c>
      <c r="D869" s="2">
        <v>1</v>
      </c>
      <c r="E869" s="3">
        <v>65557</v>
      </c>
      <c r="F869" s="2" t="s">
        <v>9</v>
      </c>
      <c r="G869" s="2" t="s">
        <v>14</v>
      </c>
      <c r="H869" t="str">
        <f t="shared" si="13"/>
        <v>Review</v>
      </c>
    </row>
    <row r="870" spans="1:8">
      <c r="A870" s="2">
        <v>869</v>
      </c>
      <c r="B870" s="2" t="s">
        <v>93</v>
      </c>
      <c r="C870" s="2" t="s">
        <v>22</v>
      </c>
      <c r="D870" s="2">
        <v>22</v>
      </c>
      <c r="E870" s="3">
        <v>84528</v>
      </c>
      <c r="F870" s="2" t="s">
        <v>25</v>
      </c>
      <c r="G870" s="2" t="s">
        <v>18</v>
      </c>
      <c r="H870" t="str">
        <f t="shared" si="13"/>
        <v>Review</v>
      </c>
    </row>
    <row r="871" spans="1:8">
      <c r="A871" s="2">
        <v>870</v>
      </c>
      <c r="B871" s="2" t="s">
        <v>66</v>
      </c>
      <c r="C871" s="2" t="s">
        <v>16</v>
      </c>
      <c r="D871" s="2">
        <v>40</v>
      </c>
      <c r="E871" s="3">
        <v>72159</v>
      </c>
      <c r="F871" s="2" t="s">
        <v>13</v>
      </c>
      <c r="G871" s="2" t="s">
        <v>29</v>
      </c>
      <c r="H871" t="str">
        <f t="shared" si="13"/>
        <v>Review</v>
      </c>
    </row>
    <row r="872" spans="1:8">
      <c r="A872" s="2">
        <v>871</v>
      </c>
      <c r="B872" s="2" t="s">
        <v>79</v>
      </c>
      <c r="C872" s="2" t="s">
        <v>16</v>
      </c>
      <c r="D872" s="2">
        <v>13</v>
      </c>
      <c r="E872" s="3">
        <v>77908</v>
      </c>
      <c r="F872" s="2" t="s">
        <v>28</v>
      </c>
      <c r="G872" s="2" t="s">
        <v>10</v>
      </c>
      <c r="H872" t="str">
        <f t="shared" si="13"/>
        <v>Review</v>
      </c>
    </row>
    <row r="873" spans="1:8">
      <c r="A873" s="2">
        <v>872</v>
      </c>
      <c r="B873" s="2" t="s">
        <v>7</v>
      </c>
      <c r="C873" s="2" t="s">
        <v>12</v>
      </c>
      <c r="D873" s="2">
        <v>9</v>
      </c>
      <c r="E873" s="3">
        <v>93756</v>
      </c>
      <c r="F873" s="2" t="s">
        <v>38</v>
      </c>
      <c r="G873" s="2" t="s">
        <v>29</v>
      </c>
      <c r="H873" t="str">
        <f t="shared" si="13"/>
        <v>Review</v>
      </c>
    </row>
    <row r="874" spans="1:8">
      <c r="A874" s="2">
        <v>873</v>
      </c>
      <c r="B874" s="2" t="s">
        <v>81</v>
      </c>
      <c r="C874" s="2" t="s">
        <v>16</v>
      </c>
      <c r="D874" s="2">
        <v>22</v>
      </c>
      <c r="E874" s="3">
        <v>25260</v>
      </c>
      <c r="F874" s="2" t="s">
        <v>25</v>
      </c>
      <c r="G874" s="2" t="s">
        <v>26</v>
      </c>
      <c r="H874" t="str">
        <f t="shared" si="13"/>
        <v>Standard</v>
      </c>
    </row>
    <row r="875" spans="1:8">
      <c r="A875" s="2">
        <v>874</v>
      </c>
      <c r="B875" s="2" t="s">
        <v>42</v>
      </c>
      <c r="C875" s="2" t="s">
        <v>16</v>
      </c>
      <c r="D875" s="2">
        <v>46</v>
      </c>
      <c r="E875" s="3">
        <v>89726</v>
      </c>
      <c r="F875" s="2" t="s">
        <v>9</v>
      </c>
      <c r="G875" s="2" t="s">
        <v>18</v>
      </c>
      <c r="H875" t="str">
        <f t="shared" si="13"/>
        <v>Review</v>
      </c>
    </row>
    <row r="876" spans="1:8">
      <c r="A876" s="2">
        <v>875</v>
      </c>
      <c r="B876" s="2" t="s">
        <v>72</v>
      </c>
      <c r="C876" s="2" t="s">
        <v>8</v>
      </c>
      <c r="D876" s="2">
        <v>12</v>
      </c>
      <c r="E876" s="3">
        <v>27062</v>
      </c>
      <c r="F876" s="2" t="s">
        <v>9</v>
      </c>
      <c r="G876" s="2" t="s">
        <v>23</v>
      </c>
      <c r="H876" t="str">
        <f t="shared" si="13"/>
        <v>Standard</v>
      </c>
    </row>
    <row r="877" spans="1:8">
      <c r="A877" s="2">
        <v>876</v>
      </c>
      <c r="B877" s="2" t="s">
        <v>44</v>
      </c>
      <c r="C877" s="2" t="s">
        <v>8</v>
      </c>
      <c r="D877" s="2">
        <v>21</v>
      </c>
      <c r="E877" s="3">
        <v>86202</v>
      </c>
      <c r="F877" s="2" t="s">
        <v>20</v>
      </c>
      <c r="G877" s="2" t="s">
        <v>29</v>
      </c>
      <c r="H877" t="str">
        <f t="shared" si="13"/>
        <v>Review</v>
      </c>
    </row>
    <row r="878" spans="1:8">
      <c r="A878" s="2">
        <v>877</v>
      </c>
      <c r="B878" s="2" t="s">
        <v>91</v>
      </c>
      <c r="C878" s="2" t="s">
        <v>8</v>
      </c>
      <c r="D878" s="2">
        <v>4</v>
      </c>
      <c r="E878" s="3">
        <v>57244</v>
      </c>
      <c r="F878" s="2" t="s">
        <v>20</v>
      </c>
      <c r="G878" s="2" t="s">
        <v>10</v>
      </c>
      <c r="H878" t="str">
        <f t="shared" si="13"/>
        <v>Standard</v>
      </c>
    </row>
    <row r="879" spans="1:8">
      <c r="A879" s="2">
        <v>878</v>
      </c>
      <c r="B879" s="2" t="s">
        <v>60</v>
      </c>
      <c r="C879" s="2" t="s">
        <v>12</v>
      </c>
      <c r="D879" s="2">
        <v>2</v>
      </c>
      <c r="E879" s="3">
        <v>49256</v>
      </c>
      <c r="F879" s="2" t="s">
        <v>25</v>
      </c>
      <c r="G879" s="2" t="s">
        <v>29</v>
      </c>
      <c r="H879" t="str">
        <f t="shared" si="13"/>
        <v>Standard</v>
      </c>
    </row>
    <row r="880" spans="1:8">
      <c r="A880" s="2">
        <v>879</v>
      </c>
      <c r="B880" s="2" t="s">
        <v>11</v>
      </c>
      <c r="C880" s="2" t="s">
        <v>16</v>
      </c>
      <c r="D880" s="2">
        <v>10</v>
      </c>
      <c r="E880" s="3">
        <v>99465</v>
      </c>
      <c r="F880" s="2" t="s">
        <v>25</v>
      </c>
      <c r="G880" s="2" t="s">
        <v>23</v>
      </c>
      <c r="H880" t="str">
        <f t="shared" si="13"/>
        <v>Review</v>
      </c>
    </row>
    <row r="881" spans="1:8">
      <c r="A881" s="2">
        <v>880</v>
      </c>
      <c r="B881" s="2" t="s">
        <v>83</v>
      </c>
      <c r="C881" s="2" t="s">
        <v>22</v>
      </c>
      <c r="D881" s="2">
        <v>38</v>
      </c>
      <c r="E881" s="3">
        <v>43756</v>
      </c>
      <c r="F881" s="2" t="s">
        <v>13</v>
      </c>
      <c r="G881" s="2" t="s">
        <v>14</v>
      </c>
      <c r="H881" t="str">
        <f t="shared" si="13"/>
        <v>Standard</v>
      </c>
    </row>
    <row r="882" spans="1:8">
      <c r="A882" s="2">
        <v>881</v>
      </c>
      <c r="B882" s="2" t="s">
        <v>15</v>
      </c>
      <c r="C882" s="2" t="s">
        <v>16</v>
      </c>
      <c r="D882" s="2">
        <v>46</v>
      </c>
      <c r="E882" s="3">
        <v>83517</v>
      </c>
      <c r="F882" s="2" t="s">
        <v>13</v>
      </c>
      <c r="G882" s="2" t="s">
        <v>29</v>
      </c>
      <c r="H882" t="str">
        <f t="shared" si="13"/>
        <v>Review</v>
      </c>
    </row>
    <row r="883" spans="1:8">
      <c r="A883" s="2">
        <v>882</v>
      </c>
      <c r="B883" s="2" t="s">
        <v>40</v>
      </c>
      <c r="C883" s="2" t="s">
        <v>12</v>
      </c>
      <c r="D883" s="2">
        <v>10</v>
      </c>
      <c r="E883" s="3">
        <v>55851</v>
      </c>
      <c r="F883" s="2" t="s">
        <v>17</v>
      </c>
      <c r="G883" s="2" t="s">
        <v>14</v>
      </c>
      <c r="H883" t="str">
        <f t="shared" si="13"/>
        <v>Standard</v>
      </c>
    </row>
    <row r="884" spans="1:8">
      <c r="A884" s="2">
        <v>883</v>
      </c>
      <c r="B884" s="2" t="s">
        <v>71</v>
      </c>
      <c r="C884" s="2" t="s">
        <v>8</v>
      </c>
      <c r="D884" s="2">
        <v>50</v>
      </c>
      <c r="E884" s="3">
        <v>69731</v>
      </c>
      <c r="F884" s="2" t="s">
        <v>9</v>
      </c>
      <c r="G884" s="2" t="s">
        <v>26</v>
      </c>
      <c r="H884" t="str">
        <f t="shared" si="13"/>
        <v>Review</v>
      </c>
    </row>
    <row r="885" spans="1:8">
      <c r="A885" s="2">
        <v>884</v>
      </c>
      <c r="B885" s="2" t="s">
        <v>55</v>
      </c>
      <c r="C885" s="2" t="s">
        <v>12</v>
      </c>
      <c r="D885" s="2">
        <v>8</v>
      </c>
      <c r="E885" s="3">
        <v>79867</v>
      </c>
      <c r="F885" s="2" t="s">
        <v>38</v>
      </c>
      <c r="G885" s="2" t="s">
        <v>23</v>
      </c>
      <c r="H885" t="str">
        <f t="shared" si="13"/>
        <v>Review</v>
      </c>
    </row>
    <row r="886" spans="1:8">
      <c r="A886" s="2">
        <v>885</v>
      </c>
      <c r="B886" s="2" t="s">
        <v>73</v>
      </c>
      <c r="C886" s="2" t="s">
        <v>8</v>
      </c>
      <c r="D886" s="2">
        <v>34</v>
      </c>
      <c r="E886" s="3">
        <v>68995</v>
      </c>
      <c r="F886" s="2" t="s">
        <v>25</v>
      </c>
      <c r="G886" s="2" t="s">
        <v>10</v>
      </c>
      <c r="H886" t="str">
        <f t="shared" si="13"/>
        <v>Review</v>
      </c>
    </row>
    <row r="887" spans="1:8">
      <c r="A887" s="2">
        <v>886</v>
      </c>
      <c r="B887" s="2" t="s">
        <v>7</v>
      </c>
      <c r="C887" s="2" t="s">
        <v>12</v>
      </c>
      <c r="D887" s="2">
        <v>24</v>
      </c>
      <c r="E887" s="3">
        <v>41060</v>
      </c>
      <c r="F887" s="2" t="s">
        <v>9</v>
      </c>
      <c r="G887" s="2" t="s">
        <v>29</v>
      </c>
      <c r="H887" t="str">
        <f t="shared" si="13"/>
        <v>Standard</v>
      </c>
    </row>
    <row r="888" spans="1:8">
      <c r="A888" s="2">
        <v>887</v>
      </c>
      <c r="B888" s="2" t="s">
        <v>73</v>
      </c>
      <c r="C888" s="2" t="s">
        <v>22</v>
      </c>
      <c r="D888" s="2">
        <v>5</v>
      </c>
      <c r="E888" s="3">
        <v>76300</v>
      </c>
      <c r="F888" s="2" t="s">
        <v>32</v>
      </c>
      <c r="G888" s="2" t="s">
        <v>14</v>
      </c>
      <c r="H888" t="str">
        <f t="shared" si="13"/>
        <v>Review</v>
      </c>
    </row>
    <row r="889" spans="1:8">
      <c r="A889" s="2">
        <v>888</v>
      </c>
      <c r="B889" s="2" t="s">
        <v>86</v>
      </c>
      <c r="C889" s="2" t="s">
        <v>8</v>
      </c>
      <c r="D889" s="2">
        <v>24</v>
      </c>
      <c r="E889" s="3">
        <v>98219</v>
      </c>
      <c r="F889" s="2" t="s">
        <v>9</v>
      </c>
      <c r="G889" s="2" t="s">
        <v>10</v>
      </c>
      <c r="H889" t="str">
        <f t="shared" si="13"/>
        <v>Review</v>
      </c>
    </row>
    <row r="890" spans="1:8">
      <c r="A890" s="2">
        <v>889</v>
      </c>
      <c r="B890" s="2" t="s">
        <v>74</v>
      </c>
      <c r="C890" s="2" t="s">
        <v>8</v>
      </c>
      <c r="D890" s="2">
        <v>46</v>
      </c>
      <c r="E890" s="3">
        <v>84765</v>
      </c>
      <c r="F890" s="2" t="s">
        <v>20</v>
      </c>
      <c r="G890" s="2" t="s">
        <v>14</v>
      </c>
      <c r="H890" t="str">
        <f t="shared" si="13"/>
        <v>Review</v>
      </c>
    </row>
    <row r="891" spans="1:8">
      <c r="A891" s="2">
        <v>890</v>
      </c>
      <c r="B891" s="2" t="s">
        <v>55</v>
      </c>
      <c r="C891" s="2" t="s">
        <v>16</v>
      </c>
      <c r="D891" s="2">
        <v>43</v>
      </c>
      <c r="E891" s="3">
        <v>99143</v>
      </c>
      <c r="F891" s="2" t="s">
        <v>28</v>
      </c>
      <c r="G891" s="2" t="s">
        <v>14</v>
      </c>
      <c r="H891" t="str">
        <f t="shared" si="13"/>
        <v>Review</v>
      </c>
    </row>
    <row r="892" spans="1:8">
      <c r="A892" s="2">
        <v>891</v>
      </c>
      <c r="B892" s="2" t="s">
        <v>39</v>
      </c>
      <c r="C892" s="2" t="s">
        <v>12</v>
      </c>
      <c r="D892" s="2">
        <v>26</v>
      </c>
      <c r="E892" s="3">
        <v>58342</v>
      </c>
      <c r="F892" s="2" t="s">
        <v>17</v>
      </c>
      <c r="G892" s="2" t="s">
        <v>14</v>
      </c>
      <c r="H892" t="str">
        <f t="shared" si="13"/>
        <v>Standard</v>
      </c>
    </row>
    <row r="893" spans="1:8">
      <c r="A893" s="2">
        <v>892</v>
      </c>
      <c r="B893" s="2" t="s">
        <v>81</v>
      </c>
      <c r="C893" s="2" t="s">
        <v>16</v>
      </c>
      <c r="D893" s="2">
        <v>38</v>
      </c>
      <c r="E893" s="3">
        <v>65634</v>
      </c>
      <c r="F893" s="2" t="s">
        <v>25</v>
      </c>
      <c r="G893" s="2" t="s">
        <v>29</v>
      </c>
      <c r="H893" t="str">
        <f t="shared" si="13"/>
        <v>Review</v>
      </c>
    </row>
    <row r="894" spans="1:8">
      <c r="A894" s="2">
        <v>893</v>
      </c>
      <c r="B894" s="2" t="s">
        <v>78</v>
      </c>
      <c r="C894" s="2" t="s">
        <v>12</v>
      </c>
      <c r="D894" s="2">
        <v>7</v>
      </c>
      <c r="E894" s="3">
        <v>39724</v>
      </c>
      <c r="F894" s="2" t="s">
        <v>20</v>
      </c>
      <c r="G894" s="2" t="s">
        <v>14</v>
      </c>
      <c r="H894" t="str">
        <f t="shared" si="13"/>
        <v>Standard</v>
      </c>
    </row>
    <row r="895" spans="1:8">
      <c r="A895" s="2">
        <v>894</v>
      </c>
      <c r="B895" s="2" t="s">
        <v>88</v>
      </c>
      <c r="C895" s="2" t="s">
        <v>22</v>
      </c>
      <c r="D895" s="2">
        <v>22</v>
      </c>
      <c r="E895" s="3">
        <v>99854</v>
      </c>
      <c r="F895" s="2" t="s">
        <v>20</v>
      </c>
      <c r="G895" s="2" t="s">
        <v>26</v>
      </c>
      <c r="H895" t="str">
        <f t="shared" si="13"/>
        <v>Review</v>
      </c>
    </row>
    <row r="896" spans="1:8">
      <c r="A896" s="2">
        <v>895</v>
      </c>
      <c r="B896" s="2" t="s">
        <v>65</v>
      </c>
      <c r="C896" s="2" t="s">
        <v>16</v>
      </c>
      <c r="D896" s="2">
        <v>20</v>
      </c>
      <c r="E896" s="3">
        <v>93328</v>
      </c>
      <c r="F896" s="2" t="s">
        <v>20</v>
      </c>
      <c r="G896" s="2" t="s">
        <v>26</v>
      </c>
      <c r="H896" t="str">
        <f t="shared" si="13"/>
        <v>Review</v>
      </c>
    </row>
    <row r="897" spans="1:8">
      <c r="A897" s="2">
        <v>896</v>
      </c>
      <c r="B897" s="2" t="s">
        <v>93</v>
      </c>
      <c r="C897" s="2" t="s">
        <v>8</v>
      </c>
      <c r="D897" s="2">
        <v>21</v>
      </c>
      <c r="E897" s="3">
        <v>73221</v>
      </c>
      <c r="F897" s="2" t="s">
        <v>9</v>
      </c>
      <c r="G897" s="2" t="s">
        <v>23</v>
      </c>
      <c r="H897" t="str">
        <f t="shared" si="13"/>
        <v>Review</v>
      </c>
    </row>
    <row r="898" spans="1:8">
      <c r="A898" s="2">
        <v>897</v>
      </c>
      <c r="B898" s="2" t="s">
        <v>11</v>
      </c>
      <c r="C898" s="2" t="s">
        <v>22</v>
      </c>
      <c r="D898" s="2">
        <v>9</v>
      </c>
      <c r="E898" s="3">
        <v>74692</v>
      </c>
      <c r="F898" s="2" t="s">
        <v>17</v>
      </c>
      <c r="G898" s="2" t="s">
        <v>18</v>
      </c>
      <c r="H898" t="str">
        <f t="shared" si="13"/>
        <v>Review</v>
      </c>
    </row>
    <row r="899" spans="1:8">
      <c r="A899" s="2">
        <v>898</v>
      </c>
      <c r="B899" s="2" t="s">
        <v>34</v>
      </c>
      <c r="C899" s="2" t="s">
        <v>12</v>
      </c>
      <c r="D899" s="2">
        <v>11</v>
      </c>
      <c r="E899" s="3">
        <v>99155</v>
      </c>
      <c r="F899" s="2" t="s">
        <v>20</v>
      </c>
      <c r="G899" s="2" t="s">
        <v>10</v>
      </c>
      <c r="H899" t="str">
        <f t="shared" ref="H899:H962" si="14">IF(AND(F899="Electric",E899&gt;45000),"Urgent",IF(OR(F899="Hybrid",E899&gt;60000),"Review","Standard"))</f>
        <v>Review</v>
      </c>
    </row>
    <row r="900" spans="1:8">
      <c r="A900" s="2">
        <v>899</v>
      </c>
      <c r="B900" s="2" t="s">
        <v>92</v>
      </c>
      <c r="C900" s="2" t="s">
        <v>8</v>
      </c>
      <c r="D900" s="2">
        <v>47</v>
      </c>
      <c r="E900" s="3">
        <v>98613</v>
      </c>
      <c r="F900" s="2" t="s">
        <v>13</v>
      </c>
      <c r="G900" s="2" t="s">
        <v>26</v>
      </c>
      <c r="H900" t="str">
        <f t="shared" si="14"/>
        <v>Review</v>
      </c>
    </row>
    <row r="901" spans="1:8">
      <c r="A901" s="2">
        <v>900</v>
      </c>
      <c r="B901" s="2" t="s">
        <v>90</v>
      </c>
      <c r="C901" s="2" t="s">
        <v>12</v>
      </c>
      <c r="D901" s="2">
        <v>28</v>
      </c>
      <c r="E901" s="3">
        <v>41737</v>
      </c>
      <c r="F901" s="2" t="s">
        <v>25</v>
      </c>
      <c r="G901" s="2" t="s">
        <v>10</v>
      </c>
      <c r="H901" t="str">
        <f t="shared" si="14"/>
        <v>Standard</v>
      </c>
    </row>
    <row r="902" spans="1:8">
      <c r="A902" s="2">
        <v>901</v>
      </c>
      <c r="B902" s="2" t="s">
        <v>49</v>
      </c>
      <c r="C902" s="2" t="s">
        <v>8</v>
      </c>
      <c r="D902" s="2">
        <v>41</v>
      </c>
      <c r="E902" s="3">
        <v>41456</v>
      </c>
      <c r="F902" s="2" t="s">
        <v>13</v>
      </c>
      <c r="G902" s="2" t="s">
        <v>26</v>
      </c>
      <c r="H902" t="str">
        <f t="shared" si="14"/>
        <v>Standard</v>
      </c>
    </row>
    <row r="903" spans="1:8">
      <c r="A903" s="2">
        <v>902</v>
      </c>
      <c r="B903" s="2" t="s">
        <v>89</v>
      </c>
      <c r="C903" s="2" t="s">
        <v>12</v>
      </c>
      <c r="D903" s="2">
        <v>32</v>
      </c>
      <c r="E903" s="3">
        <v>72003</v>
      </c>
      <c r="F903" s="2" t="s">
        <v>13</v>
      </c>
      <c r="G903" s="2" t="s">
        <v>29</v>
      </c>
      <c r="H903" t="str">
        <f t="shared" si="14"/>
        <v>Review</v>
      </c>
    </row>
    <row r="904" spans="1:8">
      <c r="A904" s="2">
        <v>903</v>
      </c>
      <c r="B904" s="2" t="s">
        <v>7</v>
      </c>
      <c r="C904" s="2" t="s">
        <v>8</v>
      </c>
      <c r="D904" s="2">
        <v>42</v>
      </c>
      <c r="E904" s="3">
        <v>94587</v>
      </c>
      <c r="F904" s="2" t="s">
        <v>38</v>
      </c>
      <c r="G904" s="2" t="s">
        <v>29</v>
      </c>
      <c r="H904" t="str">
        <f t="shared" si="14"/>
        <v>Review</v>
      </c>
    </row>
    <row r="905" spans="1:8">
      <c r="A905" s="2">
        <v>904</v>
      </c>
      <c r="B905" s="2" t="s">
        <v>66</v>
      </c>
      <c r="C905" s="2" t="s">
        <v>12</v>
      </c>
      <c r="D905" s="2">
        <v>21</v>
      </c>
      <c r="E905" s="3">
        <v>45541</v>
      </c>
      <c r="F905" s="2" t="s">
        <v>25</v>
      </c>
      <c r="G905" s="2" t="s">
        <v>29</v>
      </c>
      <c r="H905" t="str">
        <f t="shared" si="14"/>
        <v>Standard</v>
      </c>
    </row>
    <row r="906" spans="1:8">
      <c r="A906" s="2">
        <v>905</v>
      </c>
      <c r="B906" s="2" t="s">
        <v>33</v>
      </c>
      <c r="C906" s="2" t="s">
        <v>16</v>
      </c>
      <c r="D906" s="2">
        <v>12</v>
      </c>
      <c r="E906" s="3">
        <v>33279</v>
      </c>
      <c r="F906" s="2" t="s">
        <v>17</v>
      </c>
      <c r="G906" s="2" t="s">
        <v>26</v>
      </c>
      <c r="H906" t="str">
        <f t="shared" si="14"/>
        <v>Standard</v>
      </c>
    </row>
    <row r="907" spans="1:8">
      <c r="A907" s="2">
        <v>906</v>
      </c>
      <c r="B907" s="2" t="s">
        <v>90</v>
      </c>
      <c r="C907" s="2" t="s">
        <v>8</v>
      </c>
      <c r="D907" s="2">
        <v>46</v>
      </c>
      <c r="E907" s="3">
        <v>49975</v>
      </c>
      <c r="F907" s="2" t="s">
        <v>25</v>
      </c>
      <c r="G907" s="2" t="s">
        <v>18</v>
      </c>
      <c r="H907" t="str">
        <f t="shared" si="14"/>
        <v>Standard</v>
      </c>
    </row>
    <row r="908" spans="1:8">
      <c r="A908" s="2">
        <v>907</v>
      </c>
      <c r="B908" s="2" t="s">
        <v>76</v>
      </c>
      <c r="C908" s="2" t="s">
        <v>8</v>
      </c>
      <c r="D908" s="2">
        <v>36</v>
      </c>
      <c r="E908" s="3">
        <v>61254</v>
      </c>
      <c r="F908" s="2" t="s">
        <v>25</v>
      </c>
      <c r="G908" s="2" t="s">
        <v>23</v>
      </c>
      <c r="H908" t="str">
        <f t="shared" si="14"/>
        <v>Review</v>
      </c>
    </row>
    <row r="909" spans="1:8">
      <c r="A909" s="2">
        <v>908</v>
      </c>
      <c r="B909" s="2" t="s">
        <v>44</v>
      </c>
      <c r="C909" s="2" t="s">
        <v>16</v>
      </c>
      <c r="D909" s="2">
        <v>45</v>
      </c>
      <c r="E909" s="3">
        <v>47286</v>
      </c>
      <c r="F909" s="2" t="s">
        <v>25</v>
      </c>
      <c r="G909" s="2" t="s">
        <v>10</v>
      </c>
      <c r="H909" t="str">
        <f t="shared" si="14"/>
        <v>Standard</v>
      </c>
    </row>
    <row r="910" spans="1:8">
      <c r="A910" s="2">
        <v>909</v>
      </c>
      <c r="B910" s="2" t="s">
        <v>33</v>
      </c>
      <c r="C910" s="2" t="s">
        <v>12</v>
      </c>
      <c r="D910" s="2">
        <v>40</v>
      </c>
      <c r="E910" s="3">
        <v>80513</v>
      </c>
      <c r="F910" s="2" t="s">
        <v>25</v>
      </c>
      <c r="G910" s="2" t="s">
        <v>10</v>
      </c>
      <c r="H910" t="str">
        <f t="shared" si="14"/>
        <v>Review</v>
      </c>
    </row>
    <row r="911" spans="1:8">
      <c r="A911" s="2">
        <v>910</v>
      </c>
      <c r="B911" s="2" t="s">
        <v>45</v>
      </c>
      <c r="C911" s="2" t="s">
        <v>8</v>
      </c>
      <c r="D911" s="2">
        <v>23</v>
      </c>
      <c r="E911" s="3">
        <v>55350</v>
      </c>
      <c r="F911" s="2" t="s">
        <v>38</v>
      </c>
      <c r="G911" s="2" t="s">
        <v>29</v>
      </c>
      <c r="H911" t="str">
        <f t="shared" si="14"/>
        <v>Standard</v>
      </c>
    </row>
    <row r="912" spans="1:8">
      <c r="A912" s="2">
        <v>911</v>
      </c>
      <c r="B912" s="2" t="s">
        <v>91</v>
      </c>
      <c r="C912" s="2" t="s">
        <v>16</v>
      </c>
      <c r="D912" s="2">
        <v>15</v>
      </c>
      <c r="E912" s="3">
        <v>31143</v>
      </c>
      <c r="F912" s="2" t="s">
        <v>13</v>
      </c>
      <c r="G912" s="2" t="s">
        <v>29</v>
      </c>
      <c r="H912" t="str">
        <f t="shared" si="14"/>
        <v>Standard</v>
      </c>
    </row>
    <row r="913" spans="1:8">
      <c r="A913" s="2">
        <v>912</v>
      </c>
      <c r="B913" s="2" t="s">
        <v>43</v>
      </c>
      <c r="C913" s="2" t="s">
        <v>12</v>
      </c>
      <c r="D913" s="2">
        <v>43</v>
      </c>
      <c r="E913" s="3">
        <v>72631</v>
      </c>
      <c r="F913" s="2" t="s">
        <v>28</v>
      </c>
      <c r="G913" s="2" t="s">
        <v>23</v>
      </c>
      <c r="H913" t="str">
        <f t="shared" si="14"/>
        <v>Review</v>
      </c>
    </row>
    <row r="914" spans="1:8">
      <c r="A914" s="2">
        <v>913</v>
      </c>
      <c r="B914" s="2" t="s">
        <v>57</v>
      </c>
      <c r="C914" s="2" t="s">
        <v>8</v>
      </c>
      <c r="D914" s="2">
        <v>38</v>
      </c>
      <c r="E914" s="3">
        <v>95527</v>
      </c>
      <c r="F914" s="2" t="s">
        <v>28</v>
      </c>
      <c r="G914" s="2" t="s">
        <v>26</v>
      </c>
      <c r="H914" t="str">
        <f t="shared" si="14"/>
        <v>Review</v>
      </c>
    </row>
    <row r="915" spans="1:8">
      <c r="A915" s="2">
        <v>914</v>
      </c>
      <c r="B915" s="2" t="s">
        <v>84</v>
      </c>
      <c r="C915" s="2" t="s">
        <v>8</v>
      </c>
      <c r="D915" s="2">
        <v>12</v>
      </c>
      <c r="E915" s="3">
        <v>94429</v>
      </c>
      <c r="F915" s="2" t="s">
        <v>9</v>
      </c>
      <c r="G915" s="2" t="s">
        <v>14</v>
      </c>
      <c r="H915" t="str">
        <f t="shared" si="14"/>
        <v>Review</v>
      </c>
    </row>
    <row r="916" spans="1:8">
      <c r="A916" s="2">
        <v>915</v>
      </c>
      <c r="B916" s="2" t="s">
        <v>62</v>
      </c>
      <c r="C916" s="2" t="s">
        <v>12</v>
      </c>
      <c r="D916" s="2">
        <v>25</v>
      </c>
      <c r="E916" s="3">
        <v>97929</v>
      </c>
      <c r="F916" s="2" t="s">
        <v>28</v>
      </c>
      <c r="G916" s="2" t="s">
        <v>23</v>
      </c>
      <c r="H916" t="str">
        <f t="shared" si="14"/>
        <v>Review</v>
      </c>
    </row>
    <row r="917" spans="1:8">
      <c r="A917" s="2">
        <v>916</v>
      </c>
      <c r="B917" s="2" t="s">
        <v>46</v>
      </c>
      <c r="C917" s="2" t="s">
        <v>16</v>
      </c>
      <c r="D917" s="2">
        <v>20</v>
      </c>
      <c r="E917" s="3">
        <v>25603</v>
      </c>
      <c r="F917" s="2" t="s">
        <v>25</v>
      </c>
      <c r="G917" s="2" t="s">
        <v>29</v>
      </c>
      <c r="H917" t="str">
        <f t="shared" si="14"/>
        <v>Standard</v>
      </c>
    </row>
    <row r="918" spans="1:8">
      <c r="A918" s="2">
        <v>917</v>
      </c>
      <c r="B918" s="2" t="s">
        <v>63</v>
      </c>
      <c r="C918" s="2" t="s">
        <v>8</v>
      </c>
      <c r="D918" s="2">
        <v>47</v>
      </c>
      <c r="E918" s="3">
        <v>70467</v>
      </c>
      <c r="F918" s="2" t="s">
        <v>20</v>
      </c>
      <c r="G918" s="2" t="s">
        <v>26</v>
      </c>
      <c r="H918" t="str">
        <f t="shared" si="14"/>
        <v>Review</v>
      </c>
    </row>
    <row r="919" spans="1:8">
      <c r="A919" s="2">
        <v>918</v>
      </c>
      <c r="B919" s="2" t="s">
        <v>59</v>
      </c>
      <c r="C919" s="2" t="s">
        <v>12</v>
      </c>
      <c r="D919" s="2">
        <v>45</v>
      </c>
      <c r="E919" s="3">
        <v>74838</v>
      </c>
      <c r="F919" s="2" t="s">
        <v>25</v>
      </c>
      <c r="G919" s="2" t="s">
        <v>10</v>
      </c>
      <c r="H919" t="str">
        <f t="shared" si="14"/>
        <v>Review</v>
      </c>
    </row>
    <row r="920" spans="1:8">
      <c r="A920" s="2">
        <v>919</v>
      </c>
      <c r="B920" s="2" t="s">
        <v>73</v>
      </c>
      <c r="C920" s="2" t="s">
        <v>8</v>
      </c>
      <c r="D920" s="2">
        <v>19</v>
      </c>
      <c r="E920" s="3">
        <v>29134</v>
      </c>
      <c r="F920" s="2" t="s">
        <v>32</v>
      </c>
      <c r="G920" s="2" t="s">
        <v>23</v>
      </c>
      <c r="H920" t="str">
        <f t="shared" si="14"/>
        <v>Standard</v>
      </c>
    </row>
    <row r="921" spans="1:8">
      <c r="A921" s="2">
        <v>920</v>
      </c>
      <c r="B921" s="2" t="s">
        <v>60</v>
      </c>
      <c r="C921" s="2" t="s">
        <v>12</v>
      </c>
      <c r="D921" s="2">
        <v>9</v>
      </c>
      <c r="E921" s="3">
        <v>47299</v>
      </c>
      <c r="F921" s="2" t="s">
        <v>38</v>
      </c>
      <c r="G921" s="2" t="s">
        <v>14</v>
      </c>
      <c r="H921" t="str">
        <f t="shared" si="14"/>
        <v>Standard</v>
      </c>
    </row>
    <row r="922" spans="1:8">
      <c r="A922" s="2">
        <v>921</v>
      </c>
      <c r="B922" s="2" t="s">
        <v>73</v>
      </c>
      <c r="C922" s="2" t="s">
        <v>8</v>
      </c>
      <c r="D922" s="2">
        <v>12</v>
      </c>
      <c r="E922" s="3">
        <v>58215</v>
      </c>
      <c r="F922" s="2" t="s">
        <v>28</v>
      </c>
      <c r="G922" s="2" t="s">
        <v>26</v>
      </c>
      <c r="H922" t="str">
        <f t="shared" si="14"/>
        <v>Standard</v>
      </c>
    </row>
    <row r="923" spans="1:8">
      <c r="A923" s="2">
        <v>922</v>
      </c>
      <c r="B923" s="2" t="s">
        <v>52</v>
      </c>
      <c r="C923" s="2" t="s">
        <v>22</v>
      </c>
      <c r="D923" s="2">
        <v>47</v>
      </c>
      <c r="E923" s="3">
        <v>77730</v>
      </c>
      <c r="F923" s="2" t="s">
        <v>38</v>
      </c>
      <c r="G923" s="2" t="s">
        <v>18</v>
      </c>
      <c r="H923" t="str">
        <f t="shared" si="14"/>
        <v>Review</v>
      </c>
    </row>
    <row r="924" spans="1:8">
      <c r="A924" s="2">
        <v>923</v>
      </c>
      <c r="B924" s="2" t="s">
        <v>59</v>
      </c>
      <c r="C924" s="2" t="s">
        <v>16</v>
      </c>
      <c r="D924" s="2">
        <v>1</v>
      </c>
      <c r="E924" s="3">
        <v>87445</v>
      </c>
      <c r="F924" s="2" t="s">
        <v>9</v>
      </c>
      <c r="G924" s="2" t="s">
        <v>18</v>
      </c>
      <c r="H924" t="str">
        <f t="shared" si="14"/>
        <v>Review</v>
      </c>
    </row>
    <row r="925" spans="1:8">
      <c r="A925" s="2">
        <v>924</v>
      </c>
      <c r="B925" s="2" t="s">
        <v>67</v>
      </c>
      <c r="C925" s="2" t="s">
        <v>16</v>
      </c>
      <c r="D925" s="2">
        <v>45</v>
      </c>
      <c r="E925" s="3">
        <v>34514</v>
      </c>
      <c r="F925" s="2" t="s">
        <v>9</v>
      </c>
      <c r="G925" s="2" t="s">
        <v>10</v>
      </c>
      <c r="H925" t="str">
        <f t="shared" si="14"/>
        <v>Standard</v>
      </c>
    </row>
    <row r="926" spans="1:8">
      <c r="A926" s="2">
        <v>925</v>
      </c>
      <c r="B926" s="2" t="s">
        <v>52</v>
      </c>
      <c r="C926" s="2" t="s">
        <v>22</v>
      </c>
      <c r="D926" s="2">
        <v>37</v>
      </c>
      <c r="E926" s="3">
        <v>82148</v>
      </c>
      <c r="F926" s="2" t="s">
        <v>9</v>
      </c>
      <c r="G926" s="2" t="s">
        <v>14</v>
      </c>
      <c r="H926" t="str">
        <f t="shared" si="14"/>
        <v>Review</v>
      </c>
    </row>
    <row r="927" spans="1:8">
      <c r="A927" s="2">
        <v>926</v>
      </c>
      <c r="B927" s="2" t="s">
        <v>7</v>
      </c>
      <c r="C927" s="2" t="s">
        <v>12</v>
      </c>
      <c r="D927" s="2">
        <v>26</v>
      </c>
      <c r="E927" s="3">
        <v>49495</v>
      </c>
      <c r="F927" s="2" t="s">
        <v>38</v>
      </c>
      <c r="G927" s="2" t="s">
        <v>23</v>
      </c>
      <c r="H927" t="str">
        <f t="shared" si="14"/>
        <v>Standard</v>
      </c>
    </row>
    <row r="928" spans="1:8">
      <c r="A928" s="2">
        <v>927</v>
      </c>
      <c r="B928" s="2" t="s">
        <v>46</v>
      </c>
      <c r="C928" s="2" t="s">
        <v>16</v>
      </c>
      <c r="D928" s="2">
        <v>50</v>
      </c>
      <c r="E928" s="3">
        <v>51093</v>
      </c>
      <c r="F928" s="2" t="s">
        <v>9</v>
      </c>
      <c r="G928" s="2" t="s">
        <v>29</v>
      </c>
      <c r="H928" t="str">
        <f t="shared" si="14"/>
        <v>Standard</v>
      </c>
    </row>
    <row r="929" spans="1:8">
      <c r="A929" s="2">
        <v>928</v>
      </c>
      <c r="B929" s="2" t="s">
        <v>92</v>
      </c>
      <c r="C929" s="2" t="s">
        <v>12</v>
      </c>
      <c r="D929" s="2">
        <v>37</v>
      </c>
      <c r="E929" s="3">
        <v>90151</v>
      </c>
      <c r="F929" s="2" t="s">
        <v>32</v>
      </c>
      <c r="G929" s="2" t="s">
        <v>29</v>
      </c>
      <c r="H929" t="str">
        <f t="shared" si="14"/>
        <v>Review</v>
      </c>
    </row>
    <row r="930" spans="1:8">
      <c r="A930" s="2">
        <v>929</v>
      </c>
      <c r="B930" s="2" t="s">
        <v>41</v>
      </c>
      <c r="C930" s="2" t="s">
        <v>8</v>
      </c>
      <c r="D930" s="2">
        <v>3</v>
      </c>
      <c r="E930" s="3">
        <v>75511</v>
      </c>
      <c r="F930" s="2" t="s">
        <v>32</v>
      </c>
      <c r="G930" s="2" t="s">
        <v>14</v>
      </c>
      <c r="H930" t="str">
        <f t="shared" si="14"/>
        <v>Review</v>
      </c>
    </row>
    <row r="931" spans="1:8">
      <c r="A931" s="2">
        <v>930</v>
      </c>
      <c r="B931" s="2" t="s">
        <v>88</v>
      </c>
      <c r="C931" s="2" t="s">
        <v>22</v>
      </c>
      <c r="D931" s="2">
        <v>12</v>
      </c>
      <c r="E931" s="3">
        <v>96933</v>
      </c>
      <c r="F931" s="2" t="s">
        <v>9</v>
      </c>
      <c r="G931" s="2" t="s">
        <v>23</v>
      </c>
      <c r="H931" t="str">
        <f t="shared" si="14"/>
        <v>Review</v>
      </c>
    </row>
    <row r="932" spans="1:8">
      <c r="A932" s="2">
        <v>931</v>
      </c>
      <c r="B932" s="2" t="s">
        <v>44</v>
      </c>
      <c r="C932" s="2" t="s">
        <v>12</v>
      </c>
      <c r="D932" s="2">
        <v>39</v>
      </c>
      <c r="E932" s="3">
        <v>54028</v>
      </c>
      <c r="F932" s="2" t="s">
        <v>9</v>
      </c>
      <c r="G932" s="2" t="s">
        <v>14</v>
      </c>
      <c r="H932" t="str">
        <f t="shared" si="14"/>
        <v>Standard</v>
      </c>
    </row>
    <row r="933" spans="1:8">
      <c r="A933" s="2">
        <v>932</v>
      </c>
      <c r="B933" s="2" t="s">
        <v>41</v>
      </c>
      <c r="C933" s="2" t="s">
        <v>12</v>
      </c>
      <c r="D933" s="2">
        <v>21</v>
      </c>
      <c r="E933" s="3">
        <v>61694</v>
      </c>
      <c r="F933" s="2" t="s">
        <v>13</v>
      </c>
      <c r="G933" s="2" t="s">
        <v>23</v>
      </c>
      <c r="H933" t="str">
        <f t="shared" si="14"/>
        <v>Review</v>
      </c>
    </row>
    <row r="934" spans="1:8">
      <c r="A934" s="2">
        <v>933</v>
      </c>
      <c r="B934" s="2" t="s">
        <v>87</v>
      </c>
      <c r="C934" s="2" t="s">
        <v>16</v>
      </c>
      <c r="D934" s="2">
        <v>40</v>
      </c>
      <c r="E934" s="3">
        <v>65016</v>
      </c>
      <c r="F934" s="2" t="s">
        <v>9</v>
      </c>
      <c r="G934" s="2" t="s">
        <v>18</v>
      </c>
      <c r="H934" t="str">
        <f t="shared" si="14"/>
        <v>Review</v>
      </c>
    </row>
    <row r="935" spans="1:8">
      <c r="A935" s="2">
        <v>934</v>
      </c>
      <c r="B935" s="2" t="s">
        <v>45</v>
      </c>
      <c r="C935" s="2" t="s">
        <v>8</v>
      </c>
      <c r="D935" s="2">
        <v>15</v>
      </c>
      <c r="E935" s="3">
        <v>75927</v>
      </c>
      <c r="F935" s="2" t="s">
        <v>20</v>
      </c>
      <c r="G935" s="2" t="s">
        <v>23</v>
      </c>
      <c r="H935" t="str">
        <f t="shared" si="14"/>
        <v>Review</v>
      </c>
    </row>
    <row r="936" spans="1:8">
      <c r="A936" s="2">
        <v>935</v>
      </c>
      <c r="B936" s="2" t="s">
        <v>73</v>
      </c>
      <c r="C936" s="2" t="s">
        <v>16</v>
      </c>
      <c r="D936" s="2">
        <v>41</v>
      </c>
      <c r="E936" s="3">
        <v>31787</v>
      </c>
      <c r="F936" s="2" t="s">
        <v>38</v>
      </c>
      <c r="G936" s="2" t="s">
        <v>23</v>
      </c>
      <c r="H936" t="str">
        <f t="shared" si="14"/>
        <v>Standard</v>
      </c>
    </row>
    <row r="937" spans="1:8">
      <c r="A937" s="2">
        <v>936</v>
      </c>
      <c r="B937" s="2" t="s">
        <v>27</v>
      </c>
      <c r="C937" s="2" t="s">
        <v>8</v>
      </c>
      <c r="D937" s="2">
        <v>37</v>
      </c>
      <c r="E937" s="3">
        <v>61127</v>
      </c>
      <c r="F937" s="2" t="s">
        <v>32</v>
      </c>
      <c r="G937" s="2" t="s">
        <v>29</v>
      </c>
      <c r="H937" t="str">
        <f t="shared" si="14"/>
        <v>Review</v>
      </c>
    </row>
    <row r="938" spans="1:8">
      <c r="A938" s="2">
        <v>937</v>
      </c>
      <c r="B938" s="2" t="s">
        <v>53</v>
      </c>
      <c r="C938" s="2" t="s">
        <v>16</v>
      </c>
      <c r="D938" s="2">
        <v>7</v>
      </c>
      <c r="E938" s="3">
        <v>36331</v>
      </c>
      <c r="F938" s="2" t="s">
        <v>28</v>
      </c>
      <c r="G938" s="2" t="s">
        <v>10</v>
      </c>
      <c r="H938" t="str">
        <f t="shared" si="14"/>
        <v>Standard</v>
      </c>
    </row>
    <row r="939" spans="1:8">
      <c r="A939" s="2">
        <v>938</v>
      </c>
      <c r="B939" s="2" t="s">
        <v>70</v>
      </c>
      <c r="C939" s="2" t="s">
        <v>12</v>
      </c>
      <c r="D939" s="2">
        <v>32</v>
      </c>
      <c r="E939" s="3">
        <v>36693</v>
      </c>
      <c r="F939" s="2" t="s">
        <v>32</v>
      </c>
      <c r="G939" s="2" t="s">
        <v>26</v>
      </c>
      <c r="H939" t="str">
        <f t="shared" si="14"/>
        <v>Standard</v>
      </c>
    </row>
    <row r="940" spans="1:8">
      <c r="A940" s="2">
        <v>939</v>
      </c>
      <c r="B940" s="2" t="s">
        <v>53</v>
      </c>
      <c r="C940" s="2" t="s">
        <v>12</v>
      </c>
      <c r="D940" s="2">
        <v>10</v>
      </c>
      <c r="E940" s="3">
        <v>71062</v>
      </c>
      <c r="F940" s="2" t="s">
        <v>38</v>
      </c>
      <c r="G940" s="2" t="s">
        <v>26</v>
      </c>
      <c r="H940" t="str">
        <f t="shared" si="14"/>
        <v>Review</v>
      </c>
    </row>
    <row r="941" spans="1:8">
      <c r="A941" s="2">
        <v>940</v>
      </c>
      <c r="B941" s="2" t="s">
        <v>58</v>
      </c>
      <c r="C941" s="2" t="s">
        <v>22</v>
      </c>
      <c r="D941" s="2">
        <v>22</v>
      </c>
      <c r="E941" s="3">
        <v>95867</v>
      </c>
      <c r="F941" s="2" t="s">
        <v>25</v>
      </c>
      <c r="G941" s="2" t="s">
        <v>29</v>
      </c>
      <c r="H941" t="str">
        <f t="shared" si="14"/>
        <v>Review</v>
      </c>
    </row>
    <row r="942" spans="1:8">
      <c r="A942" s="2">
        <v>941</v>
      </c>
      <c r="B942" s="2" t="s">
        <v>74</v>
      </c>
      <c r="C942" s="2" t="s">
        <v>12</v>
      </c>
      <c r="D942" s="2">
        <v>48</v>
      </c>
      <c r="E942" s="3">
        <v>80425</v>
      </c>
      <c r="F942" s="2" t="s">
        <v>25</v>
      </c>
      <c r="G942" s="2" t="s">
        <v>18</v>
      </c>
      <c r="H942" t="str">
        <f t="shared" si="14"/>
        <v>Review</v>
      </c>
    </row>
    <row r="943" spans="1:8">
      <c r="A943" s="2">
        <v>942</v>
      </c>
      <c r="B943" s="2" t="s">
        <v>30</v>
      </c>
      <c r="C943" s="2" t="s">
        <v>12</v>
      </c>
      <c r="D943" s="2">
        <v>5</v>
      </c>
      <c r="E943" s="3">
        <v>30573</v>
      </c>
      <c r="F943" s="2" t="s">
        <v>38</v>
      </c>
      <c r="G943" s="2" t="s">
        <v>14</v>
      </c>
      <c r="H943" t="str">
        <f t="shared" si="14"/>
        <v>Standard</v>
      </c>
    </row>
    <row r="944" spans="1:8">
      <c r="A944" s="2">
        <v>943</v>
      </c>
      <c r="B944" s="2" t="s">
        <v>85</v>
      </c>
      <c r="C944" s="2" t="s">
        <v>12</v>
      </c>
      <c r="D944" s="2">
        <v>16</v>
      </c>
      <c r="E944" s="3">
        <v>76158</v>
      </c>
      <c r="F944" s="2" t="s">
        <v>17</v>
      </c>
      <c r="G944" s="2" t="s">
        <v>29</v>
      </c>
      <c r="H944" t="str">
        <f t="shared" si="14"/>
        <v>Review</v>
      </c>
    </row>
    <row r="945" spans="1:8">
      <c r="A945" s="2">
        <v>944</v>
      </c>
      <c r="B945" s="2" t="s">
        <v>30</v>
      </c>
      <c r="C945" s="2" t="s">
        <v>12</v>
      </c>
      <c r="D945" s="2">
        <v>23</v>
      </c>
      <c r="E945" s="3">
        <v>29322</v>
      </c>
      <c r="F945" s="2" t="s">
        <v>38</v>
      </c>
      <c r="G945" s="2" t="s">
        <v>14</v>
      </c>
      <c r="H945" t="str">
        <f t="shared" si="14"/>
        <v>Standard</v>
      </c>
    </row>
    <row r="946" spans="1:8">
      <c r="A946" s="2">
        <v>945</v>
      </c>
      <c r="B946" s="2" t="s">
        <v>84</v>
      </c>
      <c r="C946" s="2" t="s">
        <v>22</v>
      </c>
      <c r="D946" s="2">
        <v>21</v>
      </c>
      <c r="E946" s="3">
        <v>99228</v>
      </c>
      <c r="F946" s="2" t="s">
        <v>25</v>
      </c>
      <c r="G946" s="2" t="s">
        <v>29</v>
      </c>
      <c r="H946" t="str">
        <f t="shared" si="14"/>
        <v>Review</v>
      </c>
    </row>
    <row r="947" spans="1:8">
      <c r="A947" s="2">
        <v>946</v>
      </c>
      <c r="B947" s="2" t="s">
        <v>74</v>
      </c>
      <c r="C947" s="2" t="s">
        <v>8</v>
      </c>
      <c r="D947" s="2">
        <v>11</v>
      </c>
      <c r="E947" s="3">
        <v>46835</v>
      </c>
      <c r="F947" s="2" t="s">
        <v>38</v>
      </c>
      <c r="G947" s="2" t="s">
        <v>26</v>
      </c>
      <c r="H947" t="str">
        <f t="shared" si="14"/>
        <v>Standard</v>
      </c>
    </row>
    <row r="948" spans="1:8">
      <c r="A948" s="2">
        <v>947</v>
      </c>
      <c r="B948" s="2" t="s">
        <v>11</v>
      </c>
      <c r="C948" s="2" t="s">
        <v>22</v>
      </c>
      <c r="D948" s="2">
        <v>41</v>
      </c>
      <c r="E948" s="3">
        <v>80653</v>
      </c>
      <c r="F948" s="2" t="s">
        <v>28</v>
      </c>
      <c r="G948" s="2" t="s">
        <v>10</v>
      </c>
      <c r="H948" t="str">
        <f t="shared" si="14"/>
        <v>Review</v>
      </c>
    </row>
    <row r="949" spans="1:8">
      <c r="A949" s="2">
        <v>948</v>
      </c>
      <c r="B949" s="2" t="s">
        <v>66</v>
      </c>
      <c r="C949" s="2" t="s">
        <v>22</v>
      </c>
      <c r="D949" s="2">
        <v>6</v>
      </c>
      <c r="E949" s="3">
        <v>91380</v>
      </c>
      <c r="F949" s="2" t="s">
        <v>17</v>
      </c>
      <c r="G949" s="2" t="s">
        <v>10</v>
      </c>
      <c r="H949" t="str">
        <f t="shared" si="14"/>
        <v>Review</v>
      </c>
    </row>
    <row r="950" spans="1:8">
      <c r="A950" s="2">
        <v>949</v>
      </c>
      <c r="B950" s="2" t="s">
        <v>30</v>
      </c>
      <c r="C950" s="2" t="s">
        <v>16</v>
      </c>
      <c r="D950" s="2">
        <v>46</v>
      </c>
      <c r="E950" s="3">
        <v>36673</v>
      </c>
      <c r="F950" s="2" t="s">
        <v>20</v>
      </c>
      <c r="G950" s="2" t="s">
        <v>29</v>
      </c>
      <c r="H950" t="str">
        <f t="shared" si="14"/>
        <v>Standard</v>
      </c>
    </row>
    <row r="951" spans="1:8">
      <c r="A951" s="2">
        <v>950</v>
      </c>
      <c r="B951" s="2" t="s">
        <v>92</v>
      </c>
      <c r="C951" s="2" t="s">
        <v>8</v>
      </c>
      <c r="D951" s="2">
        <v>43</v>
      </c>
      <c r="E951" s="3">
        <v>58485</v>
      </c>
      <c r="F951" s="2" t="s">
        <v>38</v>
      </c>
      <c r="G951" s="2" t="s">
        <v>29</v>
      </c>
      <c r="H951" t="str">
        <f t="shared" si="14"/>
        <v>Standard</v>
      </c>
    </row>
    <row r="952" spans="1:8">
      <c r="A952" s="2">
        <v>951</v>
      </c>
      <c r="B952" s="2" t="s">
        <v>90</v>
      </c>
      <c r="C952" s="2" t="s">
        <v>16</v>
      </c>
      <c r="D952" s="2">
        <v>41</v>
      </c>
      <c r="E952" s="3">
        <v>82720</v>
      </c>
      <c r="F952" s="2" t="s">
        <v>20</v>
      </c>
      <c r="G952" s="2" t="s">
        <v>26</v>
      </c>
      <c r="H952" t="str">
        <f t="shared" si="14"/>
        <v>Review</v>
      </c>
    </row>
    <row r="953" spans="1:8">
      <c r="A953" s="2">
        <v>952</v>
      </c>
      <c r="B953" s="2" t="s">
        <v>73</v>
      </c>
      <c r="C953" s="2" t="s">
        <v>22</v>
      </c>
      <c r="D953" s="2">
        <v>47</v>
      </c>
      <c r="E953" s="3">
        <v>25616</v>
      </c>
      <c r="F953" s="2" t="s">
        <v>13</v>
      </c>
      <c r="G953" s="2" t="s">
        <v>14</v>
      </c>
      <c r="H953" t="str">
        <f t="shared" si="14"/>
        <v>Standard</v>
      </c>
    </row>
    <row r="954" spans="1:8">
      <c r="A954" s="2">
        <v>953</v>
      </c>
      <c r="B954" s="2" t="s">
        <v>78</v>
      </c>
      <c r="C954" s="2" t="s">
        <v>12</v>
      </c>
      <c r="D954" s="2">
        <v>22</v>
      </c>
      <c r="E954" s="3">
        <v>72803</v>
      </c>
      <c r="F954" s="2" t="s">
        <v>25</v>
      </c>
      <c r="G954" s="2" t="s">
        <v>14</v>
      </c>
      <c r="H954" t="str">
        <f t="shared" si="14"/>
        <v>Review</v>
      </c>
    </row>
    <row r="955" spans="1:8">
      <c r="A955" s="2">
        <v>954</v>
      </c>
      <c r="B955" s="2" t="s">
        <v>76</v>
      </c>
      <c r="C955" s="2" t="s">
        <v>8</v>
      </c>
      <c r="D955" s="2">
        <v>29</v>
      </c>
      <c r="E955" s="3">
        <v>62878</v>
      </c>
      <c r="F955" s="2" t="s">
        <v>25</v>
      </c>
      <c r="G955" s="2" t="s">
        <v>26</v>
      </c>
      <c r="H955" t="str">
        <f t="shared" si="14"/>
        <v>Review</v>
      </c>
    </row>
    <row r="956" spans="1:8">
      <c r="A956" s="2">
        <v>955</v>
      </c>
      <c r="B956" s="2" t="s">
        <v>64</v>
      </c>
      <c r="C956" s="2" t="s">
        <v>12</v>
      </c>
      <c r="D956" s="2">
        <v>1</v>
      </c>
      <c r="E956" s="3">
        <v>65450</v>
      </c>
      <c r="F956" s="2" t="s">
        <v>28</v>
      </c>
      <c r="G956" s="2" t="s">
        <v>18</v>
      </c>
      <c r="H956" t="str">
        <f t="shared" si="14"/>
        <v>Review</v>
      </c>
    </row>
    <row r="957" spans="1:8">
      <c r="A957" s="2">
        <v>956</v>
      </c>
      <c r="B957" s="2" t="s">
        <v>86</v>
      </c>
      <c r="C957" s="2" t="s">
        <v>22</v>
      </c>
      <c r="D957" s="2">
        <v>17</v>
      </c>
      <c r="E957" s="3">
        <v>84205</v>
      </c>
      <c r="F957" s="2" t="s">
        <v>25</v>
      </c>
      <c r="G957" s="2" t="s">
        <v>18</v>
      </c>
      <c r="H957" t="str">
        <f t="shared" si="14"/>
        <v>Review</v>
      </c>
    </row>
    <row r="958" spans="1:8">
      <c r="A958" s="2">
        <v>957</v>
      </c>
      <c r="B958" s="2" t="s">
        <v>75</v>
      </c>
      <c r="C958" s="2" t="s">
        <v>22</v>
      </c>
      <c r="D958" s="2">
        <v>14</v>
      </c>
      <c r="E958" s="3">
        <v>95995</v>
      </c>
      <c r="F958" s="2" t="s">
        <v>9</v>
      </c>
      <c r="G958" s="2" t="s">
        <v>29</v>
      </c>
      <c r="H958" t="str">
        <f t="shared" si="14"/>
        <v>Review</v>
      </c>
    </row>
    <row r="959" spans="1:8">
      <c r="A959" s="2">
        <v>958</v>
      </c>
      <c r="B959" s="2" t="s">
        <v>91</v>
      </c>
      <c r="C959" s="2" t="s">
        <v>22</v>
      </c>
      <c r="D959" s="2">
        <v>16</v>
      </c>
      <c r="E959" s="3">
        <v>61841</v>
      </c>
      <c r="F959" s="2" t="s">
        <v>17</v>
      </c>
      <c r="G959" s="2" t="s">
        <v>10</v>
      </c>
      <c r="H959" t="str">
        <f t="shared" si="14"/>
        <v>Review</v>
      </c>
    </row>
    <row r="960" spans="1:8">
      <c r="A960" s="2">
        <v>959</v>
      </c>
      <c r="B960" s="2" t="s">
        <v>15</v>
      </c>
      <c r="C960" s="2" t="s">
        <v>8</v>
      </c>
      <c r="D960" s="2">
        <v>45</v>
      </c>
      <c r="E960" s="3">
        <v>46920</v>
      </c>
      <c r="F960" s="2" t="s">
        <v>38</v>
      </c>
      <c r="G960" s="2" t="s">
        <v>18</v>
      </c>
      <c r="H960" t="str">
        <f t="shared" si="14"/>
        <v>Standard</v>
      </c>
    </row>
    <row r="961" spans="1:8">
      <c r="A961" s="2">
        <v>960</v>
      </c>
      <c r="B961" s="2" t="s">
        <v>73</v>
      </c>
      <c r="C961" s="2" t="s">
        <v>16</v>
      </c>
      <c r="D961" s="2">
        <v>5</v>
      </c>
      <c r="E961" s="3">
        <v>96669</v>
      </c>
      <c r="F961" s="2" t="s">
        <v>20</v>
      </c>
      <c r="G961" s="2" t="s">
        <v>18</v>
      </c>
      <c r="H961" t="str">
        <f t="shared" si="14"/>
        <v>Review</v>
      </c>
    </row>
    <row r="962" spans="1:8">
      <c r="A962" s="2">
        <v>961</v>
      </c>
      <c r="B962" s="2" t="s">
        <v>73</v>
      </c>
      <c r="C962" s="2" t="s">
        <v>16</v>
      </c>
      <c r="D962" s="2">
        <v>23</v>
      </c>
      <c r="E962" s="3">
        <v>77711</v>
      </c>
      <c r="F962" s="2" t="s">
        <v>28</v>
      </c>
      <c r="G962" s="2" t="s">
        <v>23</v>
      </c>
      <c r="H962" t="str">
        <f t="shared" si="14"/>
        <v>Review</v>
      </c>
    </row>
    <row r="963" spans="1:8">
      <c r="A963" s="2">
        <v>962</v>
      </c>
      <c r="B963" s="2" t="s">
        <v>51</v>
      </c>
      <c r="C963" s="2" t="s">
        <v>12</v>
      </c>
      <c r="D963" s="2">
        <v>17</v>
      </c>
      <c r="E963" s="3">
        <v>94633</v>
      </c>
      <c r="F963" s="2" t="s">
        <v>17</v>
      </c>
      <c r="G963" s="2" t="s">
        <v>10</v>
      </c>
      <c r="H963" t="str">
        <f t="shared" ref="H963:H1001" si="15">IF(AND(F963="Electric",E963&gt;45000),"Urgent",IF(OR(F963="Hybrid",E963&gt;60000),"Review","Standard"))</f>
        <v>Review</v>
      </c>
    </row>
    <row r="964" spans="1:8">
      <c r="A964" s="2">
        <v>963</v>
      </c>
      <c r="B964" s="2" t="s">
        <v>76</v>
      </c>
      <c r="C964" s="2" t="s">
        <v>8</v>
      </c>
      <c r="D964" s="2">
        <v>7</v>
      </c>
      <c r="E964" s="3">
        <v>75292</v>
      </c>
      <c r="F964" s="2" t="s">
        <v>17</v>
      </c>
      <c r="G964" s="2" t="s">
        <v>14</v>
      </c>
      <c r="H964" t="str">
        <f t="shared" si="15"/>
        <v>Review</v>
      </c>
    </row>
    <row r="965" spans="1:8">
      <c r="A965" s="2">
        <v>964</v>
      </c>
      <c r="B965" s="2" t="s">
        <v>33</v>
      </c>
      <c r="C965" s="2" t="s">
        <v>12</v>
      </c>
      <c r="D965" s="2">
        <v>47</v>
      </c>
      <c r="E965" s="3">
        <v>62193</v>
      </c>
      <c r="F965" s="2" t="s">
        <v>13</v>
      </c>
      <c r="G965" s="2" t="s">
        <v>14</v>
      </c>
      <c r="H965" t="str">
        <f t="shared" si="15"/>
        <v>Review</v>
      </c>
    </row>
    <row r="966" spans="1:8">
      <c r="A966" s="2">
        <v>965</v>
      </c>
      <c r="B966" s="2" t="s">
        <v>37</v>
      </c>
      <c r="C966" s="2" t="s">
        <v>12</v>
      </c>
      <c r="D966" s="2">
        <v>1</v>
      </c>
      <c r="E966" s="3">
        <v>54846</v>
      </c>
      <c r="F966" s="2" t="s">
        <v>20</v>
      </c>
      <c r="G966" s="2" t="s">
        <v>26</v>
      </c>
      <c r="H966" t="str">
        <f t="shared" si="15"/>
        <v>Standard</v>
      </c>
    </row>
    <row r="967" spans="1:8">
      <c r="A967" s="2">
        <v>966</v>
      </c>
      <c r="B967" s="2" t="s">
        <v>72</v>
      </c>
      <c r="C967" s="2" t="s">
        <v>16</v>
      </c>
      <c r="D967" s="2">
        <v>4</v>
      </c>
      <c r="E967" s="3">
        <v>33534</v>
      </c>
      <c r="F967" s="2" t="s">
        <v>13</v>
      </c>
      <c r="G967" s="2" t="s">
        <v>14</v>
      </c>
      <c r="H967" t="str">
        <f t="shared" si="15"/>
        <v>Standard</v>
      </c>
    </row>
    <row r="968" spans="1:8">
      <c r="A968" s="2">
        <v>967</v>
      </c>
      <c r="B968" s="2" t="s">
        <v>70</v>
      </c>
      <c r="C968" s="2" t="s">
        <v>8</v>
      </c>
      <c r="D968" s="2">
        <v>25</v>
      </c>
      <c r="E968" s="3">
        <v>80947</v>
      </c>
      <c r="F968" s="2" t="s">
        <v>20</v>
      </c>
      <c r="G968" s="2" t="s">
        <v>23</v>
      </c>
      <c r="H968" t="str">
        <f t="shared" si="15"/>
        <v>Review</v>
      </c>
    </row>
    <row r="969" spans="1:8">
      <c r="A969" s="2">
        <v>968</v>
      </c>
      <c r="B969" s="2" t="s">
        <v>30</v>
      </c>
      <c r="C969" s="2" t="s">
        <v>22</v>
      </c>
      <c r="D969" s="2">
        <v>29</v>
      </c>
      <c r="E969" s="3">
        <v>98003</v>
      </c>
      <c r="F969" s="2" t="s">
        <v>28</v>
      </c>
      <c r="G969" s="2" t="s">
        <v>29</v>
      </c>
      <c r="H969" t="str">
        <f t="shared" si="15"/>
        <v>Review</v>
      </c>
    </row>
    <row r="970" spans="1:8">
      <c r="A970" s="2">
        <v>969</v>
      </c>
      <c r="B970" s="2" t="s">
        <v>36</v>
      </c>
      <c r="C970" s="2" t="s">
        <v>12</v>
      </c>
      <c r="D970" s="2">
        <v>47</v>
      </c>
      <c r="E970" s="3">
        <v>97568</v>
      </c>
      <c r="F970" s="2" t="s">
        <v>9</v>
      </c>
      <c r="G970" s="2" t="s">
        <v>29</v>
      </c>
      <c r="H970" t="str">
        <f t="shared" si="15"/>
        <v>Review</v>
      </c>
    </row>
    <row r="971" spans="1:8">
      <c r="A971" s="2">
        <v>970</v>
      </c>
      <c r="B971" s="2" t="s">
        <v>39</v>
      </c>
      <c r="C971" s="2" t="s">
        <v>22</v>
      </c>
      <c r="D971" s="2">
        <v>27</v>
      </c>
      <c r="E971" s="3">
        <v>74882</v>
      </c>
      <c r="F971" s="2" t="s">
        <v>25</v>
      </c>
      <c r="G971" s="2" t="s">
        <v>14</v>
      </c>
      <c r="H971" t="str">
        <f t="shared" si="15"/>
        <v>Review</v>
      </c>
    </row>
    <row r="972" spans="1:8">
      <c r="A972" s="2">
        <v>971</v>
      </c>
      <c r="B972" s="2" t="s">
        <v>79</v>
      </c>
      <c r="C972" s="2" t="s">
        <v>8</v>
      </c>
      <c r="D972" s="2">
        <v>11</v>
      </c>
      <c r="E972" s="3">
        <v>29709</v>
      </c>
      <c r="F972" s="2" t="s">
        <v>20</v>
      </c>
      <c r="G972" s="2" t="s">
        <v>10</v>
      </c>
      <c r="H972" t="str">
        <f t="shared" si="15"/>
        <v>Standard</v>
      </c>
    </row>
    <row r="973" spans="1:8">
      <c r="A973" s="2">
        <v>972</v>
      </c>
      <c r="B973" s="2" t="s">
        <v>31</v>
      </c>
      <c r="C973" s="2" t="s">
        <v>12</v>
      </c>
      <c r="D973" s="2">
        <v>27</v>
      </c>
      <c r="E973" s="3">
        <v>42117</v>
      </c>
      <c r="F973" s="2" t="s">
        <v>28</v>
      </c>
      <c r="G973" s="2" t="s">
        <v>23</v>
      </c>
      <c r="H973" t="str">
        <f t="shared" si="15"/>
        <v>Standard</v>
      </c>
    </row>
    <row r="974" spans="1:8">
      <c r="A974" s="2">
        <v>973</v>
      </c>
      <c r="B974" s="2" t="s">
        <v>64</v>
      </c>
      <c r="C974" s="2" t="s">
        <v>22</v>
      </c>
      <c r="D974" s="2">
        <v>32</v>
      </c>
      <c r="E974" s="3">
        <v>93180</v>
      </c>
      <c r="F974" s="2" t="s">
        <v>17</v>
      </c>
      <c r="G974" s="2" t="s">
        <v>14</v>
      </c>
      <c r="H974" t="str">
        <f t="shared" si="15"/>
        <v>Review</v>
      </c>
    </row>
    <row r="975" spans="1:8">
      <c r="A975" s="2">
        <v>974</v>
      </c>
      <c r="B975" s="2" t="s">
        <v>60</v>
      </c>
      <c r="C975" s="2" t="s">
        <v>22</v>
      </c>
      <c r="D975" s="2">
        <v>25</v>
      </c>
      <c r="E975" s="3">
        <v>36197</v>
      </c>
      <c r="F975" s="2" t="s">
        <v>13</v>
      </c>
      <c r="G975" s="2" t="s">
        <v>14</v>
      </c>
      <c r="H975" t="str">
        <f t="shared" si="15"/>
        <v>Standard</v>
      </c>
    </row>
    <row r="976" spans="1:8">
      <c r="A976" s="2">
        <v>975</v>
      </c>
      <c r="B976" s="2" t="s">
        <v>88</v>
      </c>
      <c r="C976" s="2" t="s">
        <v>16</v>
      </c>
      <c r="D976" s="2">
        <v>23</v>
      </c>
      <c r="E976" s="3">
        <v>38286</v>
      </c>
      <c r="F976" s="2" t="s">
        <v>32</v>
      </c>
      <c r="G976" s="2" t="s">
        <v>29</v>
      </c>
      <c r="H976" t="str">
        <f t="shared" si="15"/>
        <v>Standard</v>
      </c>
    </row>
    <row r="977" spans="1:8">
      <c r="A977" s="2">
        <v>976</v>
      </c>
      <c r="B977" s="2" t="s">
        <v>51</v>
      </c>
      <c r="C977" s="2" t="s">
        <v>8</v>
      </c>
      <c r="D977" s="2">
        <v>35</v>
      </c>
      <c r="E977" s="3">
        <v>55747</v>
      </c>
      <c r="F977" s="2" t="s">
        <v>32</v>
      </c>
      <c r="G977" s="2" t="s">
        <v>26</v>
      </c>
      <c r="H977" t="str">
        <f t="shared" si="15"/>
        <v>Standard</v>
      </c>
    </row>
    <row r="978" spans="1:8">
      <c r="A978" s="2">
        <v>977</v>
      </c>
      <c r="B978" s="2" t="s">
        <v>91</v>
      </c>
      <c r="C978" s="2" t="s">
        <v>8</v>
      </c>
      <c r="D978" s="2">
        <v>25</v>
      </c>
      <c r="E978" s="3">
        <v>87534</v>
      </c>
      <c r="F978" s="2" t="s">
        <v>38</v>
      </c>
      <c r="G978" s="2" t="s">
        <v>10</v>
      </c>
      <c r="H978" t="str">
        <f t="shared" si="15"/>
        <v>Review</v>
      </c>
    </row>
    <row r="979" spans="1:8">
      <c r="A979" s="2">
        <v>978</v>
      </c>
      <c r="B979" s="2" t="s">
        <v>73</v>
      </c>
      <c r="C979" s="2" t="s">
        <v>8</v>
      </c>
      <c r="D979" s="2">
        <v>7</v>
      </c>
      <c r="E979" s="3">
        <v>69553</v>
      </c>
      <c r="F979" s="2" t="s">
        <v>20</v>
      </c>
      <c r="G979" s="2" t="s">
        <v>23</v>
      </c>
      <c r="H979" t="str">
        <f t="shared" si="15"/>
        <v>Review</v>
      </c>
    </row>
    <row r="980" spans="1:8">
      <c r="A980" s="2">
        <v>979</v>
      </c>
      <c r="B980" s="2" t="s">
        <v>86</v>
      </c>
      <c r="C980" s="2" t="s">
        <v>12</v>
      </c>
      <c r="D980" s="2">
        <v>31</v>
      </c>
      <c r="E980" s="3">
        <v>81839</v>
      </c>
      <c r="F980" s="2" t="s">
        <v>20</v>
      </c>
      <c r="G980" s="2" t="s">
        <v>23</v>
      </c>
      <c r="H980" t="str">
        <f t="shared" si="15"/>
        <v>Review</v>
      </c>
    </row>
    <row r="981" spans="1:8">
      <c r="A981" s="2">
        <v>980</v>
      </c>
      <c r="B981" s="2" t="s">
        <v>39</v>
      </c>
      <c r="C981" s="2" t="s">
        <v>16</v>
      </c>
      <c r="D981" s="2">
        <v>37</v>
      </c>
      <c r="E981" s="3">
        <v>44044</v>
      </c>
      <c r="F981" s="2" t="s">
        <v>9</v>
      </c>
      <c r="G981" s="2" t="s">
        <v>18</v>
      </c>
      <c r="H981" t="str">
        <f t="shared" si="15"/>
        <v>Standard</v>
      </c>
    </row>
    <row r="982" spans="1:8">
      <c r="A982" s="2">
        <v>981</v>
      </c>
      <c r="B982" s="2" t="s">
        <v>70</v>
      </c>
      <c r="C982" s="2" t="s">
        <v>12</v>
      </c>
      <c r="D982" s="2">
        <v>42</v>
      </c>
      <c r="E982" s="3">
        <v>87637</v>
      </c>
      <c r="F982" s="2" t="s">
        <v>28</v>
      </c>
      <c r="G982" s="2" t="s">
        <v>10</v>
      </c>
      <c r="H982" t="str">
        <f t="shared" si="15"/>
        <v>Review</v>
      </c>
    </row>
    <row r="983" spans="1:8">
      <c r="A983" s="2">
        <v>982</v>
      </c>
      <c r="B983" s="2" t="s">
        <v>41</v>
      </c>
      <c r="C983" s="2" t="s">
        <v>8</v>
      </c>
      <c r="D983" s="2">
        <v>49</v>
      </c>
      <c r="E983" s="3">
        <v>32869</v>
      </c>
      <c r="F983" s="2" t="s">
        <v>13</v>
      </c>
      <c r="G983" s="2" t="s">
        <v>29</v>
      </c>
      <c r="H983" t="str">
        <f t="shared" si="15"/>
        <v>Standard</v>
      </c>
    </row>
    <row r="984" spans="1:8">
      <c r="A984" s="2">
        <v>983</v>
      </c>
      <c r="B984" s="2" t="s">
        <v>73</v>
      </c>
      <c r="C984" s="2" t="s">
        <v>12</v>
      </c>
      <c r="D984" s="2">
        <v>44</v>
      </c>
      <c r="E984" s="3">
        <v>81338</v>
      </c>
      <c r="F984" s="2" t="s">
        <v>17</v>
      </c>
      <c r="G984" s="2" t="s">
        <v>26</v>
      </c>
      <c r="H984" t="str">
        <f t="shared" si="15"/>
        <v>Review</v>
      </c>
    </row>
    <row r="985" spans="1:8">
      <c r="A985" s="2">
        <v>984</v>
      </c>
      <c r="B985" s="2" t="s">
        <v>84</v>
      </c>
      <c r="C985" s="2" t="s">
        <v>22</v>
      </c>
      <c r="D985" s="2">
        <v>15</v>
      </c>
      <c r="E985" s="3">
        <v>29603</v>
      </c>
      <c r="F985" s="2" t="s">
        <v>28</v>
      </c>
      <c r="G985" s="2" t="s">
        <v>26</v>
      </c>
      <c r="H985" t="str">
        <f t="shared" si="15"/>
        <v>Standard</v>
      </c>
    </row>
    <row r="986" spans="1:8">
      <c r="A986" s="2">
        <v>985</v>
      </c>
      <c r="B986" s="2" t="s">
        <v>80</v>
      </c>
      <c r="C986" s="2" t="s">
        <v>12</v>
      </c>
      <c r="D986" s="2">
        <v>11</v>
      </c>
      <c r="E986" s="3">
        <v>33914</v>
      </c>
      <c r="F986" s="2" t="s">
        <v>17</v>
      </c>
      <c r="G986" s="2" t="s">
        <v>18</v>
      </c>
      <c r="H986" t="str">
        <f t="shared" si="15"/>
        <v>Standard</v>
      </c>
    </row>
    <row r="987" spans="1:8">
      <c r="A987" s="2">
        <v>986</v>
      </c>
      <c r="B987" s="2" t="s">
        <v>78</v>
      </c>
      <c r="C987" s="2" t="s">
        <v>12</v>
      </c>
      <c r="D987" s="2">
        <v>29</v>
      </c>
      <c r="E987" s="3">
        <v>74697</v>
      </c>
      <c r="F987" s="2" t="s">
        <v>25</v>
      </c>
      <c r="G987" s="2" t="s">
        <v>29</v>
      </c>
      <c r="H987" t="str">
        <f t="shared" si="15"/>
        <v>Review</v>
      </c>
    </row>
    <row r="988" spans="1:8">
      <c r="A988" s="2">
        <v>987</v>
      </c>
      <c r="B988" s="2" t="s">
        <v>30</v>
      </c>
      <c r="C988" s="2" t="s">
        <v>8</v>
      </c>
      <c r="D988" s="2">
        <v>5</v>
      </c>
      <c r="E988" s="3">
        <v>81285</v>
      </c>
      <c r="F988" s="2" t="s">
        <v>9</v>
      </c>
      <c r="G988" s="2" t="s">
        <v>14</v>
      </c>
      <c r="H988" t="str">
        <f t="shared" si="15"/>
        <v>Review</v>
      </c>
    </row>
    <row r="989" spans="1:8">
      <c r="A989" s="2">
        <v>988</v>
      </c>
      <c r="B989" s="2" t="s">
        <v>46</v>
      </c>
      <c r="C989" s="2" t="s">
        <v>22</v>
      </c>
      <c r="D989" s="2">
        <v>3</v>
      </c>
      <c r="E989" s="3">
        <v>52253</v>
      </c>
      <c r="F989" s="2" t="s">
        <v>9</v>
      </c>
      <c r="G989" s="2" t="s">
        <v>18</v>
      </c>
      <c r="H989" t="str">
        <f t="shared" si="15"/>
        <v>Standard</v>
      </c>
    </row>
    <row r="990" spans="1:8">
      <c r="A990" s="2">
        <v>989</v>
      </c>
      <c r="B990" s="2" t="s">
        <v>79</v>
      </c>
      <c r="C990" s="2" t="s">
        <v>8</v>
      </c>
      <c r="D990" s="2">
        <v>19</v>
      </c>
      <c r="E990" s="3">
        <v>54230</v>
      </c>
      <c r="F990" s="2" t="s">
        <v>9</v>
      </c>
      <c r="G990" s="2" t="s">
        <v>29</v>
      </c>
      <c r="H990" t="str">
        <f t="shared" si="15"/>
        <v>Standard</v>
      </c>
    </row>
    <row r="991" spans="1:8">
      <c r="A991" s="2">
        <v>990</v>
      </c>
      <c r="B991" s="2" t="s">
        <v>21</v>
      </c>
      <c r="C991" s="2" t="s">
        <v>22</v>
      </c>
      <c r="D991" s="2">
        <v>2</v>
      </c>
      <c r="E991" s="3">
        <v>70224</v>
      </c>
      <c r="F991" s="2" t="s">
        <v>25</v>
      </c>
      <c r="G991" s="2" t="s">
        <v>14</v>
      </c>
      <c r="H991" t="str">
        <f t="shared" si="15"/>
        <v>Review</v>
      </c>
    </row>
    <row r="992" spans="1:8">
      <c r="A992" s="2">
        <v>991</v>
      </c>
      <c r="B992" s="2" t="s">
        <v>63</v>
      </c>
      <c r="C992" s="2" t="s">
        <v>22</v>
      </c>
      <c r="D992" s="2">
        <v>21</v>
      </c>
      <c r="E992" s="3">
        <v>43663</v>
      </c>
      <c r="F992" s="2" t="s">
        <v>32</v>
      </c>
      <c r="G992" s="2" t="s">
        <v>29</v>
      </c>
      <c r="H992" t="str">
        <f t="shared" si="15"/>
        <v>Standard</v>
      </c>
    </row>
    <row r="993" spans="1:8">
      <c r="A993" s="2">
        <v>992</v>
      </c>
      <c r="B993" s="2" t="s">
        <v>81</v>
      </c>
      <c r="C993" s="2" t="s">
        <v>22</v>
      </c>
      <c r="D993" s="2">
        <v>17</v>
      </c>
      <c r="E993" s="3">
        <v>81538</v>
      </c>
      <c r="F993" s="2" t="s">
        <v>28</v>
      </c>
      <c r="G993" s="2" t="s">
        <v>26</v>
      </c>
      <c r="H993" t="str">
        <f t="shared" si="15"/>
        <v>Review</v>
      </c>
    </row>
    <row r="994" spans="1:8">
      <c r="A994" s="2">
        <v>993</v>
      </c>
      <c r="B994" s="2" t="s">
        <v>46</v>
      </c>
      <c r="C994" s="2" t="s">
        <v>8</v>
      </c>
      <c r="D994" s="2">
        <v>7</v>
      </c>
      <c r="E994" s="3">
        <v>91264</v>
      </c>
      <c r="F994" s="2" t="s">
        <v>32</v>
      </c>
      <c r="G994" s="2" t="s">
        <v>10</v>
      </c>
      <c r="H994" t="str">
        <f t="shared" si="15"/>
        <v>Review</v>
      </c>
    </row>
    <row r="995" spans="1:8">
      <c r="A995" s="2">
        <v>994</v>
      </c>
      <c r="B995" s="2" t="s">
        <v>60</v>
      </c>
      <c r="C995" s="2" t="s">
        <v>22</v>
      </c>
      <c r="D995" s="2">
        <v>5</v>
      </c>
      <c r="E995" s="3">
        <v>37810</v>
      </c>
      <c r="F995" s="2" t="s">
        <v>38</v>
      </c>
      <c r="G995" s="2" t="s">
        <v>29</v>
      </c>
      <c r="H995" t="str">
        <f t="shared" si="15"/>
        <v>Standard</v>
      </c>
    </row>
    <row r="996" spans="1:8">
      <c r="A996" s="2">
        <v>995</v>
      </c>
      <c r="B996" s="2" t="s">
        <v>62</v>
      </c>
      <c r="C996" s="2" t="s">
        <v>16</v>
      </c>
      <c r="D996" s="2">
        <v>22</v>
      </c>
      <c r="E996" s="3">
        <v>98131</v>
      </c>
      <c r="F996" s="2" t="s">
        <v>20</v>
      </c>
      <c r="G996" s="2" t="s">
        <v>10</v>
      </c>
      <c r="H996" t="str">
        <f t="shared" si="15"/>
        <v>Review</v>
      </c>
    </row>
    <row r="997" spans="1:8">
      <c r="A997" s="2">
        <v>996</v>
      </c>
      <c r="B997" s="2" t="s">
        <v>82</v>
      </c>
      <c r="C997" s="2" t="s">
        <v>16</v>
      </c>
      <c r="D997" s="2">
        <v>11</v>
      </c>
      <c r="E997" s="3">
        <v>89586</v>
      </c>
      <c r="F997" s="2" t="s">
        <v>38</v>
      </c>
      <c r="G997" s="2" t="s">
        <v>29</v>
      </c>
      <c r="H997" t="str">
        <f t="shared" si="15"/>
        <v>Review</v>
      </c>
    </row>
    <row r="998" spans="1:8">
      <c r="A998" s="2">
        <v>997</v>
      </c>
      <c r="B998" s="2" t="s">
        <v>69</v>
      </c>
      <c r="C998" s="2" t="s">
        <v>16</v>
      </c>
      <c r="D998" s="2">
        <v>25</v>
      </c>
      <c r="E998" s="3">
        <v>38270</v>
      </c>
      <c r="F998" s="2" t="s">
        <v>9</v>
      </c>
      <c r="G998" s="2" t="s">
        <v>14</v>
      </c>
      <c r="H998" t="str">
        <f t="shared" si="15"/>
        <v>Standard</v>
      </c>
    </row>
    <row r="999" spans="1:8">
      <c r="A999" s="2">
        <v>998</v>
      </c>
      <c r="B999" s="2" t="s">
        <v>57</v>
      </c>
      <c r="C999" s="2" t="s">
        <v>16</v>
      </c>
      <c r="D999" s="2">
        <v>11</v>
      </c>
      <c r="E999" s="3">
        <v>32927</v>
      </c>
      <c r="F999" s="2" t="s">
        <v>20</v>
      </c>
      <c r="G999" s="2" t="s">
        <v>10</v>
      </c>
      <c r="H999" t="str">
        <f t="shared" si="15"/>
        <v>Standard</v>
      </c>
    </row>
    <row r="1000" spans="1:8">
      <c r="A1000" s="2">
        <v>999</v>
      </c>
      <c r="B1000" s="2" t="s">
        <v>62</v>
      </c>
      <c r="C1000" s="2" t="s">
        <v>8</v>
      </c>
      <c r="D1000" s="2">
        <v>47</v>
      </c>
      <c r="E1000" s="3">
        <v>41625</v>
      </c>
      <c r="F1000" s="2" t="s">
        <v>32</v>
      </c>
      <c r="G1000" s="2" t="s">
        <v>23</v>
      </c>
      <c r="H1000" t="str">
        <f t="shared" si="15"/>
        <v>Standard</v>
      </c>
    </row>
    <row r="1001" spans="1:8">
      <c r="A1001" s="2">
        <v>1000</v>
      </c>
      <c r="B1001" s="2" t="s">
        <v>45</v>
      </c>
      <c r="C1001" s="2" t="s">
        <v>12</v>
      </c>
      <c r="D1001" s="2">
        <v>5</v>
      </c>
      <c r="E1001" s="3">
        <v>34442</v>
      </c>
      <c r="F1001" s="2" t="s">
        <v>13</v>
      </c>
      <c r="G1001" s="2" t="s">
        <v>10</v>
      </c>
      <c r="H1001" t="str">
        <f t="shared" si="15"/>
        <v>Standard</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C479-381A-4FAF-8807-8DF2F3C2A41A}">
  <sheetPr>
    <tabColor rgb="FF002060"/>
  </sheetPr>
  <dimension ref="A1:Z1001"/>
  <sheetViews>
    <sheetView workbookViewId="0">
      <selection activeCell="K14" sqref="K14"/>
    </sheetView>
  </sheetViews>
  <sheetFormatPr defaultRowHeight="15"/>
  <cols>
    <col min="2" max="2" width="21.140625" customWidth="1"/>
    <col min="3" max="3" width="12.42578125" customWidth="1"/>
    <col min="4" max="4" width="23.42578125" customWidth="1"/>
    <col min="5" max="5" width="15.42578125" customWidth="1"/>
    <col min="6" max="6" width="14.42578125" customWidth="1"/>
    <col min="7" max="7" width="12" customWidth="1"/>
    <col min="25" max="25" width="14.5703125" customWidth="1"/>
    <col min="26" max="26" width="16" customWidth="1"/>
  </cols>
  <sheetData>
    <row r="1" spans="1:26">
      <c r="A1" s="1" t="s">
        <v>0</v>
      </c>
      <c r="B1" s="1" t="s">
        <v>1</v>
      </c>
      <c r="C1" s="1" t="s">
        <v>2</v>
      </c>
      <c r="D1" s="1" t="s">
        <v>3</v>
      </c>
      <c r="E1" s="1" t="s">
        <v>4</v>
      </c>
      <c r="F1" s="1" t="s">
        <v>5</v>
      </c>
      <c r="G1" s="1" t="s">
        <v>6</v>
      </c>
      <c r="Y1" t="s">
        <v>97</v>
      </c>
      <c r="Z1" s="5">
        <v>0.05</v>
      </c>
    </row>
    <row r="2" spans="1:26">
      <c r="A2" s="2">
        <v>1</v>
      </c>
      <c r="B2" s="2" t="s">
        <v>7</v>
      </c>
      <c r="C2" s="2" t="s">
        <v>8</v>
      </c>
      <c r="D2" s="2">
        <v>30</v>
      </c>
      <c r="E2" s="3">
        <v>77024</v>
      </c>
      <c r="F2" s="2" t="s">
        <v>9</v>
      </c>
      <c r="G2" s="2" t="s">
        <v>10</v>
      </c>
      <c r="Y2">
        <f>IF(F2="Electric",E2*$Z$1,0)</f>
        <v>0</v>
      </c>
      <c r="Z2" s="5">
        <v>0.05</v>
      </c>
    </row>
    <row r="3" spans="1:26">
      <c r="A3" s="2">
        <v>2</v>
      </c>
      <c r="B3" s="2" t="s">
        <v>11</v>
      </c>
      <c r="C3" s="2" t="s">
        <v>12</v>
      </c>
      <c r="D3" s="2">
        <v>15</v>
      </c>
      <c r="E3" s="3">
        <v>37515</v>
      </c>
      <c r="F3" s="2" t="s">
        <v>13</v>
      </c>
      <c r="G3" s="2" t="s">
        <v>14</v>
      </c>
      <c r="Y3">
        <f t="shared" ref="Y3:Y66" si="0">IF(F3="Electric",E3*$Z$1,0)</f>
        <v>0</v>
      </c>
      <c r="Z3" s="5">
        <v>0.05</v>
      </c>
    </row>
    <row r="4" spans="1:26">
      <c r="A4" s="2">
        <v>3</v>
      </c>
      <c r="B4" s="2" t="s">
        <v>15</v>
      </c>
      <c r="C4" s="2" t="s">
        <v>16</v>
      </c>
      <c r="D4" s="2">
        <v>26</v>
      </c>
      <c r="E4" s="3">
        <v>93173</v>
      </c>
      <c r="F4" s="2" t="s">
        <v>17</v>
      </c>
      <c r="G4" s="2" t="s">
        <v>18</v>
      </c>
      <c r="Y4">
        <f t="shared" si="0"/>
        <v>0</v>
      </c>
      <c r="Z4" s="5">
        <v>0.05</v>
      </c>
    </row>
    <row r="5" spans="1:26">
      <c r="A5" s="2">
        <v>4</v>
      </c>
      <c r="B5" s="2" t="s">
        <v>19</v>
      </c>
      <c r="C5" s="2" t="s">
        <v>12</v>
      </c>
      <c r="D5" s="2">
        <v>41</v>
      </c>
      <c r="E5" s="3">
        <v>79996</v>
      </c>
      <c r="F5" s="2" t="s">
        <v>20</v>
      </c>
      <c r="G5" s="2" t="s">
        <v>18</v>
      </c>
      <c r="Y5">
        <f t="shared" si="0"/>
        <v>0</v>
      </c>
      <c r="Z5" s="5">
        <v>0.05</v>
      </c>
    </row>
    <row r="6" spans="1:26">
      <c r="A6" s="2">
        <v>5</v>
      </c>
      <c r="B6" s="2" t="s">
        <v>21</v>
      </c>
      <c r="C6" s="2" t="s">
        <v>22</v>
      </c>
      <c r="D6" s="2">
        <v>12</v>
      </c>
      <c r="E6" s="3">
        <v>31822</v>
      </c>
      <c r="F6" s="2" t="s">
        <v>13</v>
      </c>
      <c r="G6" s="2" t="s">
        <v>23</v>
      </c>
      <c r="Y6">
        <f t="shared" si="0"/>
        <v>0</v>
      </c>
      <c r="Z6" s="5">
        <v>0.05</v>
      </c>
    </row>
    <row r="7" spans="1:26">
      <c r="A7" s="2">
        <v>6</v>
      </c>
      <c r="B7" s="2" t="s">
        <v>24</v>
      </c>
      <c r="C7" s="2" t="s">
        <v>16</v>
      </c>
      <c r="D7" s="2">
        <v>12</v>
      </c>
      <c r="E7" s="3">
        <v>75831</v>
      </c>
      <c r="F7" s="2" t="s">
        <v>25</v>
      </c>
      <c r="G7" s="2" t="s">
        <v>26</v>
      </c>
      <c r="Y7">
        <f t="shared" si="0"/>
        <v>0</v>
      </c>
      <c r="Z7" s="5">
        <v>0.05</v>
      </c>
    </row>
    <row r="8" spans="1:26">
      <c r="A8" s="2">
        <v>7</v>
      </c>
      <c r="B8" s="2" t="s">
        <v>27</v>
      </c>
      <c r="C8" s="2" t="s">
        <v>12</v>
      </c>
      <c r="D8" s="2">
        <v>41</v>
      </c>
      <c r="E8" s="3">
        <v>96909</v>
      </c>
      <c r="F8" s="2" t="s">
        <v>28</v>
      </c>
      <c r="G8" s="2" t="s">
        <v>29</v>
      </c>
      <c r="Y8">
        <f t="shared" si="0"/>
        <v>0</v>
      </c>
      <c r="Z8" s="5">
        <v>0.05</v>
      </c>
    </row>
    <row r="9" spans="1:26">
      <c r="A9" s="2">
        <v>8</v>
      </c>
      <c r="B9" s="2" t="s">
        <v>30</v>
      </c>
      <c r="C9" s="2" t="s">
        <v>8</v>
      </c>
      <c r="D9" s="2">
        <v>43</v>
      </c>
      <c r="E9" s="3">
        <v>98569</v>
      </c>
      <c r="F9" s="2" t="s">
        <v>9</v>
      </c>
      <c r="G9" s="2" t="s">
        <v>14</v>
      </c>
      <c r="Y9">
        <f t="shared" si="0"/>
        <v>0</v>
      </c>
      <c r="Z9" s="5">
        <v>0.05</v>
      </c>
    </row>
    <row r="10" spans="1:26">
      <c r="A10" s="2">
        <v>9</v>
      </c>
      <c r="B10" s="2" t="s">
        <v>31</v>
      </c>
      <c r="C10" s="2" t="s">
        <v>22</v>
      </c>
      <c r="D10" s="2">
        <v>28</v>
      </c>
      <c r="E10" s="3">
        <v>78423</v>
      </c>
      <c r="F10" s="2" t="s">
        <v>32</v>
      </c>
      <c r="G10" s="2" t="s">
        <v>26</v>
      </c>
      <c r="Y10">
        <f t="shared" si="0"/>
        <v>0</v>
      </c>
      <c r="Z10" s="5">
        <v>0.05</v>
      </c>
    </row>
    <row r="11" spans="1:26">
      <c r="A11" s="2">
        <v>10</v>
      </c>
      <c r="B11" s="2" t="s">
        <v>33</v>
      </c>
      <c r="C11" s="2" t="s">
        <v>12</v>
      </c>
      <c r="D11" s="2">
        <v>26</v>
      </c>
      <c r="E11" s="3">
        <v>29769</v>
      </c>
      <c r="F11" s="2" t="s">
        <v>20</v>
      </c>
      <c r="G11" s="2" t="s">
        <v>29</v>
      </c>
      <c r="Y11">
        <f t="shared" si="0"/>
        <v>0</v>
      </c>
      <c r="Z11" s="5">
        <v>0.05</v>
      </c>
    </row>
    <row r="12" spans="1:26">
      <c r="A12" s="2">
        <v>11</v>
      </c>
      <c r="B12" s="2" t="s">
        <v>34</v>
      </c>
      <c r="C12" s="2" t="s">
        <v>22</v>
      </c>
      <c r="D12" s="2">
        <v>2</v>
      </c>
      <c r="E12" s="3">
        <v>59644</v>
      </c>
      <c r="F12" s="2" t="s">
        <v>28</v>
      </c>
      <c r="G12" s="2" t="s">
        <v>26</v>
      </c>
      <c r="Y12">
        <f t="shared" si="0"/>
        <v>0</v>
      </c>
      <c r="Z12" s="5">
        <v>0.05</v>
      </c>
    </row>
    <row r="13" spans="1:26">
      <c r="A13" s="2">
        <v>12</v>
      </c>
      <c r="B13" s="2" t="s">
        <v>35</v>
      </c>
      <c r="C13" s="2" t="s">
        <v>12</v>
      </c>
      <c r="D13" s="2">
        <v>48</v>
      </c>
      <c r="E13" s="3">
        <v>84311</v>
      </c>
      <c r="F13" s="2" t="s">
        <v>13</v>
      </c>
      <c r="G13" s="2" t="s">
        <v>18</v>
      </c>
      <c r="Y13">
        <f t="shared" si="0"/>
        <v>0</v>
      </c>
      <c r="Z13" s="5">
        <v>0.05</v>
      </c>
    </row>
    <row r="14" spans="1:26">
      <c r="A14" s="2">
        <v>13</v>
      </c>
      <c r="B14" s="2" t="s">
        <v>36</v>
      </c>
      <c r="C14" s="2" t="s">
        <v>8</v>
      </c>
      <c r="D14" s="2">
        <v>40</v>
      </c>
      <c r="E14" s="3">
        <v>65822</v>
      </c>
      <c r="F14" s="2" t="s">
        <v>28</v>
      </c>
      <c r="G14" s="2" t="s">
        <v>18</v>
      </c>
      <c r="Y14">
        <f t="shared" si="0"/>
        <v>0</v>
      </c>
      <c r="Z14" s="5">
        <v>0.05</v>
      </c>
    </row>
    <row r="15" spans="1:26">
      <c r="A15" s="2">
        <v>14</v>
      </c>
      <c r="B15" s="2" t="s">
        <v>7</v>
      </c>
      <c r="C15" s="2" t="s">
        <v>16</v>
      </c>
      <c r="D15" s="2">
        <v>13</v>
      </c>
      <c r="E15" s="3">
        <v>41907</v>
      </c>
      <c r="F15" s="2" t="s">
        <v>32</v>
      </c>
      <c r="G15" s="2" t="s">
        <v>14</v>
      </c>
      <c r="Y15">
        <f t="shared" si="0"/>
        <v>0</v>
      </c>
      <c r="Z15" s="5">
        <v>0.05</v>
      </c>
    </row>
    <row r="16" spans="1:26">
      <c r="A16" s="2">
        <v>15</v>
      </c>
      <c r="B16" s="2" t="s">
        <v>37</v>
      </c>
      <c r="C16" s="2" t="s">
        <v>12</v>
      </c>
      <c r="D16" s="2">
        <v>29</v>
      </c>
      <c r="E16" s="3">
        <v>32717</v>
      </c>
      <c r="F16" s="2" t="s">
        <v>38</v>
      </c>
      <c r="G16" s="2" t="s">
        <v>18</v>
      </c>
      <c r="Y16">
        <f t="shared" si="0"/>
        <v>0</v>
      </c>
      <c r="Z16" s="5">
        <v>0.05</v>
      </c>
    </row>
    <row r="17" spans="1:26">
      <c r="A17" s="2">
        <v>16</v>
      </c>
      <c r="B17" s="2" t="s">
        <v>21</v>
      </c>
      <c r="C17" s="2" t="s">
        <v>22</v>
      </c>
      <c r="D17" s="2">
        <v>38</v>
      </c>
      <c r="E17" s="3">
        <v>70228</v>
      </c>
      <c r="F17" s="2" t="s">
        <v>38</v>
      </c>
      <c r="G17" s="2" t="s">
        <v>18</v>
      </c>
      <c r="Y17">
        <f t="shared" si="0"/>
        <v>0</v>
      </c>
      <c r="Z17" s="5">
        <v>0.05</v>
      </c>
    </row>
    <row r="18" spans="1:26">
      <c r="A18" s="2">
        <v>17</v>
      </c>
      <c r="B18" s="2" t="s">
        <v>39</v>
      </c>
      <c r="C18" s="2" t="s">
        <v>8</v>
      </c>
      <c r="D18" s="2">
        <v>28</v>
      </c>
      <c r="E18" s="3">
        <v>63314</v>
      </c>
      <c r="F18" s="2" t="s">
        <v>20</v>
      </c>
      <c r="G18" s="2" t="s">
        <v>23</v>
      </c>
      <c r="Y18">
        <f t="shared" si="0"/>
        <v>0</v>
      </c>
      <c r="Z18" s="5">
        <v>0.05</v>
      </c>
    </row>
    <row r="19" spans="1:26">
      <c r="A19" s="2">
        <v>18</v>
      </c>
      <c r="B19" s="2" t="s">
        <v>40</v>
      </c>
      <c r="C19" s="2" t="s">
        <v>16</v>
      </c>
      <c r="D19" s="2">
        <v>25</v>
      </c>
      <c r="E19" s="3">
        <v>58509</v>
      </c>
      <c r="F19" s="2" t="s">
        <v>38</v>
      </c>
      <c r="G19" s="2" t="s">
        <v>23</v>
      </c>
      <c r="Y19">
        <f t="shared" si="0"/>
        <v>0</v>
      </c>
      <c r="Z19" s="5">
        <v>0.05</v>
      </c>
    </row>
    <row r="20" spans="1:26">
      <c r="A20" s="2">
        <v>19</v>
      </c>
      <c r="B20" s="2" t="s">
        <v>36</v>
      </c>
      <c r="C20" s="2" t="s">
        <v>22</v>
      </c>
      <c r="D20" s="2">
        <v>1</v>
      </c>
      <c r="E20" s="3">
        <v>46884</v>
      </c>
      <c r="F20" s="2" t="s">
        <v>13</v>
      </c>
      <c r="G20" s="2" t="s">
        <v>18</v>
      </c>
      <c r="Y20">
        <f t="shared" si="0"/>
        <v>0</v>
      </c>
      <c r="Z20" s="5">
        <v>0.05</v>
      </c>
    </row>
    <row r="21" spans="1:26">
      <c r="A21" s="2">
        <v>20</v>
      </c>
      <c r="B21" s="2" t="s">
        <v>30</v>
      </c>
      <c r="C21" s="2" t="s">
        <v>8</v>
      </c>
      <c r="D21" s="2">
        <v>46</v>
      </c>
      <c r="E21" s="3">
        <v>49657</v>
      </c>
      <c r="F21" s="2" t="s">
        <v>32</v>
      </c>
      <c r="G21" s="2" t="s">
        <v>14</v>
      </c>
      <c r="Y21">
        <f t="shared" si="0"/>
        <v>0</v>
      </c>
      <c r="Z21" s="5">
        <v>0.05</v>
      </c>
    </row>
    <row r="22" spans="1:26">
      <c r="A22" s="2">
        <v>21</v>
      </c>
      <c r="B22" s="2" t="s">
        <v>37</v>
      </c>
      <c r="C22" s="2" t="s">
        <v>22</v>
      </c>
      <c r="D22" s="2">
        <v>14</v>
      </c>
      <c r="E22" s="3">
        <v>78900</v>
      </c>
      <c r="F22" s="2" t="s">
        <v>17</v>
      </c>
      <c r="G22" s="2" t="s">
        <v>14</v>
      </c>
      <c r="Y22">
        <f t="shared" si="0"/>
        <v>0</v>
      </c>
      <c r="Z22" s="5">
        <v>0.05</v>
      </c>
    </row>
    <row r="23" spans="1:26">
      <c r="A23" s="2">
        <v>22</v>
      </c>
      <c r="B23" s="2" t="s">
        <v>39</v>
      </c>
      <c r="C23" s="2" t="s">
        <v>8</v>
      </c>
      <c r="D23" s="2">
        <v>14</v>
      </c>
      <c r="E23" s="3">
        <v>72159</v>
      </c>
      <c r="F23" s="2" t="s">
        <v>13</v>
      </c>
      <c r="G23" s="2" t="s">
        <v>26</v>
      </c>
      <c r="Y23">
        <f t="shared" si="0"/>
        <v>0</v>
      </c>
      <c r="Z23" s="5">
        <v>0.05</v>
      </c>
    </row>
    <row r="24" spans="1:26">
      <c r="A24" s="2">
        <v>23</v>
      </c>
      <c r="B24" s="2" t="s">
        <v>41</v>
      </c>
      <c r="C24" s="2" t="s">
        <v>16</v>
      </c>
      <c r="D24" s="2">
        <v>18</v>
      </c>
      <c r="E24" s="3">
        <v>55875</v>
      </c>
      <c r="F24" s="2" t="s">
        <v>17</v>
      </c>
      <c r="G24" s="2" t="s">
        <v>18</v>
      </c>
      <c r="Y24">
        <f t="shared" si="0"/>
        <v>0</v>
      </c>
      <c r="Z24" s="5">
        <v>0.05</v>
      </c>
    </row>
    <row r="25" spans="1:26">
      <c r="A25" s="2">
        <v>24</v>
      </c>
      <c r="B25" s="2" t="s">
        <v>42</v>
      </c>
      <c r="C25" s="2" t="s">
        <v>16</v>
      </c>
      <c r="D25" s="2">
        <v>49</v>
      </c>
      <c r="E25" s="3">
        <v>40668</v>
      </c>
      <c r="F25" s="2" t="s">
        <v>20</v>
      </c>
      <c r="G25" s="2" t="s">
        <v>18</v>
      </c>
      <c r="Y25">
        <f t="shared" si="0"/>
        <v>0</v>
      </c>
      <c r="Z25" s="5">
        <v>0.05</v>
      </c>
    </row>
    <row r="26" spans="1:26">
      <c r="A26" s="2">
        <v>25</v>
      </c>
      <c r="B26" s="2" t="s">
        <v>43</v>
      </c>
      <c r="C26" s="2" t="s">
        <v>22</v>
      </c>
      <c r="D26" s="2">
        <v>46</v>
      </c>
      <c r="E26" s="3">
        <v>29660</v>
      </c>
      <c r="F26" s="2" t="s">
        <v>25</v>
      </c>
      <c r="G26" s="2" t="s">
        <v>10</v>
      </c>
      <c r="Y26">
        <f t="shared" si="0"/>
        <v>0</v>
      </c>
      <c r="Z26" s="5">
        <v>0.05</v>
      </c>
    </row>
    <row r="27" spans="1:26">
      <c r="A27" s="2">
        <v>26</v>
      </c>
      <c r="B27" s="2" t="s">
        <v>40</v>
      </c>
      <c r="C27" s="2" t="s">
        <v>8</v>
      </c>
      <c r="D27" s="2">
        <v>5</v>
      </c>
      <c r="E27" s="3">
        <v>40017</v>
      </c>
      <c r="F27" s="2" t="s">
        <v>13</v>
      </c>
      <c r="G27" s="2" t="s">
        <v>26</v>
      </c>
      <c r="Y27">
        <f t="shared" si="0"/>
        <v>0</v>
      </c>
      <c r="Z27" s="5">
        <v>0.05</v>
      </c>
    </row>
    <row r="28" spans="1:26">
      <c r="A28" s="2">
        <v>27</v>
      </c>
      <c r="B28" s="2" t="s">
        <v>44</v>
      </c>
      <c r="C28" s="2" t="s">
        <v>12</v>
      </c>
      <c r="D28" s="2">
        <v>37</v>
      </c>
      <c r="E28" s="3">
        <v>67150</v>
      </c>
      <c r="F28" s="2" t="s">
        <v>28</v>
      </c>
      <c r="G28" s="2" t="s">
        <v>23</v>
      </c>
      <c r="Y28">
        <f t="shared" si="0"/>
        <v>0</v>
      </c>
      <c r="Z28" s="5">
        <v>0.05</v>
      </c>
    </row>
    <row r="29" spans="1:26">
      <c r="A29" s="2">
        <v>28</v>
      </c>
      <c r="B29" s="2" t="s">
        <v>45</v>
      </c>
      <c r="C29" s="2" t="s">
        <v>16</v>
      </c>
      <c r="D29" s="2">
        <v>7</v>
      </c>
      <c r="E29" s="3">
        <v>60180</v>
      </c>
      <c r="F29" s="2" t="s">
        <v>28</v>
      </c>
      <c r="G29" s="2" t="s">
        <v>23</v>
      </c>
      <c r="Y29">
        <f t="shared" si="0"/>
        <v>0</v>
      </c>
      <c r="Z29" s="5">
        <v>0.05</v>
      </c>
    </row>
    <row r="30" spans="1:26">
      <c r="A30" s="2">
        <v>29</v>
      </c>
      <c r="B30" s="2" t="s">
        <v>46</v>
      </c>
      <c r="C30" s="2" t="s">
        <v>12</v>
      </c>
      <c r="D30" s="2">
        <v>35</v>
      </c>
      <c r="E30" s="3">
        <v>96396</v>
      </c>
      <c r="F30" s="2" t="s">
        <v>13</v>
      </c>
      <c r="G30" s="2" t="s">
        <v>14</v>
      </c>
      <c r="Y30">
        <f t="shared" si="0"/>
        <v>0</v>
      </c>
      <c r="Z30" s="5">
        <v>0.05</v>
      </c>
    </row>
    <row r="31" spans="1:26">
      <c r="A31" s="2">
        <v>30</v>
      </c>
      <c r="B31" s="2" t="s">
        <v>47</v>
      </c>
      <c r="C31" s="2" t="s">
        <v>12</v>
      </c>
      <c r="D31" s="2">
        <v>12</v>
      </c>
      <c r="E31" s="3">
        <v>96639</v>
      </c>
      <c r="F31" s="2" t="s">
        <v>17</v>
      </c>
      <c r="G31" s="2" t="s">
        <v>29</v>
      </c>
      <c r="Y31">
        <f t="shared" si="0"/>
        <v>0</v>
      </c>
      <c r="Z31" s="5">
        <v>0.05</v>
      </c>
    </row>
    <row r="32" spans="1:26">
      <c r="A32" s="2">
        <v>31</v>
      </c>
      <c r="B32" s="2" t="s">
        <v>48</v>
      </c>
      <c r="C32" s="2" t="s">
        <v>22</v>
      </c>
      <c r="D32" s="2">
        <v>24</v>
      </c>
      <c r="E32" s="3">
        <v>67390</v>
      </c>
      <c r="F32" s="2" t="s">
        <v>28</v>
      </c>
      <c r="G32" s="2" t="s">
        <v>29</v>
      </c>
      <c r="Y32">
        <f t="shared" si="0"/>
        <v>0</v>
      </c>
      <c r="Z32" s="5">
        <v>0.05</v>
      </c>
    </row>
    <row r="33" spans="1:26">
      <c r="A33" s="2">
        <v>32</v>
      </c>
      <c r="B33" s="2" t="s">
        <v>49</v>
      </c>
      <c r="C33" s="2" t="s">
        <v>22</v>
      </c>
      <c r="D33" s="2">
        <v>21</v>
      </c>
      <c r="E33" s="3">
        <v>34904</v>
      </c>
      <c r="F33" s="2" t="s">
        <v>13</v>
      </c>
      <c r="G33" s="2" t="s">
        <v>18</v>
      </c>
      <c r="Y33">
        <f t="shared" si="0"/>
        <v>0</v>
      </c>
      <c r="Z33" s="5">
        <v>0.05</v>
      </c>
    </row>
    <row r="34" spans="1:26">
      <c r="A34" s="2">
        <v>33</v>
      </c>
      <c r="B34" s="2" t="s">
        <v>50</v>
      </c>
      <c r="C34" s="2" t="s">
        <v>22</v>
      </c>
      <c r="D34" s="2">
        <v>13</v>
      </c>
      <c r="E34" s="3">
        <v>96628</v>
      </c>
      <c r="F34" s="2" t="s">
        <v>32</v>
      </c>
      <c r="G34" s="2" t="s">
        <v>18</v>
      </c>
      <c r="Y34">
        <f t="shared" si="0"/>
        <v>0</v>
      </c>
      <c r="Z34" s="5">
        <v>0.05</v>
      </c>
    </row>
    <row r="35" spans="1:26">
      <c r="A35" s="2">
        <v>34</v>
      </c>
      <c r="B35" s="2" t="s">
        <v>42</v>
      </c>
      <c r="C35" s="2" t="s">
        <v>8</v>
      </c>
      <c r="D35" s="2">
        <v>30</v>
      </c>
      <c r="E35" s="3">
        <v>75254</v>
      </c>
      <c r="F35" s="2" t="s">
        <v>13</v>
      </c>
      <c r="G35" s="2" t="s">
        <v>26</v>
      </c>
      <c r="Y35">
        <f t="shared" si="0"/>
        <v>0</v>
      </c>
      <c r="Z35" s="5">
        <v>0.05</v>
      </c>
    </row>
    <row r="36" spans="1:26">
      <c r="A36" s="2">
        <v>35</v>
      </c>
      <c r="B36" s="2" t="s">
        <v>48</v>
      </c>
      <c r="C36" s="2" t="s">
        <v>16</v>
      </c>
      <c r="D36" s="2">
        <v>8</v>
      </c>
      <c r="E36" s="3">
        <v>80934</v>
      </c>
      <c r="F36" s="2" t="s">
        <v>9</v>
      </c>
      <c r="G36" s="2" t="s">
        <v>10</v>
      </c>
      <c r="Y36">
        <f t="shared" si="0"/>
        <v>0</v>
      </c>
      <c r="Z36" s="5">
        <v>0.05</v>
      </c>
    </row>
    <row r="37" spans="1:26">
      <c r="A37" s="2">
        <v>36</v>
      </c>
      <c r="B37" s="2" t="s">
        <v>27</v>
      </c>
      <c r="C37" s="2" t="s">
        <v>16</v>
      </c>
      <c r="D37" s="2">
        <v>17</v>
      </c>
      <c r="E37" s="3">
        <v>65565</v>
      </c>
      <c r="F37" s="2" t="s">
        <v>25</v>
      </c>
      <c r="G37" s="2" t="s">
        <v>10</v>
      </c>
      <c r="Y37">
        <f t="shared" si="0"/>
        <v>0</v>
      </c>
      <c r="Z37" s="5">
        <v>0.05</v>
      </c>
    </row>
    <row r="38" spans="1:26">
      <c r="A38" s="2">
        <v>37</v>
      </c>
      <c r="B38" s="2" t="s">
        <v>31</v>
      </c>
      <c r="C38" s="2" t="s">
        <v>12</v>
      </c>
      <c r="D38" s="2">
        <v>43</v>
      </c>
      <c r="E38" s="3">
        <v>84273</v>
      </c>
      <c r="F38" s="2" t="s">
        <v>17</v>
      </c>
      <c r="G38" s="2" t="s">
        <v>14</v>
      </c>
      <c r="Y38">
        <f t="shared" si="0"/>
        <v>0</v>
      </c>
      <c r="Z38" s="5">
        <v>0.05</v>
      </c>
    </row>
    <row r="39" spans="1:26">
      <c r="A39" s="2">
        <v>38</v>
      </c>
      <c r="B39" s="2" t="s">
        <v>34</v>
      </c>
      <c r="C39" s="2" t="s">
        <v>22</v>
      </c>
      <c r="D39" s="2">
        <v>32</v>
      </c>
      <c r="E39" s="3">
        <v>37016</v>
      </c>
      <c r="F39" s="2" t="s">
        <v>9</v>
      </c>
      <c r="G39" s="2" t="s">
        <v>26</v>
      </c>
      <c r="Y39">
        <f t="shared" si="0"/>
        <v>0</v>
      </c>
      <c r="Z39" s="5">
        <v>0.05</v>
      </c>
    </row>
    <row r="40" spans="1:26">
      <c r="A40" s="2">
        <v>39</v>
      </c>
      <c r="B40" s="2" t="s">
        <v>51</v>
      </c>
      <c r="C40" s="2" t="s">
        <v>8</v>
      </c>
      <c r="D40" s="2">
        <v>34</v>
      </c>
      <c r="E40" s="3">
        <v>54005</v>
      </c>
      <c r="F40" s="2" t="s">
        <v>28</v>
      </c>
      <c r="G40" s="2" t="s">
        <v>29</v>
      </c>
      <c r="Y40">
        <f t="shared" si="0"/>
        <v>0</v>
      </c>
      <c r="Z40" s="5">
        <v>0.05</v>
      </c>
    </row>
    <row r="41" spans="1:26">
      <c r="A41" s="2">
        <v>40</v>
      </c>
      <c r="B41" s="2" t="s">
        <v>52</v>
      </c>
      <c r="C41" s="2" t="s">
        <v>16</v>
      </c>
      <c r="D41" s="2">
        <v>41</v>
      </c>
      <c r="E41" s="3">
        <v>86030</v>
      </c>
      <c r="F41" s="2" t="s">
        <v>28</v>
      </c>
      <c r="G41" s="2" t="s">
        <v>10</v>
      </c>
      <c r="Y41">
        <f t="shared" si="0"/>
        <v>0</v>
      </c>
      <c r="Z41" s="5">
        <v>0.05</v>
      </c>
    </row>
    <row r="42" spans="1:26">
      <c r="A42" s="2">
        <v>41</v>
      </c>
      <c r="B42" s="2" t="s">
        <v>53</v>
      </c>
      <c r="C42" s="2" t="s">
        <v>8</v>
      </c>
      <c r="D42" s="2">
        <v>21</v>
      </c>
      <c r="E42" s="3">
        <v>93030</v>
      </c>
      <c r="F42" s="2" t="s">
        <v>17</v>
      </c>
      <c r="G42" s="2" t="s">
        <v>29</v>
      </c>
      <c r="Y42">
        <f t="shared" si="0"/>
        <v>0</v>
      </c>
      <c r="Z42" s="5">
        <v>0.05</v>
      </c>
    </row>
    <row r="43" spans="1:26">
      <c r="A43" s="2">
        <v>42</v>
      </c>
      <c r="B43" s="2" t="s">
        <v>54</v>
      </c>
      <c r="C43" s="2" t="s">
        <v>22</v>
      </c>
      <c r="D43" s="2">
        <v>39</v>
      </c>
      <c r="E43" s="3">
        <v>52788</v>
      </c>
      <c r="F43" s="2" t="s">
        <v>13</v>
      </c>
      <c r="G43" s="2" t="s">
        <v>26</v>
      </c>
      <c r="Y43">
        <f t="shared" si="0"/>
        <v>0</v>
      </c>
      <c r="Z43" s="5">
        <v>0.05</v>
      </c>
    </row>
    <row r="44" spans="1:26">
      <c r="A44" s="2">
        <v>43</v>
      </c>
      <c r="B44" s="2" t="s">
        <v>55</v>
      </c>
      <c r="C44" s="2" t="s">
        <v>22</v>
      </c>
      <c r="D44" s="2">
        <v>25</v>
      </c>
      <c r="E44" s="3">
        <v>81201</v>
      </c>
      <c r="F44" s="2" t="s">
        <v>25</v>
      </c>
      <c r="G44" s="2" t="s">
        <v>10</v>
      </c>
      <c r="Y44">
        <f t="shared" si="0"/>
        <v>0</v>
      </c>
      <c r="Z44" s="5">
        <v>0.05</v>
      </c>
    </row>
    <row r="45" spans="1:26">
      <c r="A45" s="2">
        <v>44</v>
      </c>
      <c r="B45" s="2" t="s">
        <v>45</v>
      </c>
      <c r="C45" s="2" t="s">
        <v>16</v>
      </c>
      <c r="D45" s="2">
        <v>40</v>
      </c>
      <c r="E45" s="3">
        <v>83974</v>
      </c>
      <c r="F45" s="2" t="s">
        <v>20</v>
      </c>
      <c r="G45" s="2" t="s">
        <v>23</v>
      </c>
      <c r="Y45">
        <f t="shared" si="0"/>
        <v>0</v>
      </c>
      <c r="Z45" s="5">
        <v>0.05</v>
      </c>
    </row>
    <row r="46" spans="1:26">
      <c r="A46" s="2">
        <v>45</v>
      </c>
      <c r="B46" s="2" t="s">
        <v>56</v>
      </c>
      <c r="C46" s="2" t="s">
        <v>12</v>
      </c>
      <c r="D46" s="2">
        <v>26</v>
      </c>
      <c r="E46" s="3">
        <v>67158</v>
      </c>
      <c r="F46" s="2" t="s">
        <v>32</v>
      </c>
      <c r="G46" s="2" t="s">
        <v>18</v>
      </c>
      <c r="Y46">
        <f t="shared" si="0"/>
        <v>0</v>
      </c>
      <c r="Z46" s="5">
        <v>0.05</v>
      </c>
    </row>
    <row r="47" spans="1:26">
      <c r="A47" s="2">
        <v>46</v>
      </c>
      <c r="B47" s="2" t="s">
        <v>57</v>
      </c>
      <c r="C47" s="2" t="s">
        <v>12</v>
      </c>
      <c r="D47" s="2">
        <v>38</v>
      </c>
      <c r="E47" s="3">
        <v>28192</v>
      </c>
      <c r="F47" s="2" t="s">
        <v>9</v>
      </c>
      <c r="G47" s="2" t="s">
        <v>10</v>
      </c>
      <c r="Y47">
        <f t="shared" si="0"/>
        <v>0</v>
      </c>
      <c r="Z47" s="5">
        <v>0.05</v>
      </c>
    </row>
    <row r="48" spans="1:26">
      <c r="A48" s="2">
        <v>47</v>
      </c>
      <c r="B48" s="2" t="s">
        <v>58</v>
      </c>
      <c r="C48" s="2" t="s">
        <v>22</v>
      </c>
      <c r="D48" s="2">
        <v>8</v>
      </c>
      <c r="E48" s="3">
        <v>38766</v>
      </c>
      <c r="F48" s="2" t="s">
        <v>25</v>
      </c>
      <c r="G48" s="2" t="s">
        <v>10</v>
      </c>
      <c r="Y48">
        <f t="shared" si="0"/>
        <v>0</v>
      </c>
      <c r="Z48" s="5">
        <v>0.05</v>
      </c>
    </row>
    <row r="49" spans="1:26">
      <c r="A49" s="2">
        <v>48</v>
      </c>
      <c r="B49" s="2" t="s">
        <v>59</v>
      </c>
      <c r="C49" s="2" t="s">
        <v>22</v>
      </c>
      <c r="D49" s="2">
        <v>23</v>
      </c>
      <c r="E49" s="3">
        <v>93042</v>
      </c>
      <c r="F49" s="2" t="s">
        <v>20</v>
      </c>
      <c r="G49" s="2" t="s">
        <v>26</v>
      </c>
      <c r="Y49">
        <f t="shared" si="0"/>
        <v>0</v>
      </c>
      <c r="Z49" s="5">
        <v>0.05</v>
      </c>
    </row>
    <row r="50" spans="1:26">
      <c r="A50" s="2">
        <v>49</v>
      </c>
      <c r="B50" s="2" t="s">
        <v>60</v>
      </c>
      <c r="C50" s="2" t="s">
        <v>12</v>
      </c>
      <c r="D50" s="2">
        <v>23</v>
      </c>
      <c r="E50" s="3">
        <v>37039</v>
      </c>
      <c r="F50" s="2" t="s">
        <v>32</v>
      </c>
      <c r="G50" s="2" t="s">
        <v>14</v>
      </c>
      <c r="Y50">
        <f t="shared" si="0"/>
        <v>0</v>
      </c>
      <c r="Z50" s="5">
        <v>0.05</v>
      </c>
    </row>
    <row r="51" spans="1:26">
      <c r="A51" s="2">
        <v>50</v>
      </c>
      <c r="B51" s="2" t="s">
        <v>61</v>
      </c>
      <c r="C51" s="2" t="s">
        <v>22</v>
      </c>
      <c r="D51" s="2">
        <v>30</v>
      </c>
      <c r="E51" s="3">
        <v>75522</v>
      </c>
      <c r="F51" s="2" t="s">
        <v>13</v>
      </c>
      <c r="G51" s="2" t="s">
        <v>23</v>
      </c>
      <c r="Y51">
        <f t="shared" si="0"/>
        <v>0</v>
      </c>
      <c r="Z51" s="5">
        <v>0.05</v>
      </c>
    </row>
    <row r="52" spans="1:26">
      <c r="A52" s="2">
        <v>51</v>
      </c>
      <c r="B52" s="2" t="s">
        <v>62</v>
      </c>
      <c r="C52" s="2" t="s">
        <v>16</v>
      </c>
      <c r="D52" s="2">
        <v>40</v>
      </c>
      <c r="E52" s="3">
        <v>63907</v>
      </c>
      <c r="F52" s="2" t="s">
        <v>17</v>
      </c>
      <c r="G52" s="2" t="s">
        <v>18</v>
      </c>
      <c r="Y52">
        <f t="shared" si="0"/>
        <v>0</v>
      </c>
      <c r="Z52" s="5">
        <v>0.05</v>
      </c>
    </row>
    <row r="53" spans="1:26">
      <c r="A53" s="2">
        <v>52</v>
      </c>
      <c r="B53" s="2" t="s">
        <v>63</v>
      </c>
      <c r="C53" s="2" t="s">
        <v>16</v>
      </c>
      <c r="D53" s="2">
        <v>12</v>
      </c>
      <c r="E53" s="3">
        <v>30965</v>
      </c>
      <c r="F53" s="2" t="s">
        <v>38</v>
      </c>
      <c r="G53" s="2" t="s">
        <v>23</v>
      </c>
      <c r="Y53">
        <f t="shared" si="0"/>
        <v>0</v>
      </c>
      <c r="Z53" s="5">
        <v>0.05</v>
      </c>
    </row>
    <row r="54" spans="1:26">
      <c r="A54" s="2">
        <v>53</v>
      </c>
      <c r="B54" s="2" t="s">
        <v>53</v>
      </c>
      <c r="C54" s="2" t="s">
        <v>8</v>
      </c>
      <c r="D54" s="2">
        <v>44</v>
      </c>
      <c r="E54" s="3">
        <v>87144</v>
      </c>
      <c r="F54" s="2" t="s">
        <v>25</v>
      </c>
      <c r="G54" s="2" t="s">
        <v>26</v>
      </c>
      <c r="Y54">
        <f t="shared" si="0"/>
        <v>0</v>
      </c>
      <c r="Z54" s="5">
        <v>0.05</v>
      </c>
    </row>
    <row r="55" spans="1:26">
      <c r="A55" s="2">
        <v>54</v>
      </c>
      <c r="B55" s="2" t="s">
        <v>54</v>
      </c>
      <c r="C55" s="2" t="s">
        <v>12</v>
      </c>
      <c r="D55" s="2">
        <v>46</v>
      </c>
      <c r="E55" s="3">
        <v>65150</v>
      </c>
      <c r="F55" s="2" t="s">
        <v>13</v>
      </c>
      <c r="G55" s="2" t="s">
        <v>26</v>
      </c>
      <c r="Y55">
        <f t="shared" si="0"/>
        <v>0</v>
      </c>
      <c r="Z55" s="5">
        <v>0.05</v>
      </c>
    </row>
    <row r="56" spans="1:26">
      <c r="A56" s="2">
        <v>55</v>
      </c>
      <c r="B56" s="2" t="s">
        <v>64</v>
      </c>
      <c r="C56" s="2" t="s">
        <v>22</v>
      </c>
      <c r="D56" s="2">
        <v>20</v>
      </c>
      <c r="E56" s="3">
        <v>60773</v>
      </c>
      <c r="F56" s="2" t="s">
        <v>38</v>
      </c>
      <c r="G56" s="2" t="s">
        <v>18</v>
      </c>
      <c r="Y56">
        <f t="shared" si="0"/>
        <v>0</v>
      </c>
      <c r="Z56" s="5">
        <v>0.05</v>
      </c>
    </row>
    <row r="57" spans="1:26">
      <c r="A57" s="2">
        <v>56</v>
      </c>
      <c r="B57" s="2" t="s">
        <v>65</v>
      </c>
      <c r="C57" s="2" t="s">
        <v>8</v>
      </c>
      <c r="D57" s="2">
        <v>40</v>
      </c>
      <c r="E57" s="3">
        <v>83223</v>
      </c>
      <c r="F57" s="2" t="s">
        <v>20</v>
      </c>
      <c r="G57" s="2" t="s">
        <v>23</v>
      </c>
      <c r="Y57">
        <f t="shared" si="0"/>
        <v>0</v>
      </c>
      <c r="Z57" s="5">
        <v>0.05</v>
      </c>
    </row>
    <row r="58" spans="1:26">
      <c r="A58" s="2">
        <v>57</v>
      </c>
      <c r="B58" s="2" t="s">
        <v>35</v>
      </c>
      <c r="C58" s="2" t="s">
        <v>16</v>
      </c>
      <c r="D58" s="2">
        <v>38</v>
      </c>
      <c r="E58" s="3">
        <v>90033</v>
      </c>
      <c r="F58" s="2" t="s">
        <v>25</v>
      </c>
      <c r="G58" s="2" t="s">
        <v>23</v>
      </c>
      <c r="Y58">
        <f t="shared" si="0"/>
        <v>0</v>
      </c>
      <c r="Z58" s="5">
        <v>0.05</v>
      </c>
    </row>
    <row r="59" spans="1:26">
      <c r="A59" s="2">
        <v>58</v>
      </c>
      <c r="B59" s="2" t="s">
        <v>64</v>
      </c>
      <c r="C59" s="2" t="s">
        <v>12</v>
      </c>
      <c r="D59" s="2">
        <v>6</v>
      </c>
      <c r="E59" s="3">
        <v>29674</v>
      </c>
      <c r="F59" s="2" t="s">
        <v>9</v>
      </c>
      <c r="G59" s="2" t="s">
        <v>14</v>
      </c>
      <c r="Y59">
        <f t="shared" si="0"/>
        <v>0</v>
      </c>
      <c r="Z59" s="5">
        <v>0.05</v>
      </c>
    </row>
    <row r="60" spans="1:26">
      <c r="A60" s="2">
        <v>59</v>
      </c>
      <c r="B60" s="2" t="s">
        <v>49</v>
      </c>
      <c r="C60" s="2" t="s">
        <v>16</v>
      </c>
      <c r="D60" s="2">
        <v>44</v>
      </c>
      <c r="E60" s="3">
        <v>63119</v>
      </c>
      <c r="F60" s="2" t="s">
        <v>13</v>
      </c>
      <c r="G60" s="2" t="s">
        <v>29</v>
      </c>
      <c r="Y60">
        <f t="shared" si="0"/>
        <v>0</v>
      </c>
      <c r="Z60" s="5">
        <v>0.05</v>
      </c>
    </row>
    <row r="61" spans="1:26">
      <c r="A61" s="2">
        <v>60</v>
      </c>
      <c r="B61" s="2" t="s">
        <v>27</v>
      </c>
      <c r="C61" s="2" t="s">
        <v>22</v>
      </c>
      <c r="D61" s="2">
        <v>9</v>
      </c>
      <c r="E61" s="3">
        <v>46509</v>
      </c>
      <c r="F61" s="2" t="s">
        <v>20</v>
      </c>
      <c r="G61" s="2" t="s">
        <v>23</v>
      </c>
      <c r="Y61">
        <f t="shared" si="0"/>
        <v>0</v>
      </c>
      <c r="Z61" s="5">
        <v>0.05</v>
      </c>
    </row>
    <row r="62" spans="1:26">
      <c r="A62" s="2">
        <v>61</v>
      </c>
      <c r="B62" s="2" t="s">
        <v>66</v>
      </c>
      <c r="C62" s="2" t="s">
        <v>8</v>
      </c>
      <c r="D62" s="2">
        <v>21</v>
      </c>
      <c r="E62" s="3">
        <v>37152</v>
      </c>
      <c r="F62" s="2" t="s">
        <v>20</v>
      </c>
      <c r="G62" s="2" t="s">
        <v>26</v>
      </c>
      <c r="Y62">
        <f t="shared" si="0"/>
        <v>0</v>
      </c>
      <c r="Z62" s="5">
        <v>0.05</v>
      </c>
    </row>
    <row r="63" spans="1:26">
      <c r="A63" s="2">
        <v>62</v>
      </c>
      <c r="B63" s="2" t="s">
        <v>51</v>
      </c>
      <c r="C63" s="2" t="s">
        <v>22</v>
      </c>
      <c r="D63" s="2">
        <v>8</v>
      </c>
      <c r="E63" s="3">
        <v>93097</v>
      </c>
      <c r="F63" s="2" t="s">
        <v>28</v>
      </c>
      <c r="G63" s="2" t="s">
        <v>18</v>
      </c>
      <c r="Y63">
        <f t="shared" si="0"/>
        <v>0</v>
      </c>
      <c r="Z63" s="5">
        <v>0.05</v>
      </c>
    </row>
    <row r="64" spans="1:26">
      <c r="A64" s="2">
        <v>63</v>
      </c>
      <c r="B64" s="2" t="s">
        <v>47</v>
      </c>
      <c r="C64" s="2" t="s">
        <v>22</v>
      </c>
      <c r="D64" s="2">
        <v>16</v>
      </c>
      <c r="E64" s="3">
        <v>55208</v>
      </c>
      <c r="F64" s="2" t="s">
        <v>32</v>
      </c>
      <c r="G64" s="2" t="s">
        <v>18</v>
      </c>
      <c r="Y64">
        <f t="shared" si="0"/>
        <v>0</v>
      </c>
      <c r="Z64" s="5">
        <v>0.05</v>
      </c>
    </row>
    <row r="65" spans="1:26">
      <c r="A65" s="2">
        <v>64</v>
      </c>
      <c r="B65" s="2" t="s">
        <v>55</v>
      </c>
      <c r="C65" s="2" t="s">
        <v>12</v>
      </c>
      <c r="D65" s="2">
        <v>20</v>
      </c>
      <c r="E65" s="3">
        <v>70627</v>
      </c>
      <c r="F65" s="2" t="s">
        <v>17</v>
      </c>
      <c r="G65" s="2" t="s">
        <v>14</v>
      </c>
      <c r="Y65">
        <f t="shared" si="0"/>
        <v>0</v>
      </c>
      <c r="Z65" s="5">
        <v>0.05</v>
      </c>
    </row>
    <row r="66" spans="1:26">
      <c r="A66" s="2">
        <v>65</v>
      </c>
      <c r="B66" s="2" t="s">
        <v>43</v>
      </c>
      <c r="C66" s="2" t="s">
        <v>12</v>
      </c>
      <c r="D66" s="2">
        <v>8</v>
      </c>
      <c r="E66" s="3">
        <v>64098</v>
      </c>
      <c r="F66" s="2" t="s">
        <v>20</v>
      </c>
      <c r="G66" s="2" t="s">
        <v>29</v>
      </c>
      <c r="Y66">
        <f t="shared" si="0"/>
        <v>0</v>
      </c>
      <c r="Z66" s="5">
        <v>0.05</v>
      </c>
    </row>
    <row r="67" spans="1:26">
      <c r="A67" s="2">
        <v>66</v>
      </c>
      <c r="B67" s="2" t="s">
        <v>67</v>
      </c>
      <c r="C67" s="2" t="s">
        <v>22</v>
      </c>
      <c r="D67" s="2">
        <v>12</v>
      </c>
      <c r="E67" s="3">
        <v>58827</v>
      </c>
      <c r="F67" s="2" t="s">
        <v>38</v>
      </c>
      <c r="G67" s="2" t="s">
        <v>18</v>
      </c>
      <c r="Y67">
        <f t="shared" ref="Y67:Y101" si="1">IF(F67="Electric",E67*$Z$1,0)</f>
        <v>0</v>
      </c>
      <c r="Z67" s="5">
        <v>0.05</v>
      </c>
    </row>
    <row r="68" spans="1:26">
      <c r="A68" s="2">
        <v>67</v>
      </c>
      <c r="B68" s="2" t="s">
        <v>68</v>
      </c>
      <c r="C68" s="2" t="s">
        <v>12</v>
      </c>
      <c r="D68" s="2">
        <v>24</v>
      </c>
      <c r="E68" s="3">
        <v>65852</v>
      </c>
      <c r="F68" s="2" t="s">
        <v>13</v>
      </c>
      <c r="G68" s="2" t="s">
        <v>14</v>
      </c>
      <c r="Y68">
        <f t="shared" si="1"/>
        <v>0</v>
      </c>
      <c r="Z68" s="5">
        <v>0.05</v>
      </c>
    </row>
    <row r="69" spans="1:26">
      <c r="A69" s="2">
        <v>68</v>
      </c>
      <c r="B69" s="2" t="s">
        <v>53</v>
      </c>
      <c r="C69" s="2" t="s">
        <v>8</v>
      </c>
      <c r="D69" s="2">
        <v>45</v>
      </c>
      <c r="E69" s="3">
        <v>61904</v>
      </c>
      <c r="F69" s="2" t="s">
        <v>13</v>
      </c>
      <c r="G69" s="2" t="s">
        <v>18</v>
      </c>
      <c r="Y69">
        <f t="shared" si="1"/>
        <v>0</v>
      </c>
      <c r="Z69" s="5">
        <v>0.05</v>
      </c>
    </row>
    <row r="70" spans="1:26">
      <c r="A70" s="2">
        <v>69</v>
      </c>
      <c r="B70" s="2" t="s">
        <v>69</v>
      </c>
      <c r="C70" s="2" t="s">
        <v>8</v>
      </c>
      <c r="D70" s="2">
        <v>10</v>
      </c>
      <c r="E70" s="3">
        <v>96255</v>
      </c>
      <c r="F70" s="2" t="s">
        <v>28</v>
      </c>
      <c r="G70" s="2" t="s">
        <v>10</v>
      </c>
      <c r="Y70">
        <f t="shared" si="1"/>
        <v>0</v>
      </c>
      <c r="Z70" s="5">
        <v>0.05</v>
      </c>
    </row>
    <row r="71" spans="1:26">
      <c r="A71" s="2">
        <v>70</v>
      </c>
      <c r="B71" s="2" t="s">
        <v>37</v>
      </c>
      <c r="C71" s="2" t="s">
        <v>22</v>
      </c>
      <c r="D71" s="2">
        <v>33</v>
      </c>
      <c r="E71" s="3">
        <v>82405</v>
      </c>
      <c r="F71" s="2" t="s">
        <v>38</v>
      </c>
      <c r="G71" s="2" t="s">
        <v>26</v>
      </c>
      <c r="Y71">
        <f t="shared" si="1"/>
        <v>0</v>
      </c>
      <c r="Z71" s="5">
        <v>0.05</v>
      </c>
    </row>
    <row r="72" spans="1:26">
      <c r="A72" s="2">
        <v>71</v>
      </c>
      <c r="B72" s="2" t="s">
        <v>70</v>
      </c>
      <c r="C72" s="2" t="s">
        <v>8</v>
      </c>
      <c r="D72" s="2">
        <v>25</v>
      </c>
      <c r="E72" s="3">
        <v>51773</v>
      </c>
      <c r="F72" s="2" t="s">
        <v>25</v>
      </c>
      <c r="G72" s="2" t="s">
        <v>23</v>
      </c>
      <c r="Y72">
        <f t="shared" si="1"/>
        <v>0</v>
      </c>
      <c r="Z72" s="5">
        <v>0.05</v>
      </c>
    </row>
    <row r="73" spans="1:26">
      <c r="A73" s="2">
        <v>72</v>
      </c>
      <c r="B73" s="2" t="s">
        <v>27</v>
      </c>
      <c r="C73" s="2" t="s">
        <v>22</v>
      </c>
      <c r="D73" s="2">
        <v>27</v>
      </c>
      <c r="E73" s="3">
        <v>60691</v>
      </c>
      <c r="F73" s="2" t="s">
        <v>9</v>
      </c>
      <c r="G73" s="2" t="s">
        <v>29</v>
      </c>
      <c r="Y73">
        <f t="shared" si="1"/>
        <v>0</v>
      </c>
      <c r="Z73" s="5">
        <v>0.05</v>
      </c>
    </row>
    <row r="74" spans="1:26">
      <c r="A74" s="2">
        <v>73</v>
      </c>
      <c r="B74" s="2" t="s">
        <v>71</v>
      </c>
      <c r="C74" s="2" t="s">
        <v>8</v>
      </c>
      <c r="D74" s="2">
        <v>39</v>
      </c>
      <c r="E74" s="3">
        <v>32869</v>
      </c>
      <c r="F74" s="2" t="s">
        <v>9</v>
      </c>
      <c r="G74" s="2" t="s">
        <v>23</v>
      </c>
      <c r="Y74">
        <f t="shared" si="1"/>
        <v>0</v>
      </c>
      <c r="Z74" s="5">
        <v>0.05</v>
      </c>
    </row>
    <row r="75" spans="1:26">
      <c r="A75" s="2">
        <v>74</v>
      </c>
      <c r="B75" s="2" t="s">
        <v>72</v>
      </c>
      <c r="C75" s="2" t="s">
        <v>16</v>
      </c>
      <c r="D75" s="2">
        <v>9</v>
      </c>
      <c r="E75" s="3">
        <v>28555</v>
      </c>
      <c r="F75" s="2" t="s">
        <v>38</v>
      </c>
      <c r="G75" s="2" t="s">
        <v>23</v>
      </c>
      <c r="Y75">
        <f t="shared" si="1"/>
        <v>0</v>
      </c>
      <c r="Z75" s="5">
        <v>0.05</v>
      </c>
    </row>
    <row r="76" spans="1:26">
      <c r="A76" s="2">
        <v>75</v>
      </c>
      <c r="B76" s="2" t="s">
        <v>57</v>
      </c>
      <c r="C76" s="2" t="s">
        <v>22</v>
      </c>
      <c r="D76" s="2">
        <v>37</v>
      </c>
      <c r="E76" s="3">
        <v>39519</v>
      </c>
      <c r="F76" s="2" t="s">
        <v>32</v>
      </c>
      <c r="G76" s="2" t="s">
        <v>10</v>
      </c>
      <c r="Y76">
        <f t="shared" si="1"/>
        <v>0</v>
      </c>
      <c r="Z76" s="5">
        <v>0.05</v>
      </c>
    </row>
    <row r="77" spans="1:26">
      <c r="A77" s="2">
        <v>76</v>
      </c>
      <c r="B77" s="2" t="s">
        <v>19</v>
      </c>
      <c r="C77" s="2" t="s">
        <v>8</v>
      </c>
      <c r="D77" s="2">
        <v>25</v>
      </c>
      <c r="E77" s="3">
        <v>84785</v>
      </c>
      <c r="F77" s="2" t="s">
        <v>28</v>
      </c>
      <c r="G77" s="2" t="s">
        <v>29</v>
      </c>
      <c r="Y77">
        <f t="shared" si="1"/>
        <v>0</v>
      </c>
      <c r="Z77" s="5">
        <v>0.05</v>
      </c>
    </row>
    <row r="78" spans="1:26">
      <c r="A78" s="2">
        <v>77</v>
      </c>
      <c r="B78" s="2" t="s">
        <v>50</v>
      </c>
      <c r="C78" s="2" t="s">
        <v>16</v>
      </c>
      <c r="D78" s="2">
        <v>28</v>
      </c>
      <c r="E78" s="3">
        <v>31027</v>
      </c>
      <c r="F78" s="2" t="s">
        <v>32</v>
      </c>
      <c r="G78" s="2" t="s">
        <v>23</v>
      </c>
      <c r="Y78">
        <f t="shared" si="1"/>
        <v>0</v>
      </c>
      <c r="Z78" s="5">
        <v>0.05</v>
      </c>
    </row>
    <row r="79" spans="1:26">
      <c r="A79" s="2">
        <v>78</v>
      </c>
      <c r="B79" s="2" t="s">
        <v>73</v>
      </c>
      <c r="C79" s="2" t="s">
        <v>22</v>
      </c>
      <c r="D79" s="2">
        <v>12</v>
      </c>
      <c r="E79" s="3">
        <v>79362</v>
      </c>
      <c r="F79" s="2" t="s">
        <v>38</v>
      </c>
      <c r="G79" s="2" t="s">
        <v>14</v>
      </c>
      <c r="Y79">
        <f t="shared" si="1"/>
        <v>0</v>
      </c>
      <c r="Z79" s="5">
        <v>0.05</v>
      </c>
    </row>
    <row r="80" spans="1:26">
      <c r="A80" s="2">
        <v>79</v>
      </c>
      <c r="B80" s="2" t="s">
        <v>74</v>
      </c>
      <c r="C80" s="2" t="s">
        <v>8</v>
      </c>
      <c r="D80" s="2">
        <v>32</v>
      </c>
      <c r="E80" s="3">
        <v>49083</v>
      </c>
      <c r="F80" s="2" t="s">
        <v>32</v>
      </c>
      <c r="G80" s="2" t="s">
        <v>18</v>
      </c>
      <c r="Y80">
        <f t="shared" si="1"/>
        <v>0</v>
      </c>
      <c r="Z80" s="5">
        <v>0.05</v>
      </c>
    </row>
    <row r="81" spans="1:26">
      <c r="A81" s="2">
        <v>80</v>
      </c>
      <c r="B81" s="2" t="s">
        <v>62</v>
      </c>
      <c r="C81" s="2" t="s">
        <v>8</v>
      </c>
      <c r="D81" s="2">
        <v>41</v>
      </c>
      <c r="E81" s="3">
        <v>66335</v>
      </c>
      <c r="F81" s="2" t="s">
        <v>25</v>
      </c>
      <c r="G81" s="2" t="s">
        <v>26</v>
      </c>
      <c r="Y81">
        <f t="shared" si="1"/>
        <v>0</v>
      </c>
      <c r="Z81" s="5">
        <v>0.05</v>
      </c>
    </row>
    <row r="82" spans="1:26">
      <c r="A82" s="2">
        <v>81</v>
      </c>
      <c r="B82" s="2" t="s">
        <v>75</v>
      </c>
      <c r="C82" s="2" t="s">
        <v>16</v>
      </c>
      <c r="D82" s="2">
        <v>35</v>
      </c>
      <c r="E82" s="3">
        <v>93382</v>
      </c>
      <c r="F82" s="2" t="s">
        <v>38</v>
      </c>
      <c r="G82" s="2" t="s">
        <v>18</v>
      </c>
      <c r="Y82">
        <f t="shared" si="1"/>
        <v>0</v>
      </c>
      <c r="Z82" s="5">
        <v>0.05</v>
      </c>
    </row>
    <row r="83" spans="1:26">
      <c r="A83" s="2">
        <v>82</v>
      </c>
      <c r="B83" s="2" t="s">
        <v>64</v>
      </c>
      <c r="C83" s="2" t="s">
        <v>12</v>
      </c>
      <c r="D83" s="2">
        <v>45</v>
      </c>
      <c r="E83" s="3">
        <v>52078</v>
      </c>
      <c r="F83" s="2" t="s">
        <v>17</v>
      </c>
      <c r="G83" s="2" t="s">
        <v>26</v>
      </c>
      <c r="Y83">
        <f t="shared" si="1"/>
        <v>0</v>
      </c>
      <c r="Z83" s="5">
        <v>0.05</v>
      </c>
    </row>
    <row r="84" spans="1:26">
      <c r="A84" s="2">
        <v>83</v>
      </c>
      <c r="B84" s="2" t="s">
        <v>69</v>
      </c>
      <c r="C84" s="2" t="s">
        <v>12</v>
      </c>
      <c r="D84" s="2">
        <v>42</v>
      </c>
      <c r="E84" s="3">
        <v>65316</v>
      </c>
      <c r="F84" s="2" t="s">
        <v>32</v>
      </c>
      <c r="G84" s="2" t="s">
        <v>14</v>
      </c>
      <c r="Y84">
        <f t="shared" si="1"/>
        <v>0</v>
      </c>
      <c r="Z84" s="5">
        <v>0.05</v>
      </c>
    </row>
    <row r="85" spans="1:26">
      <c r="A85" s="2">
        <v>84</v>
      </c>
      <c r="B85" s="2" t="s">
        <v>11</v>
      </c>
      <c r="C85" s="2" t="s">
        <v>16</v>
      </c>
      <c r="D85" s="2">
        <v>12</v>
      </c>
      <c r="E85" s="3">
        <v>45607</v>
      </c>
      <c r="F85" s="2" t="s">
        <v>38</v>
      </c>
      <c r="G85" s="2" t="s">
        <v>18</v>
      </c>
      <c r="Y85">
        <f t="shared" si="1"/>
        <v>0</v>
      </c>
      <c r="Z85" s="5">
        <v>0.05</v>
      </c>
    </row>
    <row r="86" spans="1:26">
      <c r="A86" s="2">
        <v>85</v>
      </c>
      <c r="B86" s="2" t="s">
        <v>42</v>
      </c>
      <c r="C86" s="2" t="s">
        <v>16</v>
      </c>
      <c r="D86" s="2">
        <v>36</v>
      </c>
      <c r="E86" s="3">
        <v>35768</v>
      </c>
      <c r="F86" s="2" t="s">
        <v>25</v>
      </c>
      <c r="G86" s="2" t="s">
        <v>10</v>
      </c>
      <c r="Y86">
        <f t="shared" si="1"/>
        <v>0</v>
      </c>
      <c r="Z86" s="5">
        <v>0.05</v>
      </c>
    </row>
    <row r="87" spans="1:26">
      <c r="A87" s="2">
        <v>86</v>
      </c>
      <c r="B87" s="2" t="s">
        <v>76</v>
      </c>
      <c r="C87" s="2" t="s">
        <v>22</v>
      </c>
      <c r="D87" s="2">
        <v>11</v>
      </c>
      <c r="E87" s="3">
        <v>42146</v>
      </c>
      <c r="F87" s="2" t="s">
        <v>20</v>
      </c>
      <c r="G87" s="2" t="s">
        <v>14</v>
      </c>
      <c r="Y87">
        <f t="shared" si="1"/>
        <v>0</v>
      </c>
      <c r="Z87" s="5">
        <v>0.05</v>
      </c>
    </row>
    <row r="88" spans="1:26">
      <c r="A88" s="2">
        <v>87</v>
      </c>
      <c r="B88" s="2" t="s">
        <v>48</v>
      </c>
      <c r="C88" s="2" t="s">
        <v>12</v>
      </c>
      <c r="D88" s="2">
        <v>32</v>
      </c>
      <c r="E88" s="3">
        <v>37839</v>
      </c>
      <c r="F88" s="2" t="s">
        <v>28</v>
      </c>
      <c r="G88" s="2" t="s">
        <v>10</v>
      </c>
      <c r="Y88">
        <f t="shared" si="1"/>
        <v>0</v>
      </c>
      <c r="Z88" s="5">
        <v>0.05</v>
      </c>
    </row>
    <row r="89" spans="1:26">
      <c r="A89" s="2">
        <v>88</v>
      </c>
      <c r="B89" s="2" t="s">
        <v>47</v>
      </c>
      <c r="C89" s="2" t="s">
        <v>22</v>
      </c>
      <c r="D89" s="2">
        <v>19</v>
      </c>
      <c r="E89" s="3">
        <v>51734</v>
      </c>
      <c r="F89" s="2" t="s">
        <v>13</v>
      </c>
      <c r="G89" s="2" t="s">
        <v>29</v>
      </c>
      <c r="Y89">
        <f t="shared" si="1"/>
        <v>0</v>
      </c>
      <c r="Z89" s="5">
        <v>0.05</v>
      </c>
    </row>
    <row r="90" spans="1:26">
      <c r="A90" s="2">
        <v>89</v>
      </c>
      <c r="B90" s="2" t="s">
        <v>70</v>
      </c>
      <c r="C90" s="2" t="s">
        <v>8</v>
      </c>
      <c r="D90" s="2">
        <v>9</v>
      </c>
      <c r="E90" s="3">
        <v>67678</v>
      </c>
      <c r="F90" s="2" t="s">
        <v>17</v>
      </c>
      <c r="G90" s="2" t="s">
        <v>18</v>
      </c>
      <c r="Y90">
        <f t="shared" si="1"/>
        <v>0</v>
      </c>
      <c r="Z90" s="5">
        <v>0.05</v>
      </c>
    </row>
    <row r="91" spans="1:26">
      <c r="A91" s="2">
        <v>90</v>
      </c>
      <c r="B91" s="2" t="s">
        <v>65</v>
      </c>
      <c r="C91" s="2" t="s">
        <v>16</v>
      </c>
      <c r="D91" s="2">
        <v>12</v>
      </c>
      <c r="E91" s="3">
        <v>59718</v>
      </c>
      <c r="F91" s="2" t="s">
        <v>13</v>
      </c>
      <c r="G91" s="2" t="s">
        <v>10</v>
      </c>
      <c r="Y91">
        <f t="shared" si="1"/>
        <v>0</v>
      </c>
      <c r="Z91" s="5">
        <v>0.05</v>
      </c>
    </row>
    <row r="92" spans="1:26">
      <c r="A92" s="2">
        <v>91</v>
      </c>
      <c r="B92" s="2" t="s">
        <v>21</v>
      </c>
      <c r="C92" s="2" t="s">
        <v>22</v>
      </c>
      <c r="D92" s="2">
        <v>21</v>
      </c>
      <c r="E92" s="3">
        <v>62827</v>
      </c>
      <c r="F92" s="2" t="s">
        <v>13</v>
      </c>
      <c r="G92" s="2" t="s">
        <v>18</v>
      </c>
      <c r="Y92">
        <f t="shared" si="1"/>
        <v>0</v>
      </c>
      <c r="Z92" s="5">
        <v>0.05</v>
      </c>
    </row>
    <row r="93" spans="1:26">
      <c r="A93" s="2">
        <v>92</v>
      </c>
      <c r="B93" s="2" t="s">
        <v>63</v>
      </c>
      <c r="C93" s="2" t="s">
        <v>16</v>
      </c>
      <c r="D93" s="2">
        <v>29</v>
      </c>
      <c r="E93" s="3">
        <v>36230</v>
      </c>
      <c r="F93" s="2" t="s">
        <v>32</v>
      </c>
      <c r="G93" s="2" t="s">
        <v>29</v>
      </c>
      <c r="Y93">
        <f t="shared" si="1"/>
        <v>0</v>
      </c>
      <c r="Z93" s="5">
        <v>0.05</v>
      </c>
    </row>
    <row r="94" spans="1:26">
      <c r="A94" s="2">
        <v>93</v>
      </c>
      <c r="B94" s="2" t="s">
        <v>77</v>
      </c>
      <c r="C94" s="2" t="s">
        <v>22</v>
      </c>
      <c r="D94" s="2">
        <v>40</v>
      </c>
      <c r="E94" s="3">
        <v>56668</v>
      </c>
      <c r="F94" s="2" t="s">
        <v>38</v>
      </c>
      <c r="G94" s="2" t="s">
        <v>23</v>
      </c>
      <c r="Y94">
        <f t="shared" si="1"/>
        <v>0</v>
      </c>
      <c r="Z94" s="5">
        <v>0.05</v>
      </c>
    </row>
    <row r="95" spans="1:26">
      <c r="A95" s="2">
        <v>94</v>
      </c>
      <c r="B95" s="2" t="s">
        <v>42</v>
      </c>
      <c r="C95" s="2" t="s">
        <v>8</v>
      </c>
      <c r="D95" s="2">
        <v>4</v>
      </c>
      <c r="E95" s="3">
        <v>25173</v>
      </c>
      <c r="F95" s="2" t="s">
        <v>20</v>
      </c>
      <c r="G95" s="2" t="s">
        <v>18</v>
      </c>
      <c r="Y95">
        <f t="shared" si="1"/>
        <v>0</v>
      </c>
      <c r="Z95" s="5">
        <v>0.05</v>
      </c>
    </row>
    <row r="96" spans="1:26">
      <c r="A96" s="2">
        <v>95</v>
      </c>
      <c r="B96" s="2" t="s">
        <v>78</v>
      </c>
      <c r="C96" s="2" t="s">
        <v>8</v>
      </c>
      <c r="D96" s="2">
        <v>23</v>
      </c>
      <c r="E96" s="3">
        <v>28990</v>
      </c>
      <c r="F96" s="2" t="s">
        <v>20</v>
      </c>
      <c r="G96" s="2" t="s">
        <v>29</v>
      </c>
      <c r="Y96">
        <f t="shared" si="1"/>
        <v>0</v>
      </c>
      <c r="Z96" s="5">
        <v>0.05</v>
      </c>
    </row>
    <row r="97" spans="1:26">
      <c r="A97" s="2">
        <v>96</v>
      </c>
      <c r="B97" s="2" t="s">
        <v>79</v>
      </c>
      <c r="C97" s="2" t="s">
        <v>12</v>
      </c>
      <c r="D97" s="2">
        <v>1</v>
      </c>
      <c r="E97" s="3">
        <v>26440</v>
      </c>
      <c r="F97" s="2" t="s">
        <v>28</v>
      </c>
      <c r="G97" s="2" t="s">
        <v>14</v>
      </c>
      <c r="Y97">
        <f t="shared" si="1"/>
        <v>0</v>
      </c>
      <c r="Z97" s="5">
        <v>0.05</v>
      </c>
    </row>
    <row r="98" spans="1:26">
      <c r="A98" s="2">
        <v>97</v>
      </c>
      <c r="B98" s="2" t="s">
        <v>43</v>
      </c>
      <c r="C98" s="2" t="s">
        <v>12</v>
      </c>
      <c r="D98" s="2">
        <v>32</v>
      </c>
      <c r="E98" s="3">
        <v>76505</v>
      </c>
      <c r="F98" s="2" t="s">
        <v>17</v>
      </c>
      <c r="G98" s="2" t="s">
        <v>18</v>
      </c>
      <c r="Y98">
        <f t="shared" si="1"/>
        <v>0</v>
      </c>
      <c r="Z98" s="5">
        <v>0.05</v>
      </c>
    </row>
    <row r="99" spans="1:26">
      <c r="A99" s="2">
        <v>98</v>
      </c>
      <c r="B99" s="2" t="s">
        <v>72</v>
      </c>
      <c r="C99" s="2" t="s">
        <v>8</v>
      </c>
      <c r="D99" s="2">
        <v>9</v>
      </c>
      <c r="E99" s="3">
        <v>86067</v>
      </c>
      <c r="F99" s="2" t="s">
        <v>17</v>
      </c>
      <c r="G99" s="2" t="s">
        <v>14</v>
      </c>
      <c r="Y99">
        <f t="shared" si="1"/>
        <v>0</v>
      </c>
      <c r="Z99" s="5">
        <v>0.05</v>
      </c>
    </row>
    <row r="100" spans="1:26">
      <c r="A100" s="2">
        <v>99</v>
      </c>
      <c r="B100" s="2" t="s">
        <v>49</v>
      </c>
      <c r="C100" s="2" t="s">
        <v>22</v>
      </c>
      <c r="D100" s="2">
        <v>13</v>
      </c>
      <c r="E100" s="3">
        <v>40674</v>
      </c>
      <c r="F100" s="2" t="s">
        <v>28</v>
      </c>
      <c r="G100" s="2" t="s">
        <v>29</v>
      </c>
      <c r="Y100">
        <f t="shared" si="1"/>
        <v>0</v>
      </c>
      <c r="Z100" s="5">
        <v>0.05</v>
      </c>
    </row>
    <row r="101" spans="1:26">
      <c r="A101" s="2">
        <v>100</v>
      </c>
      <c r="B101" s="2" t="s">
        <v>68</v>
      </c>
      <c r="C101" s="2" t="s">
        <v>16</v>
      </c>
      <c r="D101" s="2">
        <v>25</v>
      </c>
      <c r="E101" s="3">
        <v>82750</v>
      </c>
      <c r="F101" s="2" t="s">
        <v>32</v>
      </c>
      <c r="G101" s="2" t="s">
        <v>14</v>
      </c>
      <c r="Y101">
        <f t="shared" si="1"/>
        <v>0</v>
      </c>
      <c r="Z101" s="5">
        <v>0.05</v>
      </c>
    </row>
    <row r="102" spans="1:26">
      <c r="A102" s="2">
        <v>101</v>
      </c>
      <c r="B102" s="2" t="s">
        <v>80</v>
      </c>
      <c r="C102" s="2" t="s">
        <v>8</v>
      </c>
      <c r="D102" s="2">
        <v>36</v>
      </c>
      <c r="E102" s="3">
        <v>62409</v>
      </c>
      <c r="F102" s="2" t="s">
        <v>32</v>
      </c>
      <c r="G102" s="2" t="s">
        <v>10</v>
      </c>
    </row>
    <row r="103" spans="1:26">
      <c r="A103" s="2">
        <v>102</v>
      </c>
      <c r="B103" s="2" t="s">
        <v>39</v>
      </c>
      <c r="C103" s="2" t="s">
        <v>8</v>
      </c>
      <c r="D103" s="2">
        <v>33</v>
      </c>
      <c r="E103" s="3">
        <v>61410</v>
      </c>
      <c r="F103" s="2" t="s">
        <v>9</v>
      </c>
      <c r="G103" s="2" t="s">
        <v>23</v>
      </c>
    </row>
    <row r="104" spans="1:26">
      <c r="A104" s="2">
        <v>103</v>
      </c>
      <c r="B104" s="2" t="s">
        <v>81</v>
      </c>
      <c r="C104" s="2" t="s">
        <v>22</v>
      </c>
      <c r="D104" s="2">
        <v>42</v>
      </c>
      <c r="E104" s="3">
        <v>64707</v>
      </c>
      <c r="F104" s="2" t="s">
        <v>13</v>
      </c>
      <c r="G104" s="2" t="s">
        <v>14</v>
      </c>
    </row>
    <row r="105" spans="1:26">
      <c r="A105" s="2">
        <v>104</v>
      </c>
      <c r="B105" s="2" t="s">
        <v>55</v>
      </c>
      <c r="C105" s="2" t="s">
        <v>8</v>
      </c>
      <c r="D105" s="2">
        <v>32</v>
      </c>
      <c r="E105" s="3">
        <v>80119</v>
      </c>
      <c r="F105" s="2" t="s">
        <v>38</v>
      </c>
      <c r="G105" s="2" t="s">
        <v>10</v>
      </c>
    </row>
    <row r="106" spans="1:26">
      <c r="A106" s="2">
        <v>105</v>
      </c>
      <c r="B106" s="2" t="s">
        <v>54</v>
      </c>
      <c r="C106" s="2" t="s">
        <v>8</v>
      </c>
      <c r="D106" s="2">
        <v>27</v>
      </c>
      <c r="E106" s="3">
        <v>58807</v>
      </c>
      <c r="F106" s="2" t="s">
        <v>28</v>
      </c>
      <c r="G106" s="2" t="s">
        <v>23</v>
      </c>
    </row>
    <row r="107" spans="1:26">
      <c r="A107" s="2">
        <v>106</v>
      </c>
      <c r="B107" s="2" t="s">
        <v>82</v>
      </c>
      <c r="C107" s="2" t="s">
        <v>22</v>
      </c>
      <c r="D107" s="2">
        <v>44</v>
      </c>
      <c r="E107" s="3">
        <v>58282</v>
      </c>
      <c r="F107" s="2" t="s">
        <v>25</v>
      </c>
      <c r="G107" s="2" t="s">
        <v>29</v>
      </c>
    </row>
    <row r="108" spans="1:26">
      <c r="A108" s="2">
        <v>107</v>
      </c>
      <c r="B108" s="2" t="s">
        <v>71</v>
      </c>
      <c r="C108" s="2" t="s">
        <v>8</v>
      </c>
      <c r="D108" s="2">
        <v>32</v>
      </c>
      <c r="E108" s="3">
        <v>87144</v>
      </c>
      <c r="F108" s="2" t="s">
        <v>13</v>
      </c>
      <c r="G108" s="2" t="s">
        <v>29</v>
      </c>
    </row>
    <row r="109" spans="1:26">
      <c r="A109" s="2">
        <v>108</v>
      </c>
      <c r="B109" s="2" t="s">
        <v>41</v>
      </c>
      <c r="C109" s="2" t="s">
        <v>12</v>
      </c>
      <c r="D109" s="2">
        <v>27</v>
      </c>
      <c r="E109" s="3">
        <v>65200</v>
      </c>
      <c r="F109" s="2" t="s">
        <v>20</v>
      </c>
      <c r="G109" s="2" t="s">
        <v>18</v>
      </c>
    </row>
    <row r="110" spans="1:26">
      <c r="A110" s="2">
        <v>109</v>
      </c>
      <c r="B110" s="2" t="s">
        <v>52</v>
      </c>
      <c r="C110" s="2" t="s">
        <v>12</v>
      </c>
      <c r="D110" s="2">
        <v>46</v>
      </c>
      <c r="E110" s="3">
        <v>63043</v>
      </c>
      <c r="F110" s="2" t="s">
        <v>20</v>
      </c>
      <c r="G110" s="2" t="s">
        <v>10</v>
      </c>
    </row>
    <row r="111" spans="1:26">
      <c r="A111" s="2">
        <v>110</v>
      </c>
      <c r="B111" s="2" t="s">
        <v>37</v>
      </c>
      <c r="C111" s="2" t="s">
        <v>12</v>
      </c>
      <c r="D111" s="2">
        <v>29</v>
      </c>
      <c r="E111" s="3">
        <v>50521</v>
      </c>
      <c r="F111" s="2" t="s">
        <v>28</v>
      </c>
      <c r="G111" s="2" t="s">
        <v>26</v>
      </c>
    </row>
    <row r="112" spans="1:26">
      <c r="A112" s="2">
        <v>111</v>
      </c>
      <c r="B112" s="2" t="s">
        <v>83</v>
      </c>
      <c r="C112" s="2" t="s">
        <v>12</v>
      </c>
      <c r="D112" s="2">
        <v>32</v>
      </c>
      <c r="E112" s="3">
        <v>40846</v>
      </c>
      <c r="F112" s="2" t="s">
        <v>17</v>
      </c>
      <c r="G112" s="2" t="s">
        <v>23</v>
      </c>
    </row>
    <row r="113" spans="1:7">
      <c r="A113" s="2">
        <v>112</v>
      </c>
      <c r="B113" s="2" t="s">
        <v>57</v>
      </c>
      <c r="C113" s="2" t="s">
        <v>8</v>
      </c>
      <c r="D113" s="2">
        <v>11</v>
      </c>
      <c r="E113" s="3">
        <v>34294</v>
      </c>
      <c r="F113" s="2" t="s">
        <v>20</v>
      </c>
      <c r="G113" s="2" t="s">
        <v>18</v>
      </c>
    </row>
    <row r="114" spans="1:7">
      <c r="A114" s="2">
        <v>113</v>
      </c>
      <c r="B114" s="2" t="s">
        <v>84</v>
      </c>
      <c r="C114" s="2" t="s">
        <v>16</v>
      </c>
      <c r="D114" s="2">
        <v>6</v>
      </c>
      <c r="E114" s="3">
        <v>64172</v>
      </c>
      <c r="F114" s="2" t="s">
        <v>28</v>
      </c>
      <c r="G114" s="2" t="s">
        <v>18</v>
      </c>
    </row>
    <row r="115" spans="1:7">
      <c r="A115" s="2">
        <v>114</v>
      </c>
      <c r="B115" s="2" t="s">
        <v>31</v>
      </c>
      <c r="C115" s="2" t="s">
        <v>12</v>
      </c>
      <c r="D115" s="2">
        <v>37</v>
      </c>
      <c r="E115" s="3">
        <v>71689</v>
      </c>
      <c r="F115" s="2" t="s">
        <v>28</v>
      </c>
      <c r="G115" s="2" t="s">
        <v>29</v>
      </c>
    </row>
    <row r="116" spans="1:7">
      <c r="A116" s="2">
        <v>115</v>
      </c>
      <c r="B116" s="2" t="s">
        <v>85</v>
      </c>
      <c r="C116" s="2" t="s">
        <v>12</v>
      </c>
      <c r="D116" s="2">
        <v>2</v>
      </c>
      <c r="E116" s="3">
        <v>63110</v>
      </c>
      <c r="F116" s="2" t="s">
        <v>9</v>
      </c>
      <c r="G116" s="2" t="s">
        <v>14</v>
      </c>
    </row>
    <row r="117" spans="1:7">
      <c r="A117" s="2">
        <v>116</v>
      </c>
      <c r="B117" s="2" t="s">
        <v>7</v>
      </c>
      <c r="C117" s="2" t="s">
        <v>8</v>
      </c>
      <c r="D117" s="2">
        <v>49</v>
      </c>
      <c r="E117" s="3">
        <v>66332</v>
      </c>
      <c r="F117" s="2" t="s">
        <v>13</v>
      </c>
      <c r="G117" s="2" t="s">
        <v>23</v>
      </c>
    </row>
    <row r="118" spans="1:7">
      <c r="A118" s="2">
        <v>117</v>
      </c>
      <c r="B118" s="2" t="s">
        <v>50</v>
      </c>
      <c r="C118" s="2" t="s">
        <v>8</v>
      </c>
      <c r="D118" s="2">
        <v>15</v>
      </c>
      <c r="E118" s="3">
        <v>81488</v>
      </c>
      <c r="F118" s="2" t="s">
        <v>9</v>
      </c>
      <c r="G118" s="2" t="s">
        <v>26</v>
      </c>
    </row>
    <row r="119" spans="1:7">
      <c r="A119" s="2">
        <v>118</v>
      </c>
      <c r="B119" s="2" t="s">
        <v>50</v>
      </c>
      <c r="C119" s="2" t="s">
        <v>22</v>
      </c>
      <c r="D119" s="2">
        <v>19</v>
      </c>
      <c r="E119" s="3">
        <v>97032</v>
      </c>
      <c r="F119" s="2" t="s">
        <v>32</v>
      </c>
      <c r="G119" s="2" t="s">
        <v>29</v>
      </c>
    </row>
    <row r="120" spans="1:7">
      <c r="A120" s="2">
        <v>119</v>
      </c>
      <c r="B120" s="2" t="s">
        <v>34</v>
      </c>
      <c r="C120" s="2" t="s">
        <v>12</v>
      </c>
      <c r="D120" s="2">
        <v>3</v>
      </c>
      <c r="E120" s="3">
        <v>60843</v>
      </c>
      <c r="F120" s="2" t="s">
        <v>17</v>
      </c>
      <c r="G120" s="2" t="s">
        <v>29</v>
      </c>
    </row>
    <row r="121" spans="1:7">
      <c r="A121" s="2">
        <v>120</v>
      </c>
      <c r="B121" s="2" t="s">
        <v>33</v>
      </c>
      <c r="C121" s="2" t="s">
        <v>22</v>
      </c>
      <c r="D121" s="2">
        <v>18</v>
      </c>
      <c r="E121" s="3">
        <v>87914</v>
      </c>
      <c r="F121" s="2" t="s">
        <v>9</v>
      </c>
      <c r="G121" s="2" t="s">
        <v>26</v>
      </c>
    </row>
    <row r="122" spans="1:7">
      <c r="A122" s="2">
        <v>121</v>
      </c>
      <c r="B122" s="2" t="s">
        <v>58</v>
      </c>
      <c r="C122" s="2" t="s">
        <v>12</v>
      </c>
      <c r="D122" s="2">
        <v>15</v>
      </c>
      <c r="E122" s="3">
        <v>84063</v>
      </c>
      <c r="F122" s="2" t="s">
        <v>9</v>
      </c>
      <c r="G122" s="2" t="s">
        <v>14</v>
      </c>
    </row>
    <row r="123" spans="1:7">
      <c r="A123" s="2">
        <v>122</v>
      </c>
      <c r="B123" s="2" t="s">
        <v>59</v>
      </c>
      <c r="C123" s="2" t="s">
        <v>16</v>
      </c>
      <c r="D123" s="2">
        <v>35</v>
      </c>
      <c r="E123" s="3">
        <v>58054</v>
      </c>
      <c r="F123" s="2" t="s">
        <v>38</v>
      </c>
      <c r="G123" s="2" t="s">
        <v>10</v>
      </c>
    </row>
    <row r="124" spans="1:7">
      <c r="A124" s="2">
        <v>123</v>
      </c>
      <c r="B124" s="2" t="s">
        <v>34</v>
      </c>
      <c r="C124" s="2" t="s">
        <v>8</v>
      </c>
      <c r="D124" s="2">
        <v>19</v>
      </c>
      <c r="E124" s="3">
        <v>54524</v>
      </c>
      <c r="F124" s="2" t="s">
        <v>9</v>
      </c>
      <c r="G124" s="2" t="s">
        <v>10</v>
      </c>
    </row>
    <row r="125" spans="1:7">
      <c r="A125" s="2">
        <v>124</v>
      </c>
      <c r="B125" s="2" t="s">
        <v>40</v>
      </c>
      <c r="C125" s="2" t="s">
        <v>8</v>
      </c>
      <c r="D125" s="2">
        <v>11</v>
      </c>
      <c r="E125" s="3">
        <v>44167</v>
      </c>
      <c r="F125" s="2" t="s">
        <v>20</v>
      </c>
      <c r="G125" s="2" t="s">
        <v>26</v>
      </c>
    </row>
    <row r="126" spans="1:7">
      <c r="A126" s="2">
        <v>125</v>
      </c>
      <c r="B126" s="2" t="s">
        <v>78</v>
      </c>
      <c r="C126" s="2" t="s">
        <v>22</v>
      </c>
      <c r="D126" s="2">
        <v>50</v>
      </c>
      <c r="E126" s="3">
        <v>71582</v>
      </c>
      <c r="F126" s="2" t="s">
        <v>28</v>
      </c>
      <c r="G126" s="2" t="s">
        <v>23</v>
      </c>
    </row>
    <row r="127" spans="1:7">
      <c r="A127" s="2">
        <v>126</v>
      </c>
      <c r="B127" s="2" t="s">
        <v>39</v>
      </c>
      <c r="C127" s="2" t="s">
        <v>22</v>
      </c>
      <c r="D127" s="2">
        <v>30</v>
      </c>
      <c r="E127" s="3">
        <v>33399</v>
      </c>
      <c r="F127" s="2" t="s">
        <v>20</v>
      </c>
      <c r="G127" s="2" t="s">
        <v>14</v>
      </c>
    </row>
    <row r="128" spans="1:7">
      <c r="A128" s="2">
        <v>127</v>
      </c>
      <c r="B128" s="2" t="s">
        <v>86</v>
      </c>
      <c r="C128" s="2" t="s">
        <v>8</v>
      </c>
      <c r="D128" s="2">
        <v>37</v>
      </c>
      <c r="E128" s="3">
        <v>31121</v>
      </c>
      <c r="F128" s="2" t="s">
        <v>13</v>
      </c>
      <c r="G128" s="2" t="s">
        <v>14</v>
      </c>
    </row>
    <row r="129" spans="1:7">
      <c r="A129" s="2">
        <v>128</v>
      </c>
      <c r="B129" s="2" t="s">
        <v>87</v>
      </c>
      <c r="C129" s="2" t="s">
        <v>8</v>
      </c>
      <c r="D129" s="2">
        <v>48</v>
      </c>
      <c r="E129" s="3">
        <v>34404</v>
      </c>
      <c r="F129" s="2" t="s">
        <v>32</v>
      </c>
      <c r="G129" s="2" t="s">
        <v>18</v>
      </c>
    </row>
    <row r="130" spans="1:7">
      <c r="A130" s="2">
        <v>129</v>
      </c>
      <c r="B130" s="2" t="s">
        <v>45</v>
      </c>
      <c r="C130" s="2" t="s">
        <v>8</v>
      </c>
      <c r="D130" s="2">
        <v>50</v>
      </c>
      <c r="E130" s="3">
        <v>58260</v>
      </c>
      <c r="F130" s="2" t="s">
        <v>32</v>
      </c>
      <c r="G130" s="2" t="s">
        <v>14</v>
      </c>
    </row>
    <row r="131" spans="1:7">
      <c r="A131" s="2">
        <v>130</v>
      </c>
      <c r="B131" s="2" t="s">
        <v>65</v>
      </c>
      <c r="C131" s="2" t="s">
        <v>12</v>
      </c>
      <c r="D131" s="2">
        <v>50</v>
      </c>
      <c r="E131" s="3">
        <v>37098</v>
      </c>
      <c r="F131" s="2" t="s">
        <v>17</v>
      </c>
      <c r="G131" s="2" t="s">
        <v>26</v>
      </c>
    </row>
    <row r="132" spans="1:7">
      <c r="A132" s="2">
        <v>131</v>
      </c>
      <c r="B132" s="2" t="s">
        <v>75</v>
      </c>
      <c r="C132" s="2" t="s">
        <v>12</v>
      </c>
      <c r="D132" s="2">
        <v>32</v>
      </c>
      <c r="E132" s="3">
        <v>82343</v>
      </c>
      <c r="F132" s="2" t="s">
        <v>13</v>
      </c>
      <c r="G132" s="2" t="s">
        <v>23</v>
      </c>
    </row>
    <row r="133" spans="1:7">
      <c r="A133" s="2">
        <v>132</v>
      </c>
      <c r="B133" s="2" t="s">
        <v>62</v>
      </c>
      <c r="C133" s="2" t="s">
        <v>16</v>
      </c>
      <c r="D133" s="2">
        <v>36</v>
      </c>
      <c r="E133" s="3">
        <v>78187</v>
      </c>
      <c r="F133" s="2" t="s">
        <v>17</v>
      </c>
      <c r="G133" s="2" t="s">
        <v>14</v>
      </c>
    </row>
    <row r="134" spans="1:7">
      <c r="A134" s="2">
        <v>133</v>
      </c>
      <c r="B134" s="2" t="s">
        <v>48</v>
      </c>
      <c r="C134" s="2" t="s">
        <v>12</v>
      </c>
      <c r="D134" s="2">
        <v>33</v>
      </c>
      <c r="E134" s="3">
        <v>58490</v>
      </c>
      <c r="F134" s="2" t="s">
        <v>38</v>
      </c>
      <c r="G134" s="2" t="s">
        <v>18</v>
      </c>
    </row>
    <row r="135" spans="1:7">
      <c r="A135" s="2">
        <v>134</v>
      </c>
      <c r="B135" s="2" t="s">
        <v>60</v>
      </c>
      <c r="C135" s="2" t="s">
        <v>8</v>
      </c>
      <c r="D135" s="2">
        <v>8</v>
      </c>
      <c r="E135" s="3">
        <v>67914</v>
      </c>
      <c r="F135" s="2" t="s">
        <v>28</v>
      </c>
      <c r="G135" s="2" t="s">
        <v>10</v>
      </c>
    </row>
    <row r="136" spans="1:7">
      <c r="A136" s="2">
        <v>135</v>
      </c>
      <c r="B136" s="2" t="s">
        <v>55</v>
      </c>
      <c r="C136" s="2" t="s">
        <v>12</v>
      </c>
      <c r="D136" s="2">
        <v>37</v>
      </c>
      <c r="E136" s="3">
        <v>46197</v>
      </c>
      <c r="F136" s="2" t="s">
        <v>32</v>
      </c>
      <c r="G136" s="2" t="s">
        <v>14</v>
      </c>
    </row>
    <row r="137" spans="1:7">
      <c r="A137" s="2">
        <v>136</v>
      </c>
      <c r="B137" s="2" t="s">
        <v>41</v>
      </c>
      <c r="C137" s="2" t="s">
        <v>22</v>
      </c>
      <c r="D137" s="2">
        <v>8</v>
      </c>
      <c r="E137" s="3">
        <v>71320</v>
      </c>
      <c r="F137" s="2" t="s">
        <v>28</v>
      </c>
      <c r="G137" s="2" t="s">
        <v>14</v>
      </c>
    </row>
    <row r="138" spans="1:7">
      <c r="A138" s="2">
        <v>137</v>
      </c>
      <c r="B138" s="2" t="s">
        <v>68</v>
      </c>
      <c r="C138" s="2" t="s">
        <v>8</v>
      </c>
      <c r="D138" s="2">
        <v>18</v>
      </c>
      <c r="E138" s="3">
        <v>84233</v>
      </c>
      <c r="F138" s="2" t="s">
        <v>20</v>
      </c>
      <c r="G138" s="2" t="s">
        <v>23</v>
      </c>
    </row>
    <row r="139" spans="1:7">
      <c r="A139" s="2">
        <v>138</v>
      </c>
      <c r="B139" s="2" t="s">
        <v>88</v>
      </c>
      <c r="C139" s="2" t="s">
        <v>12</v>
      </c>
      <c r="D139" s="2">
        <v>50</v>
      </c>
      <c r="E139" s="3">
        <v>71143</v>
      </c>
      <c r="F139" s="2" t="s">
        <v>13</v>
      </c>
      <c r="G139" s="2" t="s">
        <v>26</v>
      </c>
    </row>
    <row r="140" spans="1:7">
      <c r="A140" s="2">
        <v>139</v>
      </c>
      <c r="B140" s="2" t="s">
        <v>45</v>
      </c>
      <c r="C140" s="2" t="s">
        <v>8</v>
      </c>
      <c r="D140" s="2">
        <v>35</v>
      </c>
      <c r="E140" s="3">
        <v>77511</v>
      </c>
      <c r="F140" s="2" t="s">
        <v>17</v>
      </c>
      <c r="G140" s="2" t="s">
        <v>26</v>
      </c>
    </row>
    <row r="141" spans="1:7">
      <c r="A141" s="2">
        <v>140</v>
      </c>
      <c r="B141" s="2" t="s">
        <v>86</v>
      </c>
      <c r="C141" s="2" t="s">
        <v>22</v>
      </c>
      <c r="D141" s="2">
        <v>24</v>
      </c>
      <c r="E141" s="3">
        <v>68349</v>
      </c>
      <c r="F141" s="2" t="s">
        <v>20</v>
      </c>
      <c r="G141" s="2" t="s">
        <v>18</v>
      </c>
    </row>
    <row r="142" spans="1:7">
      <c r="A142" s="2">
        <v>141</v>
      </c>
      <c r="B142" s="2" t="s">
        <v>30</v>
      </c>
      <c r="C142" s="2" t="s">
        <v>22</v>
      </c>
      <c r="D142" s="2">
        <v>35</v>
      </c>
      <c r="E142" s="3">
        <v>91751</v>
      </c>
      <c r="F142" s="2" t="s">
        <v>25</v>
      </c>
      <c r="G142" s="2" t="s">
        <v>14</v>
      </c>
    </row>
    <row r="143" spans="1:7">
      <c r="A143" s="2">
        <v>142</v>
      </c>
      <c r="B143" s="2" t="s">
        <v>72</v>
      </c>
      <c r="C143" s="2" t="s">
        <v>12</v>
      </c>
      <c r="D143" s="2">
        <v>49</v>
      </c>
      <c r="E143" s="3">
        <v>40733</v>
      </c>
      <c r="F143" s="2" t="s">
        <v>9</v>
      </c>
      <c r="G143" s="2" t="s">
        <v>23</v>
      </c>
    </row>
    <row r="144" spans="1:7">
      <c r="A144" s="2">
        <v>143</v>
      </c>
      <c r="B144" s="2" t="s">
        <v>61</v>
      </c>
      <c r="C144" s="2" t="s">
        <v>8</v>
      </c>
      <c r="D144" s="2">
        <v>3</v>
      </c>
      <c r="E144" s="3">
        <v>39716</v>
      </c>
      <c r="F144" s="2" t="s">
        <v>17</v>
      </c>
      <c r="G144" s="2" t="s">
        <v>18</v>
      </c>
    </row>
    <row r="145" spans="1:7">
      <c r="A145" s="2">
        <v>144</v>
      </c>
      <c r="B145" s="2" t="s">
        <v>51</v>
      </c>
      <c r="C145" s="2" t="s">
        <v>16</v>
      </c>
      <c r="D145" s="2">
        <v>49</v>
      </c>
      <c r="E145" s="3">
        <v>70187</v>
      </c>
      <c r="F145" s="2" t="s">
        <v>17</v>
      </c>
      <c r="G145" s="2" t="s">
        <v>26</v>
      </c>
    </row>
    <row r="146" spans="1:7">
      <c r="A146" s="2">
        <v>145</v>
      </c>
      <c r="B146" s="2" t="s">
        <v>15</v>
      </c>
      <c r="C146" s="2" t="s">
        <v>22</v>
      </c>
      <c r="D146" s="2">
        <v>47</v>
      </c>
      <c r="E146" s="3">
        <v>47401</v>
      </c>
      <c r="F146" s="2" t="s">
        <v>32</v>
      </c>
      <c r="G146" s="2" t="s">
        <v>29</v>
      </c>
    </row>
    <row r="147" spans="1:7">
      <c r="A147" s="2">
        <v>146</v>
      </c>
      <c r="B147" s="2" t="s">
        <v>81</v>
      </c>
      <c r="C147" s="2" t="s">
        <v>16</v>
      </c>
      <c r="D147" s="2">
        <v>29</v>
      </c>
      <c r="E147" s="3">
        <v>92848</v>
      </c>
      <c r="F147" s="2" t="s">
        <v>28</v>
      </c>
      <c r="G147" s="2" t="s">
        <v>18</v>
      </c>
    </row>
    <row r="148" spans="1:7">
      <c r="A148" s="2">
        <v>147</v>
      </c>
      <c r="B148" s="2" t="s">
        <v>63</v>
      </c>
      <c r="C148" s="2" t="s">
        <v>12</v>
      </c>
      <c r="D148" s="2">
        <v>35</v>
      </c>
      <c r="E148" s="3">
        <v>66070</v>
      </c>
      <c r="F148" s="2" t="s">
        <v>25</v>
      </c>
      <c r="G148" s="2" t="s">
        <v>29</v>
      </c>
    </row>
    <row r="149" spans="1:7">
      <c r="A149" s="2">
        <v>148</v>
      </c>
      <c r="B149" s="2" t="s">
        <v>19</v>
      </c>
      <c r="C149" s="2" t="s">
        <v>22</v>
      </c>
      <c r="D149" s="2">
        <v>14</v>
      </c>
      <c r="E149" s="3">
        <v>80936</v>
      </c>
      <c r="F149" s="2" t="s">
        <v>32</v>
      </c>
      <c r="G149" s="2" t="s">
        <v>29</v>
      </c>
    </row>
    <row r="150" spans="1:7">
      <c r="A150" s="2">
        <v>149</v>
      </c>
      <c r="B150" s="2" t="s">
        <v>68</v>
      </c>
      <c r="C150" s="2" t="s">
        <v>16</v>
      </c>
      <c r="D150" s="2">
        <v>28</v>
      </c>
      <c r="E150" s="3">
        <v>60649</v>
      </c>
      <c r="F150" s="2" t="s">
        <v>9</v>
      </c>
      <c r="G150" s="2" t="s">
        <v>18</v>
      </c>
    </row>
    <row r="151" spans="1:7">
      <c r="A151" s="2">
        <v>150</v>
      </c>
      <c r="B151" s="2" t="s">
        <v>69</v>
      </c>
      <c r="C151" s="2" t="s">
        <v>22</v>
      </c>
      <c r="D151" s="2">
        <v>7</v>
      </c>
      <c r="E151" s="3">
        <v>37395</v>
      </c>
      <c r="F151" s="2" t="s">
        <v>32</v>
      </c>
      <c r="G151" s="2" t="s">
        <v>18</v>
      </c>
    </row>
    <row r="152" spans="1:7">
      <c r="A152" s="2">
        <v>151</v>
      </c>
      <c r="B152" s="2" t="s">
        <v>72</v>
      </c>
      <c r="C152" s="2" t="s">
        <v>16</v>
      </c>
      <c r="D152" s="2">
        <v>48</v>
      </c>
      <c r="E152" s="3">
        <v>67138</v>
      </c>
      <c r="F152" s="2" t="s">
        <v>32</v>
      </c>
      <c r="G152" s="2" t="s">
        <v>23</v>
      </c>
    </row>
    <row r="153" spans="1:7">
      <c r="A153" s="2">
        <v>152</v>
      </c>
      <c r="B153" s="2" t="s">
        <v>75</v>
      </c>
      <c r="C153" s="2" t="s">
        <v>8</v>
      </c>
      <c r="D153" s="2">
        <v>42</v>
      </c>
      <c r="E153" s="3">
        <v>98941</v>
      </c>
      <c r="F153" s="2" t="s">
        <v>32</v>
      </c>
      <c r="G153" s="2" t="s">
        <v>18</v>
      </c>
    </row>
    <row r="154" spans="1:7">
      <c r="A154" s="2">
        <v>153</v>
      </c>
      <c r="B154" s="2" t="s">
        <v>87</v>
      </c>
      <c r="C154" s="2" t="s">
        <v>8</v>
      </c>
      <c r="D154" s="2">
        <v>49</v>
      </c>
      <c r="E154" s="3">
        <v>28134</v>
      </c>
      <c r="F154" s="2" t="s">
        <v>28</v>
      </c>
      <c r="G154" s="2" t="s">
        <v>10</v>
      </c>
    </row>
    <row r="155" spans="1:7">
      <c r="A155" s="2">
        <v>154</v>
      </c>
      <c r="B155" s="2" t="s">
        <v>85</v>
      </c>
      <c r="C155" s="2" t="s">
        <v>12</v>
      </c>
      <c r="D155" s="2">
        <v>16</v>
      </c>
      <c r="E155" s="3">
        <v>93947</v>
      </c>
      <c r="F155" s="2" t="s">
        <v>32</v>
      </c>
      <c r="G155" s="2" t="s">
        <v>26</v>
      </c>
    </row>
    <row r="156" spans="1:7">
      <c r="A156" s="2">
        <v>155</v>
      </c>
      <c r="B156" s="2" t="s">
        <v>71</v>
      </c>
      <c r="C156" s="2" t="s">
        <v>22</v>
      </c>
      <c r="D156" s="2">
        <v>20</v>
      </c>
      <c r="E156" s="3">
        <v>90093</v>
      </c>
      <c r="F156" s="2" t="s">
        <v>32</v>
      </c>
      <c r="G156" s="2" t="s">
        <v>14</v>
      </c>
    </row>
    <row r="157" spans="1:7">
      <c r="A157" s="2">
        <v>156</v>
      </c>
      <c r="B157" s="2" t="s">
        <v>69</v>
      </c>
      <c r="C157" s="2" t="s">
        <v>16</v>
      </c>
      <c r="D157" s="2">
        <v>3</v>
      </c>
      <c r="E157" s="3">
        <v>68509</v>
      </c>
      <c r="F157" s="2" t="s">
        <v>32</v>
      </c>
      <c r="G157" s="2" t="s">
        <v>18</v>
      </c>
    </row>
    <row r="158" spans="1:7">
      <c r="A158" s="2">
        <v>157</v>
      </c>
      <c r="B158" s="2" t="s">
        <v>88</v>
      </c>
      <c r="C158" s="2" t="s">
        <v>12</v>
      </c>
      <c r="D158" s="2">
        <v>29</v>
      </c>
      <c r="E158" s="3">
        <v>96428</v>
      </c>
      <c r="F158" s="2" t="s">
        <v>32</v>
      </c>
      <c r="G158" s="2" t="s">
        <v>29</v>
      </c>
    </row>
    <row r="159" spans="1:7">
      <c r="A159" s="2">
        <v>158</v>
      </c>
      <c r="B159" s="2" t="s">
        <v>89</v>
      </c>
      <c r="C159" s="2" t="s">
        <v>8</v>
      </c>
      <c r="D159" s="2">
        <v>17</v>
      </c>
      <c r="E159" s="3">
        <v>62641</v>
      </c>
      <c r="F159" s="2" t="s">
        <v>17</v>
      </c>
      <c r="G159" s="2" t="s">
        <v>29</v>
      </c>
    </row>
    <row r="160" spans="1:7">
      <c r="A160" s="2">
        <v>159</v>
      </c>
      <c r="B160" s="2" t="s">
        <v>27</v>
      </c>
      <c r="C160" s="2" t="s">
        <v>8</v>
      </c>
      <c r="D160" s="2">
        <v>23</v>
      </c>
      <c r="E160" s="3">
        <v>32831</v>
      </c>
      <c r="F160" s="2" t="s">
        <v>25</v>
      </c>
      <c r="G160" s="2" t="s">
        <v>18</v>
      </c>
    </row>
    <row r="161" spans="1:7">
      <c r="A161" s="2">
        <v>160</v>
      </c>
      <c r="B161" s="2" t="s">
        <v>48</v>
      </c>
      <c r="C161" s="2" t="s">
        <v>12</v>
      </c>
      <c r="D161" s="2">
        <v>6</v>
      </c>
      <c r="E161" s="3">
        <v>76091</v>
      </c>
      <c r="F161" s="2" t="s">
        <v>20</v>
      </c>
      <c r="G161" s="2" t="s">
        <v>14</v>
      </c>
    </row>
    <row r="162" spans="1:7">
      <c r="A162" s="2">
        <v>161</v>
      </c>
      <c r="B162" s="2" t="s">
        <v>55</v>
      </c>
      <c r="C162" s="2" t="s">
        <v>22</v>
      </c>
      <c r="D162" s="2">
        <v>29</v>
      </c>
      <c r="E162" s="3">
        <v>63718</v>
      </c>
      <c r="F162" s="2" t="s">
        <v>20</v>
      </c>
      <c r="G162" s="2" t="s">
        <v>14</v>
      </c>
    </row>
    <row r="163" spans="1:7">
      <c r="A163" s="2">
        <v>162</v>
      </c>
      <c r="B163" s="2" t="s">
        <v>37</v>
      </c>
      <c r="C163" s="2" t="s">
        <v>16</v>
      </c>
      <c r="D163" s="2">
        <v>8</v>
      </c>
      <c r="E163" s="3">
        <v>58159</v>
      </c>
      <c r="F163" s="2" t="s">
        <v>20</v>
      </c>
      <c r="G163" s="2" t="s">
        <v>23</v>
      </c>
    </row>
    <row r="164" spans="1:7">
      <c r="A164" s="2">
        <v>163</v>
      </c>
      <c r="B164" s="2" t="s">
        <v>36</v>
      </c>
      <c r="C164" s="2" t="s">
        <v>8</v>
      </c>
      <c r="D164" s="2">
        <v>50</v>
      </c>
      <c r="E164" s="3">
        <v>40952</v>
      </c>
      <c r="F164" s="2" t="s">
        <v>9</v>
      </c>
      <c r="G164" s="2" t="s">
        <v>23</v>
      </c>
    </row>
    <row r="165" spans="1:7">
      <c r="A165" s="2">
        <v>164</v>
      </c>
      <c r="B165" s="2" t="s">
        <v>19</v>
      </c>
      <c r="C165" s="2" t="s">
        <v>12</v>
      </c>
      <c r="D165" s="2">
        <v>16</v>
      </c>
      <c r="E165" s="3">
        <v>48902</v>
      </c>
      <c r="F165" s="2" t="s">
        <v>38</v>
      </c>
      <c r="G165" s="2" t="s">
        <v>23</v>
      </c>
    </row>
    <row r="166" spans="1:7">
      <c r="A166" s="2">
        <v>165</v>
      </c>
      <c r="B166" s="2" t="s">
        <v>90</v>
      </c>
      <c r="C166" s="2" t="s">
        <v>8</v>
      </c>
      <c r="D166" s="2">
        <v>14</v>
      </c>
      <c r="E166" s="3">
        <v>52021</v>
      </c>
      <c r="F166" s="2" t="s">
        <v>38</v>
      </c>
      <c r="G166" s="2" t="s">
        <v>14</v>
      </c>
    </row>
    <row r="167" spans="1:7">
      <c r="A167" s="2">
        <v>166</v>
      </c>
      <c r="B167" s="2" t="s">
        <v>58</v>
      </c>
      <c r="C167" s="2" t="s">
        <v>8</v>
      </c>
      <c r="D167" s="2">
        <v>48</v>
      </c>
      <c r="E167" s="3">
        <v>67975</v>
      </c>
      <c r="F167" s="2" t="s">
        <v>9</v>
      </c>
      <c r="G167" s="2" t="s">
        <v>29</v>
      </c>
    </row>
    <row r="168" spans="1:7">
      <c r="A168" s="2">
        <v>167</v>
      </c>
      <c r="B168" s="2" t="s">
        <v>51</v>
      </c>
      <c r="C168" s="2" t="s">
        <v>16</v>
      </c>
      <c r="D168" s="2">
        <v>38</v>
      </c>
      <c r="E168" s="3">
        <v>99278</v>
      </c>
      <c r="F168" s="2" t="s">
        <v>17</v>
      </c>
      <c r="G168" s="2" t="s">
        <v>23</v>
      </c>
    </row>
    <row r="169" spans="1:7">
      <c r="A169" s="2">
        <v>168</v>
      </c>
      <c r="B169" s="2" t="s">
        <v>73</v>
      </c>
      <c r="C169" s="2" t="s">
        <v>22</v>
      </c>
      <c r="D169" s="2">
        <v>45</v>
      </c>
      <c r="E169" s="3">
        <v>99881</v>
      </c>
      <c r="F169" s="2" t="s">
        <v>17</v>
      </c>
      <c r="G169" s="2" t="s">
        <v>18</v>
      </c>
    </row>
    <row r="170" spans="1:7">
      <c r="A170" s="2">
        <v>169</v>
      </c>
      <c r="B170" s="2" t="s">
        <v>51</v>
      </c>
      <c r="C170" s="2" t="s">
        <v>22</v>
      </c>
      <c r="D170" s="2">
        <v>23</v>
      </c>
      <c r="E170" s="3">
        <v>39851</v>
      </c>
      <c r="F170" s="2" t="s">
        <v>9</v>
      </c>
      <c r="G170" s="2" t="s">
        <v>23</v>
      </c>
    </row>
    <row r="171" spans="1:7">
      <c r="A171" s="2">
        <v>170</v>
      </c>
      <c r="B171" s="2" t="s">
        <v>57</v>
      </c>
      <c r="C171" s="2" t="s">
        <v>16</v>
      </c>
      <c r="D171" s="2">
        <v>46</v>
      </c>
      <c r="E171" s="3">
        <v>57598</v>
      </c>
      <c r="F171" s="2" t="s">
        <v>28</v>
      </c>
      <c r="G171" s="2" t="s">
        <v>18</v>
      </c>
    </row>
    <row r="172" spans="1:7">
      <c r="A172" s="2">
        <v>171</v>
      </c>
      <c r="B172" s="2" t="s">
        <v>91</v>
      </c>
      <c r="C172" s="2" t="s">
        <v>12</v>
      </c>
      <c r="D172" s="2">
        <v>40</v>
      </c>
      <c r="E172" s="3">
        <v>59472</v>
      </c>
      <c r="F172" s="2" t="s">
        <v>9</v>
      </c>
      <c r="G172" s="2" t="s">
        <v>18</v>
      </c>
    </row>
    <row r="173" spans="1:7">
      <c r="A173" s="2">
        <v>172</v>
      </c>
      <c r="B173" s="2" t="s">
        <v>68</v>
      </c>
      <c r="C173" s="2" t="s">
        <v>12</v>
      </c>
      <c r="D173" s="2">
        <v>41</v>
      </c>
      <c r="E173" s="3">
        <v>83041</v>
      </c>
      <c r="F173" s="2" t="s">
        <v>25</v>
      </c>
      <c r="G173" s="2" t="s">
        <v>29</v>
      </c>
    </row>
    <row r="174" spans="1:7">
      <c r="A174" s="2">
        <v>173</v>
      </c>
      <c r="B174" s="2" t="s">
        <v>88</v>
      </c>
      <c r="C174" s="2" t="s">
        <v>22</v>
      </c>
      <c r="D174" s="2">
        <v>28</v>
      </c>
      <c r="E174" s="3">
        <v>72013</v>
      </c>
      <c r="F174" s="2" t="s">
        <v>28</v>
      </c>
      <c r="G174" s="2" t="s">
        <v>26</v>
      </c>
    </row>
    <row r="175" spans="1:7">
      <c r="A175" s="2">
        <v>174</v>
      </c>
      <c r="B175" s="2" t="s">
        <v>61</v>
      </c>
      <c r="C175" s="2" t="s">
        <v>8</v>
      </c>
      <c r="D175" s="2">
        <v>11</v>
      </c>
      <c r="E175" s="3">
        <v>50120</v>
      </c>
      <c r="F175" s="2" t="s">
        <v>13</v>
      </c>
      <c r="G175" s="2" t="s">
        <v>18</v>
      </c>
    </row>
    <row r="176" spans="1:7">
      <c r="A176" s="2">
        <v>175</v>
      </c>
      <c r="B176" s="2" t="s">
        <v>24</v>
      </c>
      <c r="C176" s="2" t="s">
        <v>8</v>
      </c>
      <c r="D176" s="2">
        <v>40</v>
      </c>
      <c r="E176" s="3">
        <v>80386</v>
      </c>
      <c r="F176" s="2" t="s">
        <v>32</v>
      </c>
      <c r="G176" s="2" t="s">
        <v>23</v>
      </c>
    </row>
    <row r="177" spans="1:7">
      <c r="A177" s="2">
        <v>176</v>
      </c>
      <c r="B177" s="2" t="s">
        <v>15</v>
      </c>
      <c r="C177" s="2" t="s">
        <v>12</v>
      </c>
      <c r="D177" s="2">
        <v>9</v>
      </c>
      <c r="E177" s="3">
        <v>54810</v>
      </c>
      <c r="F177" s="2" t="s">
        <v>25</v>
      </c>
      <c r="G177" s="2" t="s">
        <v>29</v>
      </c>
    </row>
    <row r="178" spans="1:7">
      <c r="A178" s="2">
        <v>177</v>
      </c>
      <c r="B178" s="2" t="s">
        <v>81</v>
      </c>
      <c r="C178" s="2" t="s">
        <v>16</v>
      </c>
      <c r="D178" s="2">
        <v>14</v>
      </c>
      <c r="E178" s="3">
        <v>54102</v>
      </c>
      <c r="F178" s="2" t="s">
        <v>38</v>
      </c>
      <c r="G178" s="2" t="s">
        <v>29</v>
      </c>
    </row>
    <row r="179" spans="1:7">
      <c r="A179" s="2">
        <v>178</v>
      </c>
      <c r="B179" s="2" t="s">
        <v>90</v>
      </c>
      <c r="C179" s="2" t="s">
        <v>8</v>
      </c>
      <c r="D179" s="2">
        <v>14</v>
      </c>
      <c r="E179" s="3">
        <v>51592</v>
      </c>
      <c r="F179" s="2" t="s">
        <v>13</v>
      </c>
      <c r="G179" s="2" t="s">
        <v>14</v>
      </c>
    </row>
    <row r="180" spans="1:7">
      <c r="A180" s="2">
        <v>179</v>
      </c>
      <c r="B180" s="2" t="s">
        <v>82</v>
      </c>
      <c r="C180" s="2" t="s">
        <v>12</v>
      </c>
      <c r="D180" s="2">
        <v>4</v>
      </c>
      <c r="E180" s="3">
        <v>85527</v>
      </c>
      <c r="F180" s="2" t="s">
        <v>9</v>
      </c>
      <c r="G180" s="2" t="s">
        <v>18</v>
      </c>
    </row>
    <row r="181" spans="1:7">
      <c r="A181" s="2">
        <v>180</v>
      </c>
      <c r="B181" s="2" t="s">
        <v>19</v>
      </c>
      <c r="C181" s="2" t="s">
        <v>16</v>
      </c>
      <c r="D181" s="2">
        <v>37</v>
      </c>
      <c r="E181" s="3">
        <v>44533</v>
      </c>
      <c r="F181" s="2" t="s">
        <v>38</v>
      </c>
      <c r="G181" s="2" t="s">
        <v>23</v>
      </c>
    </row>
    <row r="182" spans="1:7">
      <c r="A182" s="2">
        <v>181</v>
      </c>
      <c r="B182" s="2" t="s">
        <v>81</v>
      </c>
      <c r="C182" s="2" t="s">
        <v>22</v>
      </c>
      <c r="D182" s="2">
        <v>23</v>
      </c>
      <c r="E182" s="3">
        <v>63058</v>
      </c>
      <c r="F182" s="2" t="s">
        <v>17</v>
      </c>
      <c r="G182" s="2" t="s">
        <v>18</v>
      </c>
    </row>
    <row r="183" spans="1:7">
      <c r="A183" s="2">
        <v>182</v>
      </c>
      <c r="B183" s="2" t="s">
        <v>64</v>
      </c>
      <c r="C183" s="2" t="s">
        <v>16</v>
      </c>
      <c r="D183" s="2">
        <v>35</v>
      </c>
      <c r="E183" s="3">
        <v>38871</v>
      </c>
      <c r="F183" s="2" t="s">
        <v>13</v>
      </c>
      <c r="G183" s="2" t="s">
        <v>23</v>
      </c>
    </row>
    <row r="184" spans="1:7">
      <c r="A184" s="2">
        <v>183</v>
      </c>
      <c r="B184" s="2" t="s">
        <v>15</v>
      </c>
      <c r="C184" s="2" t="s">
        <v>22</v>
      </c>
      <c r="D184" s="2">
        <v>18</v>
      </c>
      <c r="E184" s="3">
        <v>80593</v>
      </c>
      <c r="F184" s="2" t="s">
        <v>25</v>
      </c>
      <c r="G184" s="2" t="s">
        <v>10</v>
      </c>
    </row>
    <row r="185" spans="1:7">
      <c r="A185" s="2">
        <v>184</v>
      </c>
      <c r="B185" s="2" t="s">
        <v>82</v>
      </c>
      <c r="C185" s="2" t="s">
        <v>12</v>
      </c>
      <c r="D185" s="2">
        <v>39</v>
      </c>
      <c r="E185" s="3">
        <v>43935</v>
      </c>
      <c r="F185" s="2" t="s">
        <v>9</v>
      </c>
      <c r="G185" s="2" t="s">
        <v>14</v>
      </c>
    </row>
    <row r="186" spans="1:7">
      <c r="A186" s="2">
        <v>185</v>
      </c>
      <c r="B186" s="2" t="s">
        <v>92</v>
      </c>
      <c r="C186" s="2" t="s">
        <v>16</v>
      </c>
      <c r="D186" s="2">
        <v>35</v>
      </c>
      <c r="E186" s="3">
        <v>38057</v>
      </c>
      <c r="F186" s="2" t="s">
        <v>20</v>
      </c>
      <c r="G186" s="2" t="s">
        <v>29</v>
      </c>
    </row>
    <row r="187" spans="1:7">
      <c r="A187" s="2">
        <v>186</v>
      </c>
      <c r="B187" s="2" t="s">
        <v>73</v>
      </c>
      <c r="C187" s="2" t="s">
        <v>12</v>
      </c>
      <c r="D187" s="2">
        <v>11</v>
      </c>
      <c r="E187" s="3">
        <v>72444</v>
      </c>
      <c r="F187" s="2" t="s">
        <v>9</v>
      </c>
      <c r="G187" s="2" t="s">
        <v>14</v>
      </c>
    </row>
    <row r="188" spans="1:7">
      <c r="A188" s="2">
        <v>187</v>
      </c>
      <c r="B188" s="2" t="s">
        <v>81</v>
      </c>
      <c r="C188" s="2" t="s">
        <v>22</v>
      </c>
      <c r="D188" s="2">
        <v>21</v>
      </c>
      <c r="E188" s="3">
        <v>92351</v>
      </c>
      <c r="F188" s="2" t="s">
        <v>17</v>
      </c>
      <c r="G188" s="2" t="s">
        <v>10</v>
      </c>
    </row>
    <row r="189" spans="1:7">
      <c r="A189" s="2">
        <v>188</v>
      </c>
      <c r="B189" s="2" t="s">
        <v>73</v>
      </c>
      <c r="C189" s="2" t="s">
        <v>8</v>
      </c>
      <c r="D189" s="2">
        <v>46</v>
      </c>
      <c r="E189" s="3">
        <v>33600</v>
      </c>
      <c r="F189" s="2" t="s">
        <v>38</v>
      </c>
      <c r="G189" s="2" t="s">
        <v>26</v>
      </c>
    </row>
    <row r="190" spans="1:7">
      <c r="A190" s="2">
        <v>189</v>
      </c>
      <c r="B190" s="2" t="s">
        <v>27</v>
      </c>
      <c r="C190" s="2" t="s">
        <v>8</v>
      </c>
      <c r="D190" s="2">
        <v>19</v>
      </c>
      <c r="E190" s="3">
        <v>70785</v>
      </c>
      <c r="F190" s="2" t="s">
        <v>38</v>
      </c>
      <c r="G190" s="2" t="s">
        <v>14</v>
      </c>
    </row>
    <row r="191" spans="1:7">
      <c r="A191" s="2">
        <v>190</v>
      </c>
      <c r="B191" s="2" t="s">
        <v>80</v>
      </c>
      <c r="C191" s="2" t="s">
        <v>22</v>
      </c>
      <c r="D191" s="2">
        <v>19</v>
      </c>
      <c r="E191" s="3">
        <v>70172</v>
      </c>
      <c r="F191" s="2" t="s">
        <v>32</v>
      </c>
      <c r="G191" s="2" t="s">
        <v>14</v>
      </c>
    </row>
    <row r="192" spans="1:7">
      <c r="A192" s="2">
        <v>191</v>
      </c>
      <c r="B192" s="2" t="s">
        <v>21</v>
      </c>
      <c r="C192" s="2" t="s">
        <v>8</v>
      </c>
      <c r="D192" s="2">
        <v>37</v>
      </c>
      <c r="E192" s="3">
        <v>63485</v>
      </c>
      <c r="F192" s="2" t="s">
        <v>13</v>
      </c>
      <c r="G192" s="2" t="s">
        <v>10</v>
      </c>
    </row>
    <row r="193" spans="1:7">
      <c r="A193" s="2">
        <v>192</v>
      </c>
      <c r="B193" s="2" t="s">
        <v>27</v>
      </c>
      <c r="C193" s="2" t="s">
        <v>8</v>
      </c>
      <c r="D193" s="2">
        <v>18</v>
      </c>
      <c r="E193" s="3">
        <v>25687</v>
      </c>
      <c r="F193" s="2" t="s">
        <v>20</v>
      </c>
      <c r="G193" s="2" t="s">
        <v>14</v>
      </c>
    </row>
    <row r="194" spans="1:7">
      <c r="A194" s="2">
        <v>193</v>
      </c>
      <c r="B194" s="2" t="s">
        <v>48</v>
      </c>
      <c r="C194" s="2" t="s">
        <v>16</v>
      </c>
      <c r="D194" s="2">
        <v>33</v>
      </c>
      <c r="E194" s="3">
        <v>56913</v>
      </c>
      <c r="F194" s="2" t="s">
        <v>17</v>
      </c>
      <c r="G194" s="2" t="s">
        <v>14</v>
      </c>
    </row>
    <row r="195" spans="1:7">
      <c r="A195" s="2">
        <v>194</v>
      </c>
      <c r="B195" s="2" t="s">
        <v>76</v>
      </c>
      <c r="C195" s="2" t="s">
        <v>16</v>
      </c>
      <c r="D195" s="2">
        <v>44</v>
      </c>
      <c r="E195" s="3">
        <v>80258</v>
      </c>
      <c r="F195" s="2" t="s">
        <v>17</v>
      </c>
      <c r="G195" s="2" t="s">
        <v>10</v>
      </c>
    </row>
    <row r="196" spans="1:7">
      <c r="A196" s="2">
        <v>195</v>
      </c>
      <c r="B196" s="2" t="s">
        <v>90</v>
      </c>
      <c r="C196" s="2" t="s">
        <v>8</v>
      </c>
      <c r="D196" s="2">
        <v>7</v>
      </c>
      <c r="E196" s="3">
        <v>98948</v>
      </c>
      <c r="F196" s="2" t="s">
        <v>28</v>
      </c>
      <c r="G196" s="2" t="s">
        <v>10</v>
      </c>
    </row>
    <row r="197" spans="1:7">
      <c r="A197" s="2">
        <v>196</v>
      </c>
      <c r="B197" s="2" t="s">
        <v>39</v>
      </c>
      <c r="C197" s="2" t="s">
        <v>16</v>
      </c>
      <c r="D197" s="2">
        <v>9</v>
      </c>
      <c r="E197" s="3">
        <v>49380</v>
      </c>
      <c r="F197" s="2" t="s">
        <v>25</v>
      </c>
      <c r="G197" s="2" t="s">
        <v>29</v>
      </c>
    </row>
    <row r="198" spans="1:7">
      <c r="A198" s="2">
        <v>197</v>
      </c>
      <c r="B198" s="2" t="s">
        <v>19</v>
      </c>
      <c r="C198" s="2" t="s">
        <v>22</v>
      </c>
      <c r="D198" s="2">
        <v>49</v>
      </c>
      <c r="E198" s="3">
        <v>96080</v>
      </c>
      <c r="F198" s="2" t="s">
        <v>28</v>
      </c>
      <c r="G198" s="2" t="s">
        <v>26</v>
      </c>
    </row>
    <row r="199" spans="1:7">
      <c r="A199" s="2">
        <v>198</v>
      </c>
      <c r="B199" s="2" t="s">
        <v>33</v>
      </c>
      <c r="C199" s="2" t="s">
        <v>16</v>
      </c>
      <c r="D199" s="2">
        <v>27</v>
      </c>
      <c r="E199" s="3">
        <v>61805</v>
      </c>
      <c r="F199" s="2" t="s">
        <v>32</v>
      </c>
      <c r="G199" s="2" t="s">
        <v>23</v>
      </c>
    </row>
    <row r="200" spans="1:7">
      <c r="A200" s="2">
        <v>199</v>
      </c>
      <c r="B200" s="2" t="s">
        <v>21</v>
      </c>
      <c r="C200" s="2" t="s">
        <v>16</v>
      </c>
      <c r="D200" s="2">
        <v>4</v>
      </c>
      <c r="E200" s="3">
        <v>57181</v>
      </c>
      <c r="F200" s="2" t="s">
        <v>28</v>
      </c>
      <c r="G200" s="2" t="s">
        <v>23</v>
      </c>
    </row>
    <row r="201" spans="1:7">
      <c r="A201" s="2">
        <v>200</v>
      </c>
      <c r="B201" s="2" t="s">
        <v>76</v>
      </c>
      <c r="C201" s="2" t="s">
        <v>16</v>
      </c>
      <c r="D201" s="2">
        <v>18</v>
      </c>
      <c r="E201" s="3">
        <v>94661</v>
      </c>
      <c r="F201" s="2" t="s">
        <v>9</v>
      </c>
      <c r="G201" s="2" t="s">
        <v>26</v>
      </c>
    </row>
    <row r="202" spans="1:7">
      <c r="A202" s="2">
        <v>201</v>
      </c>
      <c r="B202" s="2" t="s">
        <v>7</v>
      </c>
      <c r="C202" s="2" t="s">
        <v>12</v>
      </c>
      <c r="D202" s="2">
        <v>42</v>
      </c>
      <c r="E202" s="3">
        <v>57117</v>
      </c>
      <c r="F202" s="2" t="s">
        <v>17</v>
      </c>
      <c r="G202" s="2" t="s">
        <v>26</v>
      </c>
    </row>
    <row r="203" spans="1:7">
      <c r="A203" s="2">
        <v>202</v>
      </c>
      <c r="B203" s="2" t="s">
        <v>45</v>
      </c>
      <c r="C203" s="2" t="s">
        <v>22</v>
      </c>
      <c r="D203" s="2">
        <v>9</v>
      </c>
      <c r="E203" s="3">
        <v>92239</v>
      </c>
      <c r="F203" s="2" t="s">
        <v>17</v>
      </c>
      <c r="G203" s="2" t="s">
        <v>26</v>
      </c>
    </row>
    <row r="204" spans="1:7">
      <c r="A204" s="2">
        <v>203</v>
      </c>
      <c r="B204" s="2" t="s">
        <v>42</v>
      </c>
      <c r="C204" s="2" t="s">
        <v>8</v>
      </c>
      <c r="D204" s="2">
        <v>45</v>
      </c>
      <c r="E204" s="3">
        <v>99016</v>
      </c>
      <c r="F204" s="2" t="s">
        <v>25</v>
      </c>
      <c r="G204" s="2" t="s">
        <v>10</v>
      </c>
    </row>
    <row r="205" spans="1:7">
      <c r="A205" s="2">
        <v>204</v>
      </c>
      <c r="B205" s="2" t="s">
        <v>58</v>
      </c>
      <c r="C205" s="2" t="s">
        <v>8</v>
      </c>
      <c r="D205" s="2">
        <v>9</v>
      </c>
      <c r="E205" s="3">
        <v>98275</v>
      </c>
      <c r="F205" s="2" t="s">
        <v>9</v>
      </c>
      <c r="G205" s="2" t="s">
        <v>23</v>
      </c>
    </row>
    <row r="206" spans="1:7">
      <c r="A206" s="2">
        <v>205</v>
      </c>
      <c r="B206" s="2" t="s">
        <v>35</v>
      </c>
      <c r="C206" s="2" t="s">
        <v>12</v>
      </c>
      <c r="D206" s="2">
        <v>16</v>
      </c>
      <c r="E206" s="3">
        <v>87305</v>
      </c>
      <c r="F206" s="2" t="s">
        <v>13</v>
      </c>
      <c r="G206" s="2" t="s">
        <v>18</v>
      </c>
    </row>
    <row r="207" spans="1:7">
      <c r="A207" s="2">
        <v>206</v>
      </c>
      <c r="B207" s="2" t="s">
        <v>69</v>
      </c>
      <c r="C207" s="2" t="s">
        <v>16</v>
      </c>
      <c r="D207" s="2">
        <v>10</v>
      </c>
      <c r="E207" s="3">
        <v>54003</v>
      </c>
      <c r="F207" s="2" t="s">
        <v>32</v>
      </c>
      <c r="G207" s="2" t="s">
        <v>18</v>
      </c>
    </row>
    <row r="208" spans="1:7">
      <c r="A208" s="2">
        <v>207</v>
      </c>
      <c r="B208" s="2" t="s">
        <v>27</v>
      </c>
      <c r="C208" s="2" t="s">
        <v>22</v>
      </c>
      <c r="D208" s="2">
        <v>46</v>
      </c>
      <c r="E208" s="3">
        <v>75129</v>
      </c>
      <c r="F208" s="2" t="s">
        <v>13</v>
      </c>
      <c r="G208" s="2" t="s">
        <v>18</v>
      </c>
    </row>
    <row r="209" spans="1:7">
      <c r="A209" s="2">
        <v>208</v>
      </c>
      <c r="B209" s="2" t="s">
        <v>39</v>
      </c>
      <c r="C209" s="2" t="s">
        <v>22</v>
      </c>
      <c r="D209" s="2">
        <v>21</v>
      </c>
      <c r="E209" s="3">
        <v>67432</v>
      </c>
      <c r="F209" s="2" t="s">
        <v>17</v>
      </c>
      <c r="G209" s="2" t="s">
        <v>29</v>
      </c>
    </row>
    <row r="210" spans="1:7">
      <c r="A210" s="2">
        <v>209</v>
      </c>
      <c r="B210" s="2" t="s">
        <v>42</v>
      </c>
      <c r="C210" s="2" t="s">
        <v>8</v>
      </c>
      <c r="D210" s="2">
        <v>16</v>
      </c>
      <c r="E210" s="3">
        <v>89967</v>
      </c>
      <c r="F210" s="2" t="s">
        <v>17</v>
      </c>
      <c r="G210" s="2" t="s">
        <v>26</v>
      </c>
    </row>
    <row r="211" spans="1:7">
      <c r="A211" s="2">
        <v>210</v>
      </c>
      <c r="B211" s="2" t="s">
        <v>62</v>
      </c>
      <c r="C211" s="2" t="s">
        <v>12</v>
      </c>
      <c r="D211" s="2">
        <v>49</v>
      </c>
      <c r="E211" s="3">
        <v>67295</v>
      </c>
      <c r="F211" s="2" t="s">
        <v>13</v>
      </c>
      <c r="G211" s="2" t="s">
        <v>26</v>
      </c>
    </row>
    <row r="212" spans="1:7">
      <c r="A212" s="2">
        <v>211</v>
      </c>
      <c r="B212" s="2" t="s">
        <v>78</v>
      </c>
      <c r="C212" s="2" t="s">
        <v>12</v>
      </c>
      <c r="D212" s="2">
        <v>44</v>
      </c>
      <c r="E212" s="3">
        <v>85230</v>
      </c>
      <c r="F212" s="2" t="s">
        <v>28</v>
      </c>
      <c r="G212" s="2" t="s">
        <v>23</v>
      </c>
    </row>
    <row r="213" spans="1:7">
      <c r="A213" s="2">
        <v>212</v>
      </c>
      <c r="B213" s="2" t="s">
        <v>42</v>
      </c>
      <c r="C213" s="2" t="s">
        <v>12</v>
      </c>
      <c r="D213" s="2">
        <v>26</v>
      </c>
      <c r="E213" s="3">
        <v>77228</v>
      </c>
      <c r="F213" s="2" t="s">
        <v>9</v>
      </c>
      <c r="G213" s="2" t="s">
        <v>14</v>
      </c>
    </row>
    <row r="214" spans="1:7">
      <c r="A214" s="2">
        <v>213</v>
      </c>
      <c r="B214" s="2" t="s">
        <v>39</v>
      </c>
      <c r="C214" s="2" t="s">
        <v>12</v>
      </c>
      <c r="D214" s="2">
        <v>32</v>
      </c>
      <c r="E214" s="3">
        <v>43097</v>
      </c>
      <c r="F214" s="2" t="s">
        <v>25</v>
      </c>
      <c r="G214" s="2" t="s">
        <v>10</v>
      </c>
    </row>
    <row r="215" spans="1:7">
      <c r="A215" s="2">
        <v>214</v>
      </c>
      <c r="B215" s="2" t="s">
        <v>91</v>
      </c>
      <c r="C215" s="2" t="s">
        <v>22</v>
      </c>
      <c r="D215" s="2">
        <v>10</v>
      </c>
      <c r="E215" s="3">
        <v>45479</v>
      </c>
      <c r="F215" s="2" t="s">
        <v>25</v>
      </c>
      <c r="G215" s="2" t="s">
        <v>23</v>
      </c>
    </row>
    <row r="216" spans="1:7">
      <c r="A216" s="2">
        <v>215</v>
      </c>
      <c r="B216" s="2" t="s">
        <v>93</v>
      </c>
      <c r="C216" s="2" t="s">
        <v>16</v>
      </c>
      <c r="D216" s="2">
        <v>37</v>
      </c>
      <c r="E216" s="3">
        <v>55706</v>
      </c>
      <c r="F216" s="2" t="s">
        <v>32</v>
      </c>
      <c r="G216" s="2" t="s">
        <v>29</v>
      </c>
    </row>
    <row r="217" spans="1:7">
      <c r="A217" s="2">
        <v>216</v>
      </c>
      <c r="B217" s="2" t="s">
        <v>63</v>
      </c>
      <c r="C217" s="2" t="s">
        <v>8</v>
      </c>
      <c r="D217" s="2">
        <v>41</v>
      </c>
      <c r="E217" s="3">
        <v>68832</v>
      </c>
      <c r="F217" s="2" t="s">
        <v>20</v>
      </c>
      <c r="G217" s="2" t="s">
        <v>14</v>
      </c>
    </row>
    <row r="218" spans="1:7">
      <c r="A218" s="2">
        <v>217</v>
      </c>
      <c r="B218" s="2" t="s">
        <v>78</v>
      </c>
      <c r="C218" s="2" t="s">
        <v>22</v>
      </c>
      <c r="D218" s="2">
        <v>18</v>
      </c>
      <c r="E218" s="3">
        <v>52662</v>
      </c>
      <c r="F218" s="2" t="s">
        <v>28</v>
      </c>
      <c r="G218" s="2" t="s">
        <v>26</v>
      </c>
    </row>
    <row r="219" spans="1:7">
      <c r="A219" s="2">
        <v>218</v>
      </c>
      <c r="B219" s="2" t="s">
        <v>42</v>
      </c>
      <c r="C219" s="2" t="s">
        <v>12</v>
      </c>
      <c r="D219" s="2">
        <v>41</v>
      </c>
      <c r="E219" s="3">
        <v>73970</v>
      </c>
      <c r="F219" s="2" t="s">
        <v>32</v>
      </c>
      <c r="G219" s="2" t="s">
        <v>10</v>
      </c>
    </row>
    <row r="220" spans="1:7">
      <c r="A220" s="2">
        <v>219</v>
      </c>
      <c r="B220" s="2" t="s">
        <v>94</v>
      </c>
      <c r="C220" s="2" t="s">
        <v>12</v>
      </c>
      <c r="D220" s="2">
        <v>27</v>
      </c>
      <c r="E220" s="3">
        <v>72256</v>
      </c>
      <c r="F220" s="2" t="s">
        <v>13</v>
      </c>
      <c r="G220" s="2" t="s">
        <v>14</v>
      </c>
    </row>
    <row r="221" spans="1:7">
      <c r="A221" s="2">
        <v>220</v>
      </c>
      <c r="B221" s="2" t="s">
        <v>79</v>
      </c>
      <c r="C221" s="2" t="s">
        <v>8</v>
      </c>
      <c r="D221" s="2">
        <v>25</v>
      </c>
      <c r="E221" s="3">
        <v>33476</v>
      </c>
      <c r="F221" s="2" t="s">
        <v>13</v>
      </c>
      <c r="G221" s="2" t="s">
        <v>10</v>
      </c>
    </row>
    <row r="222" spans="1:7">
      <c r="A222" s="2">
        <v>221</v>
      </c>
      <c r="B222" s="2" t="s">
        <v>19</v>
      </c>
      <c r="C222" s="2" t="s">
        <v>16</v>
      </c>
      <c r="D222" s="2">
        <v>29</v>
      </c>
      <c r="E222" s="3">
        <v>46064</v>
      </c>
      <c r="F222" s="2" t="s">
        <v>32</v>
      </c>
      <c r="G222" s="2" t="s">
        <v>18</v>
      </c>
    </row>
    <row r="223" spans="1:7">
      <c r="A223" s="2">
        <v>222</v>
      </c>
      <c r="B223" s="2" t="s">
        <v>51</v>
      </c>
      <c r="C223" s="2" t="s">
        <v>16</v>
      </c>
      <c r="D223" s="2">
        <v>5</v>
      </c>
      <c r="E223" s="3">
        <v>98433</v>
      </c>
      <c r="F223" s="2" t="s">
        <v>25</v>
      </c>
      <c r="G223" s="2" t="s">
        <v>26</v>
      </c>
    </row>
    <row r="224" spans="1:7">
      <c r="A224" s="2">
        <v>223</v>
      </c>
      <c r="B224" s="2" t="s">
        <v>65</v>
      </c>
      <c r="C224" s="2" t="s">
        <v>16</v>
      </c>
      <c r="D224" s="2">
        <v>41</v>
      </c>
      <c r="E224" s="3">
        <v>29662</v>
      </c>
      <c r="F224" s="2" t="s">
        <v>25</v>
      </c>
      <c r="G224" s="2" t="s">
        <v>26</v>
      </c>
    </row>
    <row r="225" spans="1:7">
      <c r="A225" s="2">
        <v>224</v>
      </c>
      <c r="B225" s="2" t="s">
        <v>59</v>
      </c>
      <c r="C225" s="2" t="s">
        <v>12</v>
      </c>
      <c r="D225" s="2">
        <v>50</v>
      </c>
      <c r="E225" s="3">
        <v>90387</v>
      </c>
      <c r="F225" s="2" t="s">
        <v>9</v>
      </c>
      <c r="G225" s="2" t="s">
        <v>26</v>
      </c>
    </row>
    <row r="226" spans="1:7">
      <c r="A226" s="2">
        <v>225</v>
      </c>
      <c r="B226" s="2" t="s">
        <v>69</v>
      </c>
      <c r="C226" s="2" t="s">
        <v>22</v>
      </c>
      <c r="D226" s="2">
        <v>6</v>
      </c>
      <c r="E226" s="3">
        <v>26501</v>
      </c>
      <c r="F226" s="2" t="s">
        <v>38</v>
      </c>
      <c r="G226" s="2" t="s">
        <v>10</v>
      </c>
    </row>
    <row r="227" spans="1:7">
      <c r="A227" s="2">
        <v>226</v>
      </c>
      <c r="B227" s="2" t="s">
        <v>74</v>
      </c>
      <c r="C227" s="2" t="s">
        <v>22</v>
      </c>
      <c r="D227" s="2">
        <v>26</v>
      </c>
      <c r="E227" s="3">
        <v>48383</v>
      </c>
      <c r="F227" s="2" t="s">
        <v>25</v>
      </c>
      <c r="G227" s="2" t="s">
        <v>10</v>
      </c>
    </row>
    <row r="228" spans="1:7">
      <c r="A228" s="2">
        <v>227</v>
      </c>
      <c r="B228" s="2" t="s">
        <v>41</v>
      </c>
      <c r="C228" s="2" t="s">
        <v>16</v>
      </c>
      <c r="D228" s="2">
        <v>33</v>
      </c>
      <c r="E228" s="3">
        <v>52838</v>
      </c>
      <c r="F228" s="2" t="s">
        <v>13</v>
      </c>
      <c r="G228" s="2" t="s">
        <v>29</v>
      </c>
    </row>
    <row r="229" spans="1:7">
      <c r="A229" s="2">
        <v>228</v>
      </c>
      <c r="B229" s="2" t="s">
        <v>94</v>
      </c>
      <c r="C229" s="2" t="s">
        <v>8</v>
      </c>
      <c r="D229" s="2">
        <v>48</v>
      </c>
      <c r="E229" s="3">
        <v>57828</v>
      </c>
      <c r="F229" s="2" t="s">
        <v>9</v>
      </c>
      <c r="G229" s="2" t="s">
        <v>29</v>
      </c>
    </row>
    <row r="230" spans="1:7">
      <c r="A230" s="2">
        <v>229</v>
      </c>
      <c r="B230" s="2" t="s">
        <v>89</v>
      </c>
      <c r="C230" s="2" t="s">
        <v>16</v>
      </c>
      <c r="D230" s="2">
        <v>18</v>
      </c>
      <c r="E230" s="3">
        <v>25084</v>
      </c>
      <c r="F230" s="2" t="s">
        <v>25</v>
      </c>
      <c r="G230" s="2" t="s">
        <v>29</v>
      </c>
    </row>
    <row r="231" spans="1:7">
      <c r="A231" s="2">
        <v>230</v>
      </c>
      <c r="B231" s="2" t="s">
        <v>7</v>
      </c>
      <c r="C231" s="2" t="s">
        <v>16</v>
      </c>
      <c r="D231" s="2">
        <v>45</v>
      </c>
      <c r="E231" s="3">
        <v>68863</v>
      </c>
      <c r="F231" s="2" t="s">
        <v>17</v>
      </c>
      <c r="G231" s="2" t="s">
        <v>23</v>
      </c>
    </row>
    <row r="232" spans="1:7">
      <c r="A232" s="2">
        <v>231</v>
      </c>
      <c r="B232" s="2" t="s">
        <v>11</v>
      </c>
      <c r="C232" s="2" t="s">
        <v>8</v>
      </c>
      <c r="D232" s="2">
        <v>24</v>
      </c>
      <c r="E232" s="3">
        <v>50227</v>
      </c>
      <c r="F232" s="2" t="s">
        <v>9</v>
      </c>
      <c r="G232" s="2" t="s">
        <v>18</v>
      </c>
    </row>
    <row r="233" spans="1:7">
      <c r="A233" s="2">
        <v>232</v>
      </c>
      <c r="B233" s="2" t="s">
        <v>34</v>
      </c>
      <c r="C233" s="2" t="s">
        <v>16</v>
      </c>
      <c r="D233" s="2">
        <v>30</v>
      </c>
      <c r="E233" s="3">
        <v>82825</v>
      </c>
      <c r="F233" s="2" t="s">
        <v>28</v>
      </c>
      <c r="G233" s="2" t="s">
        <v>18</v>
      </c>
    </row>
    <row r="234" spans="1:7">
      <c r="A234" s="2">
        <v>233</v>
      </c>
      <c r="B234" s="2" t="s">
        <v>77</v>
      </c>
      <c r="C234" s="2" t="s">
        <v>8</v>
      </c>
      <c r="D234" s="2">
        <v>32</v>
      </c>
      <c r="E234" s="3">
        <v>38080</v>
      </c>
      <c r="F234" s="2" t="s">
        <v>28</v>
      </c>
      <c r="G234" s="2" t="s">
        <v>10</v>
      </c>
    </row>
    <row r="235" spans="1:7">
      <c r="A235" s="2">
        <v>234</v>
      </c>
      <c r="B235" s="2" t="s">
        <v>58</v>
      </c>
      <c r="C235" s="2" t="s">
        <v>8</v>
      </c>
      <c r="D235" s="2">
        <v>21</v>
      </c>
      <c r="E235" s="3">
        <v>42649</v>
      </c>
      <c r="F235" s="2" t="s">
        <v>38</v>
      </c>
      <c r="G235" s="2" t="s">
        <v>29</v>
      </c>
    </row>
    <row r="236" spans="1:7">
      <c r="A236" s="2">
        <v>235</v>
      </c>
      <c r="B236" s="2" t="s">
        <v>66</v>
      </c>
      <c r="C236" s="2" t="s">
        <v>22</v>
      </c>
      <c r="D236" s="2">
        <v>38</v>
      </c>
      <c r="E236" s="3">
        <v>56502</v>
      </c>
      <c r="F236" s="2" t="s">
        <v>13</v>
      </c>
      <c r="G236" s="2" t="s">
        <v>26</v>
      </c>
    </row>
    <row r="237" spans="1:7">
      <c r="A237" s="2">
        <v>236</v>
      </c>
      <c r="B237" s="2" t="s">
        <v>19</v>
      </c>
      <c r="C237" s="2" t="s">
        <v>8</v>
      </c>
      <c r="D237" s="2">
        <v>1</v>
      </c>
      <c r="E237" s="3">
        <v>78599</v>
      </c>
      <c r="F237" s="2" t="s">
        <v>20</v>
      </c>
      <c r="G237" s="2" t="s">
        <v>26</v>
      </c>
    </row>
    <row r="238" spans="1:7">
      <c r="A238" s="2">
        <v>237</v>
      </c>
      <c r="B238" s="2" t="s">
        <v>21</v>
      </c>
      <c r="C238" s="2" t="s">
        <v>16</v>
      </c>
      <c r="D238" s="2">
        <v>50</v>
      </c>
      <c r="E238" s="3">
        <v>27824</v>
      </c>
      <c r="F238" s="2" t="s">
        <v>25</v>
      </c>
      <c r="G238" s="2" t="s">
        <v>18</v>
      </c>
    </row>
    <row r="239" spans="1:7">
      <c r="A239" s="2">
        <v>238</v>
      </c>
      <c r="B239" s="2" t="s">
        <v>61</v>
      </c>
      <c r="C239" s="2" t="s">
        <v>8</v>
      </c>
      <c r="D239" s="2">
        <v>47</v>
      </c>
      <c r="E239" s="3">
        <v>25018</v>
      </c>
      <c r="F239" s="2" t="s">
        <v>38</v>
      </c>
      <c r="G239" s="2" t="s">
        <v>18</v>
      </c>
    </row>
    <row r="240" spans="1:7">
      <c r="A240" s="2">
        <v>239</v>
      </c>
      <c r="B240" s="2" t="s">
        <v>88</v>
      </c>
      <c r="C240" s="2" t="s">
        <v>16</v>
      </c>
      <c r="D240" s="2">
        <v>6</v>
      </c>
      <c r="E240" s="3">
        <v>90932</v>
      </c>
      <c r="F240" s="2" t="s">
        <v>32</v>
      </c>
      <c r="G240" s="2" t="s">
        <v>10</v>
      </c>
    </row>
    <row r="241" spans="1:7">
      <c r="A241" s="2">
        <v>240</v>
      </c>
      <c r="B241" s="2" t="s">
        <v>24</v>
      </c>
      <c r="C241" s="2" t="s">
        <v>8</v>
      </c>
      <c r="D241" s="2">
        <v>47</v>
      </c>
      <c r="E241" s="3">
        <v>32893</v>
      </c>
      <c r="F241" s="2" t="s">
        <v>28</v>
      </c>
      <c r="G241" s="2" t="s">
        <v>10</v>
      </c>
    </row>
    <row r="242" spans="1:7">
      <c r="A242" s="2">
        <v>241</v>
      </c>
      <c r="B242" s="2" t="s">
        <v>79</v>
      </c>
      <c r="C242" s="2" t="s">
        <v>22</v>
      </c>
      <c r="D242" s="2">
        <v>30</v>
      </c>
      <c r="E242" s="3">
        <v>38839</v>
      </c>
      <c r="F242" s="2" t="s">
        <v>9</v>
      </c>
      <c r="G242" s="2" t="s">
        <v>14</v>
      </c>
    </row>
    <row r="243" spans="1:7">
      <c r="A243" s="2">
        <v>242</v>
      </c>
      <c r="B243" s="2" t="s">
        <v>46</v>
      </c>
      <c r="C243" s="2" t="s">
        <v>16</v>
      </c>
      <c r="D243" s="2">
        <v>41</v>
      </c>
      <c r="E243" s="3">
        <v>92963</v>
      </c>
      <c r="F243" s="2" t="s">
        <v>20</v>
      </c>
      <c r="G243" s="2" t="s">
        <v>14</v>
      </c>
    </row>
    <row r="244" spans="1:7">
      <c r="A244" s="2">
        <v>243</v>
      </c>
      <c r="B244" s="2" t="s">
        <v>86</v>
      </c>
      <c r="C244" s="2" t="s">
        <v>16</v>
      </c>
      <c r="D244" s="2">
        <v>43</v>
      </c>
      <c r="E244" s="3">
        <v>34485</v>
      </c>
      <c r="F244" s="2" t="s">
        <v>9</v>
      </c>
      <c r="G244" s="2" t="s">
        <v>10</v>
      </c>
    </row>
    <row r="245" spans="1:7">
      <c r="A245" s="2">
        <v>244</v>
      </c>
      <c r="B245" s="2" t="s">
        <v>84</v>
      </c>
      <c r="C245" s="2" t="s">
        <v>16</v>
      </c>
      <c r="D245" s="2">
        <v>45</v>
      </c>
      <c r="E245" s="3">
        <v>88620</v>
      </c>
      <c r="F245" s="2" t="s">
        <v>17</v>
      </c>
      <c r="G245" s="2" t="s">
        <v>14</v>
      </c>
    </row>
    <row r="246" spans="1:7">
      <c r="A246" s="2">
        <v>245</v>
      </c>
      <c r="B246" s="2" t="s">
        <v>19</v>
      </c>
      <c r="C246" s="2" t="s">
        <v>8</v>
      </c>
      <c r="D246" s="2">
        <v>23</v>
      </c>
      <c r="E246" s="3">
        <v>42104</v>
      </c>
      <c r="F246" s="2" t="s">
        <v>28</v>
      </c>
      <c r="G246" s="2" t="s">
        <v>18</v>
      </c>
    </row>
    <row r="247" spans="1:7">
      <c r="A247" s="2">
        <v>246</v>
      </c>
      <c r="B247" s="2" t="s">
        <v>51</v>
      </c>
      <c r="C247" s="2" t="s">
        <v>22</v>
      </c>
      <c r="D247" s="2">
        <v>5</v>
      </c>
      <c r="E247" s="3">
        <v>98195</v>
      </c>
      <c r="F247" s="2" t="s">
        <v>17</v>
      </c>
      <c r="G247" s="2" t="s">
        <v>10</v>
      </c>
    </row>
    <row r="248" spans="1:7">
      <c r="A248" s="2">
        <v>247</v>
      </c>
      <c r="B248" s="2" t="s">
        <v>73</v>
      </c>
      <c r="C248" s="2" t="s">
        <v>22</v>
      </c>
      <c r="D248" s="2">
        <v>35</v>
      </c>
      <c r="E248" s="3">
        <v>38436</v>
      </c>
      <c r="F248" s="2" t="s">
        <v>17</v>
      </c>
      <c r="G248" s="2" t="s">
        <v>10</v>
      </c>
    </row>
    <row r="249" spans="1:7">
      <c r="A249" s="2">
        <v>248</v>
      </c>
      <c r="B249" s="2" t="s">
        <v>61</v>
      </c>
      <c r="C249" s="2" t="s">
        <v>22</v>
      </c>
      <c r="D249" s="2">
        <v>26</v>
      </c>
      <c r="E249" s="3">
        <v>98049</v>
      </c>
      <c r="F249" s="2" t="s">
        <v>28</v>
      </c>
      <c r="G249" s="2" t="s">
        <v>29</v>
      </c>
    </row>
    <row r="250" spans="1:7">
      <c r="A250" s="2">
        <v>249</v>
      </c>
      <c r="B250" s="2" t="s">
        <v>27</v>
      </c>
      <c r="C250" s="2" t="s">
        <v>22</v>
      </c>
      <c r="D250" s="2">
        <v>14</v>
      </c>
      <c r="E250" s="3">
        <v>71131</v>
      </c>
      <c r="F250" s="2" t="s">
        <v>17</v>
      </c>
      <c r="G250" s="2" t="s">
        <v>18</v>
      </c>
    </row>
    <row r="251" spans="1:7">
      <c r="A251" s="2">
        <v>250</v>
      </c>
      <c r="B251" s="2" t="s">
        <v>76</v>
      </c>
      <c r="C251" s="2" t="s">
        <v>8</v>
      </c>
      <c r="D251" s="2">
        <v>28</v>
      </c>
      <c r="E251" s="3">
        <v>26796</v>
      </c>
      <c r="F251" s="2" t="s">
        <v>38</v>
      </c>
      <c r="G251" s="2" t="s">
        <v>18</v>
      </c>
    </row>
    <row r="252" spans="1:7">
      <c r="A252" s="2">
        <v>251</v>
      </c>
      <c r="B252" s="2" t="s">
        <v>61</v>
      </c>
      <c r="C252" s="2" t="s">
        <v>16</v>
      </c>
      <c r="D252" s="2">
        <v>14</v>
      </c>
      <c r="E252" s="3">
        <v>60827</v>
      </c>
      <c r="F252" s="2" t="s">
        <v>13</v>
      </c>
      <c r="G252" s="2" t="s">
        <v>23</v>
      </c>
    </row>
    <row r="253" spans="1:7">
      <c r="A253" s="2">
        <v>252</v>
      </c>
      <c r="B253" s="2" t="s">
        <v>76</v>
      </c>
      <c r="C253" s="2" t="s">
        <v>12</v>
      </c>
      <c r="D253" s="2">
        <v>32</v>
      </c>
      <c r="E253" s="3">
        <v>79735</v>
      </c>
      <c r="F253" s="2" t="s">
        <v>20</v>
      </c>
      <c r="G253" s="2" t="s">
        <v>23</v>
      </c>
    </row>
    <row r="254" spans="1:7">
      <c r="A254" s="2">
        <v>253</v>
      </c>
      <c r="B254" s="2" t="s">
        <v>65</v>
      </c>
      <c r="C254" s="2" t="s">
        <v>22</v>
      </c>
      <c r="D254" s="2">
        <v>18</v>
      </c>
      <c r="E254" s="3">
        <v>71863</v>
      </c>
      <c r="F254" s="2" t="s">
        <v>17</v>
      </c>
      <c r="G254" s="2" t="s">
        <v>29</v>
      </c>
    </row>
    <row r="255" spans="1:7">
      <c r="A255" s="2">
        <v>254</v>
      </c>
      <c r="B255" s="2" t="s">
        <v>64</v>
      </c>
      <c r="C255" s="2" t="s">
        <v>12</v>
      </c>
      <c r="D255" s="2">
        <v>21</v>
      </c>
      <c r="E255" s="3">
        <v>95516</v>
      </c>
      <c r="F255" s="2" t="s">
        <v>32</v>
      </c>
      <c r="G255" s="2" t="s">
        <v>23</v>
      </c>
    </row>
    <row r="256" spans="1:7">
      <c r="A256" s="2">
        <v>255</v>
      </c>
      <c r="B256" s="2" t="s">
        <v>83</v>
      </c>
      <c r="C256" s="2" t="s">
        <v>8</v>
      </c>
      <c r="D256" s="2">
        <v>19</v>
      </c>
      <c r="E256" s="3">
        <v>65342</v>
      </c>
      <c r="F256" s="2" t="s">
        <v>25</v>
      </c>
      <c r="G256" s="2" t="s">
        <v>14</v>
      </c>
    </row>
    <row r="257" spans="1:7">
      <c r="A257" s="2">
        <v>256</v>
      </c>
      <c r="B257" s="2" t="s">
        <v>41</v>
      </c>
      <c r="C257" s="2" t="s">
        <v>8</v>
      </c>
      <c r="D257" s="2">
        <v>22</v>
      </c>
      <c r="E257" s="3">
        <v>81383</v>
      </c>
      <c r="F257" s="2" t="s">
        <v>28</v>
      </c>
      <c r="G257" s="2" t="s">
        <v>10</v>
      </c>
    </row>
    <row r="258" spans="1:7">
      <c r="A258" s="2">
        <v>257</v>
      </c>
      <c r="B258" s="2" t="s">
        <v>73</v>
      </c>
      <c r="C258" s="2" t="s">
        <v>12</v>
      </c>
      <c r="D258" s="2">
        <v>36</v>
      </c>
      <c r="E258" s="3">
        <v>44876</v>
      </c>
      <c r="F258" s="2" t="s">
        <v>17</v>
      </c>
      <c r="G258" s="2" t="s">
        <v>26</v>
      </c>
    </row>
    <row r="259" spans="1:7">
      <c r="A259" s="2">
        <v>258</v>
      </c>
      <c r="B259" s="2" t="s">
        <v>43</v>
      </c>
      <c r="C259" s="2" t="s">
        <v>16</v>
      </c>
      <c r="D259" s="2">
        <v>37</v>
      </c>
      <c r="E259" s="3">
        <v>88731</v>
      </c>
      <c r="F259" s="2" t="s">
        <v>17</v>
      </c>
      <c r="G259" s="2" t="s">
        <v>14</v>
      </c>
    </row>
    <row r="260" spans="1:7">
      <c r="A260" s="2">
        <v>259</v>
      </c>
      <c r="B260" s="2" t="s">
        <v>19</v>
      </c>
      <c r="C260" s="2" t="s">
        <v>12</v>
      </c>
      <c r="D260" s="2">
        <v>9</v>
      </c>
      <c r="E260" s="3">
        <v>93357</v>
      </c>
      <c r="F260" s="2" t="s">
        <v>9</v>
      </c>
      <c r="G260" s="2" t="s">
        <v>18</v>
      </c>
    </row>
    <row r="261" spans="1:7">
      <c r="A261" s="2">
        <v>260</v>
      </c>
      <c r="B261" s="2" t="s">
        <v>74</v>
      </c>
      <c r="C261" s="2" t="s">
        <v>8</v>
      </c>
      <c r="D261" s="2">
        <v>37</v>
      </c>
      <c r="E261" s="3">
        <v>86314</v>
      </c>
      <c r="F261" s="2" t="s">
        <v>9</v>
      </c>
      <c r="G261" s="2" t="s">
        <v>23</v>
      </c>
    </row>
    <row r="262" spans="1:7">
      <c r="A262" s="2">
        <v>261</v>
      </c>
      <c r="B262" s="2" t="s">
        <v>11</v>
      </c>
      <c r="C262" s="2" t="s">
        <v>12</v>
      </c>
      <c r="D262" s="2">
        <v>32</v>
      </c>
      <c r="E262" s="3">
        <v>61492</v>
      </c>
      <c r="F262" s="2" t="s">
        <v>20</v>
      </c>
      <c r="G262" s="2" t="s">
        <v>26</v>
      </c>
    </row>
    <row r="263" spans="1:7">
      <c r="A263" s="2">
        <v>262</v>
      </c>
      <c r="B263" s="2" t="s">
        <v>72</v>
      </c>
      <c r="C263" s="2" t="s">
        <v>22</v>
      </c>
      <c r="D263" s="2">
        <v>22</v>
      </c>
      <c r="E263" s="3">
        <v>93283</v>
      </c>
      <c r="F263" s="2" t="s">
        <v>13</v>
      </c>
      <c r="G263" s="2" t="s">
        <v>14</v>
      </c>
    </row>
    <row r="264" spans="1:7">
      <c r="A264" s="2">
        <v>263</v>
      </c>
      <c r="B264" s="2" t="s">
        <v>34</v>
      </c>
      <c r="C264" s="2" t="s">
        <v>22</v>
      </c>
      <c r="D264" s="2">
        <v>44</v>
      </c>
      <c r="E264" s="3">
        <v>45648</v>
      </c>
      <c r="F264" s="2" t="s">
        <v>28</v>
      </c>
      <c r="G264" s="2" t="s">
        <v>18</v>
      </c>
    </row>
    <row r="265" spans="1:7">
      <c r="A265" s="2">
        <v>264</v>
      </c>
      <c r="B265" s="2" t="s">
        <v>76</v>
      </c>
      <c r="C265" s="2" t="s">
        <v>16</v>
      </c>
      <c r="D265" s="2">
        <v>49</v>
      </c>
      <c r="E265" s="3">
        <v>70747</v>
      </c>
      <c r="F265" s="2" t="s">
        <v>9</v>
      </c>
      <c r="G265" s="2" t="s">
        <v>23</v>
      </c>
    </row>
    <row r="266" spans="1:7">
      <c r="A266" s="2">
        <v>265</v>
      </c>
      <c r="B266" s="2" t="s">
        <v>47</v>
      </c>
      <c r="C266" s="2" t="s">
        <v>12</v>
      </c>
      <c r="D266" s="2">
        <v>4</v>
      </c>
      <c r="E266" s="3">
        <v>29398</v>
      </c>
      <c r="F266" s="2" t="s">
        <v>25</v>
      </c>
      <c r="G266" s="2" t="s">
        <v>10</v>
      </c>
    </row>
    <row r="267" spans="1:7">
      <c r="A267" s="2">
        <v>266</v>
      </c>
      <c r="B267" s="2" t="s">
        <v>70</v>
      </c>
      <c r="C267" s="2" t="s">
        <v>12</v>
      </c>
      <c r="D267" s="2">
        <v>3</v>
      </c>
      <c r="E267" s="3">
        <v>90816</v>
      </c>
      <c r="F267" s="2" t="s">
        <v>25</v>
      </c>
      <c r="G267" s="2" t="s">
        <v>10</v>
      </c>
    </row>
    <row r="268" spans="1:7">
      <c r="A268" s="2">
        <v>267</v>
      </c>
      <c r="B268" s="2" t="s">
        <v>84</v>
      </c>
      <c r="C268" s="2" t="s">
        <v>12</v>
      </c>
      <c r="D268" s="2">
        <v>7</v>
      </c>
      <c r="E268" s="3">
        <v>74924</v>
      </c>
      <c r="F268" s="2" t="s">
        <v>17</v>
      </c>
      <c r="G268" s="2" t="s">
        <v>23</v>
      </c>
    </row>
    <row r="269" spans="1:7">
      <c r="A269" s="2">
        <v>268</v>
      </c>
      <c r="B269" s="2" t="s">
        <v>49</v>
      </c>
      <c r="C269" s="2" t="s">
        <v>12</v>
      </c>
      <c r="D269" s="2">
        <v>41</v>
      </c>
      <c r="E269" s="3">
        <v>97884</v>
      </c>
      <c r="F269" s="2" t="s">
        <v>13</v>
      </c>
      <c r="G269" s="2" t="s">
        <v>10</v>
      </c>
    </row>
    <row r="270" spans="1:7">
      <c r="A270" s="2">
        <v>269</v>
      </c>
      <c r="B270" s="2" t="s">
        <v>47</v>
      </c>
      <c r="C270" s="2" t="s">
        <v>16</v>
      </c>
      <c r="D270" s="2">
        <v>30</v>
      </c>
      <c r="E270" s="3">
        <v>94616</v>
      </c>
      <c r="F270" s="2" t="s">
        <v>13</v>
      </c>
      <c r="G270" s="2" t="s">
        <v>29</v>
      </c>
    </row>
    <row r="271" spans="1:7">
      <c r="A271" s="2">
        <v>270</v>
      </c>
      <c r="B271" s="2" t="s">
        <v>30</v>
      </c>
      <c r="C271" s="2" t="s">
        <v>8</v>
      </c>
      <c r="D271" s="2">
        <v>2</v>
      </c>
      <c r="E271" s="3">
        <v>49629</v>
      </c>
      <c r="F271" s="2" t="s">
        <v>20</v>
      </c>
      <c r="G271" s="2" t="s">
        <v>23</v>
      </c>
    </row>
    <row r="272" spans="1:7">
      <c r="A272" s="2">
        <v>271</v>
      </c>
      <c r="B272" s="2" t="s">
        <v>94</v>
      </c>
      <c r="C272" s="2" t="s">
        <v>16</v>
      </c>
      <c r="D272" s="2">
        <v>8</v>
      </c>
      <c r="E272" s="3">
        <v>52443</v>
      </c>
      <c r="F272" s="2" t="s">
        <v>20</v>
      </c>
      <c r="G272" s="2" t="s">
        <v>29</v>
      </c>
    </row>
    <row r="273" spans="1:7">
      <c r="A273" s="2">
        <v>272</v>
      </c>
      <c r="B273" s="2" t="s">
        <v>50</v>
      </c>
      <c r="C273" s="2" t="s">
        <v>8</v>
      </c>
      <c r="D273" s="2">
        <v>11</v>
      </c>
      <c r="E273" s="3">
        <v>61083</v>
      </c>
      <c r="F273" s="2" t="s">
        <v>25</v>
      </c>
      <c r="G273" s="2" t="s">
        <v>23</v>
      </c>
    </row>
    <row r="274" spans="1:7">
      <c r="A274" s="2">
        <v>273</v>
      </c>
      <c r="B274" s="2" t="s">
        <v>21</v>
      </c>
      <c r="C274" s="2" t="s">
        <v>8</v>
      </c>
      <c r="D274" s="2">
        <v>29</v>
      </c>
      <c r="E274" s="3">
        <v>51383</v>
      </c>
      <c r="F274" s="2" t="s">
        <v>17</v>
      </c>
      <c r="G274" s="2" t="s">
        <v>29</v>
      </c>
    </row>
    <row r="275" spans="1:7">
      <c r="A275" s="2">
        <v>274</v>
      </c>
      <c r="B275" s="2" t="s">
        <v>49</v>
      </c>
      <c r="C275" s="2" t="s">
        <v>8</v>
      </c>
      <c r="D275" s="2">
        <v>30</v>
      </c>
      <c r="E275" s="3">
        <v>99447</v>
      </c>
      <c r="F275" s="2" t="s">
        <v>32</v>
      </c>
      <c r="G275" s="2" t="s">
        <v>10</v>
      </c>
    </row>
    <row r="276" spans="1:7">
      <c r="A276" s="2">
        <v>275</v>
      </c>
      <c r="B276" s="2" t="s">
        <v>64</v>
      </c>
      <c r="C276" s="2" t="s">
        <v>12</v>
      </c>
      <c r="D276" s="2">
        <v>1</v>
      </c>
      <c r="E276" s="3">
        <v>31339</v>
      </c>
      <c r="F276" s="2" t="s">
        <v>17</v>
      </c>
      <c r="G276" s="2" t="s">
        <v>10</v>
      </c>
    </row>
    <row r="277" spans="1:7">
      <c r="A277" s="2">
        <v>276</v>
      </c>
      <c r="B277" s="2" t="s">
        <v>89</v>
      </c>
      <c r="C277" s="2" t="s">
        <v>16</v>
      </c>
      <c r="D277" s="2">
        <v>28</v>
      </c>
      <c r="E277" s="3">
        <v>48417</v>
      </c>
      <c r="F277" s="2" t="s">
        <v>17</v>
      </c>
      <c r="G277" s="2" t="s">
        <v>14</v>
      </c>
    </row>
    <row r="278" spans="1:7">
      <c r="A278" s="2">
        <v>277</v>
      </c>
      <c r="B278" s="2" t="s">
        <v>93</v>
      </c>
      <c r="C278" s="2" t="s">
        <v>8</v>
      </c>
      <c r="D278" s="2">
        <v>13</v>
      </c>
      <c r="E278" s="3">
        <v>96242</v>
      </c>
      <c r="F278" s="2" t="s">
        <v>28</v>
      </c>
      <c r="G278" s="2" t="s">
        <v>18</v>
      </c>
    </row>
    <row r="279" spans="1:7">
      <c r="A279" s="2">
        <v>278</v>
      </c>
      <c r="B279" s="2" t="s">
        <v>81</v>
      </c>
      <c r="C279" s="2" t="s">
        <v>22</v>
      </c>
      <c r="D279" s="2">
        <v>45</v>
      </c>
      <c r="E279" s="3">
        <v>84957</v>
      </c>
      <c r="F279" s="2" t="s">
        <v>28</v>
      </c>
      <c r="G279" s="2" t="s">
        <v>29</v>
      </c>
    </row>
    <row r="280" spans="1:7">
      <c r="A280" s="2">
        <v>279</v>
      </c>
      <c r="B280" s="2" t="s">
        <v>11</v>
      </c>
      <c r="C280" s="2" t="s">
        <v>8</v>
      </c>
      <c r="D280" s="2">
        <v>9</v>
      </c>
      <c r="E280" s="3">
        <v>90124</v>
      </c>
      <c r="F280" s="2" t="s">
        <v>13</v>
      </c>
      <c r="G280" s="2" t="s">
        <v>26</v>
      </c>
    </row>
    <row r="281" spans="1:7">
      <c r="A281" s="2">
        <v>280</v>
      </c>
      <c r="B281" s="2" t="s">
        <v>69</v>
      </c>
      <c r="C281" s="2" t="s">
        <v>16</v>
      </c>
      <c r="D281" s="2">
        <v>42</v>
      </c>
      <c r="E281" s="3">
        <v>96537</v>
      </c>
      <c r="F281" s="2" t="s">
        <v>28</v>
      </c>
      <c r="G281" s="2" t="s">
        <v>23</v>
      </c>
    </row>
    <row r="282" spans="1:7">
      <c r="A282" s="2">
        <v>281</v>
      </c>
      <c r="B282" s="2" t="s">
        <v>35</v>
      </c>
      <c r="C282" s="2" t="s">
        <v>12</v>
      </c>
      <c r="D282" s="2">
        <v>20</v>
      </c>
      <c r="E282" s="3">
        <v>89798</v>
      </c>
      <c r="F282" s="2" t="s">
        <v>9</v>
      </c>
      <c r="G282" s="2" t="s">
        <v>10</v>
      </c>
    </row>
    <row r="283" spans="1:7">
      <c r="A283" s="2">
        <v>282</v>
      </c>
      <c r="B283" s="2" t="s">
        <v>36</v>
      </c>
      <c r="C283" s="2" t="s">
        <v>22</v>
      </c>
      <c r="D283" s="2">
        <v>11</v>
      </c>
      <c r="E283" s="3">
        <v>80433</v>
      </c>
      <c r="F283" s="2" t="s">
        <v>17</v>
      </c>
      <c r="G283" s="2" t="s">
        <v>10</v>
      </c>
    </row>
    <row r="284" spans="1:7">
      <c r="A284" s="2">
        <v>283</v>
      </c>
      <c r="B284" s="2" t="s">
        <v>54</v>
      </c>
      <c r="C284" s="2" t="s">
        <v>8</v>
      </c>
      <c r="D284" s="2">
        <v>18</v>
      </c>
      <c r="E284" s="3">
        <v>87680</v>
      </c>
      <c r="F284" s="2" t="s">
        <v>9</v>
      </c>
      <c r="G284" s="2" t="s">
        <v>23</v>
      </c>
    </row>
    <row r="285" spans="1:7">
      <c r="A285" s="2">
        <v>284</v>
      </c>
      <c r="B285" s="2" t="s">
        <v>78</v>
      </c>
      <c r="C285" s="2" t="s">
        <v>12</v>
      </c>
      <c r="D285" s="2">
        <v>6</v>
      </c>
      <c r="E285" s="3">
        <v>43108</v>
      </c>
      <c r="F285" s="2" t="s">
        <v>13</v>
      </c>
      <c r="G285" s="2" t="s">
        <v>18</v>
      </c>
    </row>
    <row r="286" spans="1:7">
      <c r="A286" s="2">
        <v>285</v>
      </c>
      <c r="B286" s="2" t="s">
        <v>61</v>
      </c>
      <c r="C286" s="2" t="s">
        <v>16</v>
      </c>
      <c r="D286" s="2">
        <v>42</v>
      </c>
      <c r="E286" s="3">
        <v>37940</v>
      </c>
      <c r="F286" s="2" t="s">
        <v>25</v>
      </c>
      <c r="G286" s="2" t="s">
        <v>23</v>
      </c>
    </row>
    <row r="287" spans="1:7">
      <c r="A287" s="2">
        <v>286</v>
      </c>
      <c r="B287" s="2" t="s">
        <v>57</v>
      </c>
      <c r="C287" s="2" t="s">
        <v>16</v>
      </c>
      <c r="D287" s="2">
        <v>24</v>
      </c>
      <c r="E287" s="3">
        <v>85761</v>
      </c>
      <c r="F287" s="2" t="s">
        <v>25</v>
      </c>
      <c r="G287" s="2" t="s">
        <v>26</v>
      </c>
    </row>
    <row r="288" spans="1:7">
      <c r="A288" s="2">
        <v>287</v>
      </c>
      <c r="B288" s="2" t="s">
        <v>72</v>
      </c>
      <c r="C288" s="2" t="s">
        <v>22</v>
      </c>
      <c r="D288" s="2">
        <v>17</v>
      </c>
      <c r="E288" s="3">
        <v>72289</v>
      </c>
      <c r="F288" s="2" t="s">
        <v>38</v>
      </c>
      <c r="G288" s="2" t="s">
        <v>29</v>
      </c>
    </row>
    <row r="289" spans="1:7">
      <c r="A289" s="2">
        <v>288</v>
      </c>
      <c r="B289" s="2" t="s">
        <v>45</v>
      </c>
      <c r="C289" s="2" t="s">
        <v>22</v>
      </c>
      <c r="D289" s="2">
        <v>6</v>
      </c>
      <c r="E289" s="3">
        <v>54963</v>
      </c>
      <c r="F289" s="2" t="s">
        <v>25</v>
      </c>
      <c r="G289" s="2" t="s">
        <v>29</v>
      </c>
    </row>
    <row r="290" spans="1:7">
      <c r="A290" s="2">
        <v>289</v>
      </c>
      <c r="B290" s="2" t="s">
        <v>30</v>
      </c>
      <c r="C290" s="2" t="s">
        <v>8</v>
      </c>
      <c r="D290" s="2">
        <v>24</v>
      </c>
      <c r="E290" s="3">
        <v>92672</v>
      </c>
      <c r="F290" s="2" t="s">
        <v>32</v>
      </c>
      <c r="G290" s="2" t="s">
        <v>26</v>
      </c>
    </row>
    <row r="291" spans="1:7">
      <c r="A291" s="2">
        <v>290</v>
      </c>
      <c r="B291" s="2" t="s">
        <v>65</v>
      </c>
      <c r="C291" s="2" t="s">
        <v>12</v>
      </c>
      <c r="D291" s="2">
        <v>43</v>
      </c>
      <c r="E291" s="3">
        <v>59509</v>
      </c>
      <c r="F291" s="2" t="s">
        <v>28</v>
      </c>
      <c r="G291" s="2" t="s">
        <v>26</v>
      </c>
    </row>
    <row r="292" spans="1:7">
      <c r="A292" s="2">
        <v>291</v>
      </c>
      <c r="B292" s="2" t="s">
        <v>24</v>
      </c>
      <c r="C292" s="2" t="s">
        <v>12</v>
      </c>
      <c r="D292" s="2">
        <v>42</v>
      </c>
      <c r="E292" s="3">
        <v>49477</v>
      </c>
      <c r="F292" s="2" t="s">
        <v>20</v>
      </c>
      <c r="G292" s="2" t="s">
        <v>14</v>
      </c>
    </row>
    <row r="293" spans="1:7">
      <c r="A293" s="2">
        <v>292</v>
      </c>
      <c r="B293" s="2" t="s">
        <v>60</v>
      </c>
      <c r="C293" s="2" t="s">
        <v>16</v>
      </c>
      <c r="D293" s="2">
        <v>11</v>
      </c>
      <c r="E293" s="3">
        <v>37407</v>
      </c>
      <c r="F293" s="2" t="s">
        <v>32</v>
      </c>
      <c r="G293" s="2" t="s">
        <v>26</v>
      </c>
    </row>
    <row r="294" spans="1:7">
      <c r="A294" s="2">
        <v>293</v>
      </c>
      <c r="B294" s="2" t="s">
        <v>90</v>
      </c>
      <c r="C294" s="2" t="s">
        <v>16</v>
      </c>
      <c r="D294" s="2">
        <v>4</v>
      </c>
      <c r="E294" s="3">
        <v>40727</v>
      </c>
      <c r="F294" s="2" t="s">
        <v>25</v>
      </c>
      <c r="G294" s="2" t="s">
        <v>26</v>
      </c>
    </row>
    <row r="295" spans="1:7">
      <c r="A295" s="2">
        <v>294</v>
      </c>
      <c r="B295" s="2" t="s">
        <v>60</v>
      </c>
      <c r="C295" s="2" t="s">
        <v>8</v>
      </c>
      <c r="D295" s="2">
        <v>26</v>
      </c>
      <c r="E295" s="3">
        <v>62927</v>
      </c>
      <c r="F295" s="2" t="s">
        <v>13</v>
      </c>
      <c r="G295" s="2" t="s">
        <v>23</v>
      </c>
    </row>
    <row r="296" spans="1:7">
      <c r="A296" s="2">
        <v>295</v>
      </c>
      <c r="B296" s="2" t="s">
        <v>66</v>
      </c>
      <c r="C296" s="2" t="s">
        <v>8</v>
      </c>
      <c r="D296" s="2">
        <v>41</v>
      </c>
      <c r="E296" s="3">
        <v>67739</v>
      </c>
      <c r="F296" s="2" t="s">
        <v>20</v>
      </c>
      <c r="G296" s="2" t="s">
        <v>10</v>
      </c>
    </row>
    <row r="297" spans="1:7">
      <c r="A297" s="2">
        <v>296</v>
      </c>
      <c r="B297" s="2" t="s">
        <v>74</v>
      </c>
      <c r="C297" s="2" t="s">
        <v>16</v>
      </c>
      <c r="D297" s="2">
        <v>20</v>
      </c>
      <c r="E297" s="3">
        <v>98155</v>
      </c>
      <c r="F297" s="2" t="s">
        <v>20</v>
      </c>
      <c r="G297" s="2" t="s">
        <v>14</v>
      </c>
    </row>
    <row r="298" spans="1:7">
      <c r="A298" s="2">
        <v>297</v>
      </c>
      <c r="B298" s="2" t="s">
        <v>65</v>
      </c>
      <c r="C298" s="2" t="s">
        <v>16</v>
      </c>
      <c r="D298" s="2">
        <v>47</v>
      </c>
      <c r="E298" s="3">
        <v>27038</v>
      </c>
      <c r="F298" s="2" t="s">
        <v>20</v>
      </c>
      <c r="G298" s="2" t="s">
        <v>23</v>
      </c>
    </row>
    <row r="299" spans="1:7">
      <c r="A299" s="2">
        <v>298</v>
      </c>
      <c r="B299" s="2" t="s">
        <v>93</v>
      </c>
      <c r="C299" s="2" t="s">
        <v>12</v>
      </c>
      <c r="D299" s="2">
        <v>45</v>
      </c>
      <c r="E299" s="3">
        <v>92378</v>
      </c>
      <c r="F299" s="2" t="s">
        <v>9</v>
      </c>
      <c r="G299" s="2" t="s">
        <v>23</v>
      </c>
    </row>
    <row r="300" spans="1:7">
      <c r="A300" s="2">
        <v>299</v>
      </c>
      <c r="B300" s="2" t="s">
        <v>19</v>
      </c>
      <c r="C300" s="2" t="s">
        <v>12</v>
      </c>
      <c r="D300" s="2">
        <v>49</v>
      </c>
      <c r="E300" s="3">
        <v>25648</v>
      </c>
      <c r="F300" s="2" t="s">
        <v>38</v>
      </c>
      <c r="G300" s="2" t="s">
        <v>10</v>
      </c>
    </row>
    <row r="301" spans="1:7">
      <c r="A301" s="2">
        <v>300</v>
      </c>
      <c r="B301" s="2" t="s">
        <v>71</v>
      </c>
      <c r="C301" s="2" t="s">
        <v>12</v>
      </c>
      <c r="D301" s="2">
        <v>15</v>
      </c>
      <c r="E301" s="3">
        <v>53396</v>
      </c>
      <c r="F301" s="2" t="s">
        <v>38</v>
      </c>
      <c r="G301" s="2" t="s">
        <v>18</v>
      </c>
    </row>
    <row r="302" spans="1:7">
      <c r="A302" s="2">
        <v>301</v>
      </c>
      <c r="B302" s="2" t="s">
        <v>93</v>
      </c>
      <c r="C302" s="2" t="s">
        <v>8</v>
      </c>
      <c r="D302" s="2">
        <v>28</v>
      </c>
      <c r="E302" s="3">
        <v>53552</v>
      </c>
      <c r="F302" s="2" t="s">
        <v>13</v>
      </c>
      <c r="G302" s="2" t="s">
        <v>23</v>
      </c>
    </row>
    <row r="303" spans="1:7">
      <c r="A303" s="2">
        <v>302</v>
      </c>
      <c r="B303" s="2" t="s">
        <v>89</v>
      </c>
      <c r="C303" s="2" t="s">
        <v>12</v>
      </c>
      <c r="D303" s="2">
        <v>42</v>
      </c>
      <c r="E303" s="3">
        <v>93371</v>
      </c>
      <c r="F303" s="2" t="s">
        <v>20</v>
      </c>
      <c r="G303" s="2" t="s">
        <v>14</v>
      </c>
    </row>
    <row r="304" spans="1:7">
      <c r="A304" s="2">
        <v>303</v>
      </c>
      <c r="B304" s="2" t="s">
        <v>93</v>
      </c>
      <c r="C304" s="2" t="s">
        <v>22</v>
      </c>
      <c r="D304" s="2">
        <v>6</v>
      </c>
      <c r="E304" s="3">
        <v>90334</v>
      </c>
      <c r="F304" s="2" t="s">
        <v>20</v>
      </c>
      <c r="G304" s="2" t="s">
        <v>10</v>
      </c>
    </row>
    <row r="305" spans="1:7">
      <c r="A305" s="2">
        <v>304</v>
      </c>
      <c r="B305" s="2" t="s">
        <v>51</v>
      </c>
      <c r="C305" s="2" t="s">
        <v>22</v>
      </c>
      <c r="D305" s="2">
        <v>46</v>
      </c>
      <c r="E305" s="3">
        <v>97968</v>
      </c>
      <c r="F305" s="2" t="s">
        <v>28</v>
      </c>
      <c r="G305" s="2" t="s">
        <v>29</v>
      </c>
    </row>
    <row r="306" spans="1:7">
      <c r="A306" s="2">
        <v>305</v>
      </c>
      <c r="B306" s="2" t="s">
        <v>82</v>
      </c>
      <c r="C306" s="2" t="s">
        <v>12</v>
      </c>
      <c r="D306" s="2">
        <v>7</v>
      </c>
      <c r="E306" s="3">
        <v>56101</v>
      </c>
      <c r="F306" s="2" t="s">
        <v>25</v>
      </c>
      <c r="G306" s="2" t="s">
        <v>18</v>
      </c>
    </row>
    <row r="307" spans="1:7">
      <c r="A307" s="2">
        <v>306</v>
      </c>
      <c r="B307" s="2" t="s">
        <v>33</v>
      </c>
      <c r="C307" s="2" t="s">
        <v>12</v>
      </c>
      <c r="D307" s="2">
        <v>1</v>
      </c>
      <c r="E307" s="3">
        <v>43664</v>
      </c>
      <c r="F307" s="2" t="s">
        <v>20</v>
      </c>
      <c r="G307" s="2" t="s">
        <v>10</v>
      </c>
    </row>
    <row r="308" spans="1:7">
      <c r="A308" s="2">
        <v>307</v>
      </c>
      <c r="B308" s="2" t="s">
        <v>63</v>
      </c>
      <c r="C308" s="2" t="s">
        <v>16</v>
      </c>
      <c r="D308" s="2">
        <v>14</v>
      </c>
      <c r="E308" s="3">
        <v>63289</v>
      </c>
      <c r="F308" s="2" t="s">
        <v>13</v>
      </c>
      <c r="G308" s="2" t="s">
        <v>14</v>
      </c>
    </row>
    <row r="309" spans="1:7">
      <c r="A309" s="2">
        <v>308</v>
      </c>
      <c r="B309" s="2" t="s">
        <v>57</v>
      </c>
      <c r="C309" s="2" t="s">
        <v>16</v>
      </c>
      <c r="D309" s="2">
        <v>31</v>
      </c>
      <c r="E309" s="3">
        <v>59479</v>
      </c>
      <c r="F309" s="2" t="s">
        <v>28</v>
      </c>
      <c r="G309" s="2" t="s">
        <v>23</v>
      </c>
    </row>
    <row r="310" spans="1:7">
      <c r="A310" s="2">
        <v>309</v>
      </c>
      <c r="B310" s="2" t="s">
        <v>69</v>
      </c>
      <c r="C310" s="2" t="s">
        <v>8</v>
      </c>
      <c r="D310" s="2">
        <v>5</v>
      </c>
      <c r="E310" s="3">
        <v>88559</v>
      </c>
      <c r="F310" s="2" t="s">
        <v>32</v>
      </c>
      <c r="G310" s="2" t="s">
        <v>14</v>
      </c>
    </row>
    <row r="311" spans="1:7">
      <c r="A311" s="2">
        <v>310</v>
      </c>
      <c r="B311" s="2" t="s">
        <v>44</v>
      </c>
      <c r="C311" s="2" t="s">
        <v>22</v>
      </c>
      <c r="D311" s="2">
        <v>9</v>
      </c>
      <c r="E311" s="3">
        <v>41225</v>
      </c>
      <c r="F311" s="2" t="s">
        <v>32</v>
      </c>
      <c r="G311" s="2" t="s">
        <v>26</v>
      </c>
    </row>
    <row r="312" spans="1:7">
      <c r="A312" s="2">
        <v>311</v>
      </c>
      <c r="B312" s="2" t="s">
        <v>80</v>
      </c>
      <c r="C312" s="2" t="s">
        <v>22</v>
      </c>
      <c r="D312" s="2">
        <v>38</v>
      </c>
      <c r="E312" s="3">
        <v>52035</v>
      </c>
      <c r="F312" s="2" t="s">
        <v>28</v>
      </c>
      <c r="G312" s="2" t="s">
        <v>23</v>
      </c>
    </row>
    <row r="313" spans="1:7">
      <c r="A313" s="2">
        <v>312</v>
      </c>
      <c r="B313" s="2" t="s">
        <v>67</v>
      </c>
      <c r="C313" s="2" t="s">
        <v>8</v>
      </c>
      <c r="D313" s="2">
        <v>15</v>
      </c>
      <c r="E313" s="3">
        <v>58604</v>
      </c>
      <c r="F313" s="2" t="s">
        <v>9</v>
      </c>
      <c r="G313" s="2" t="s">
        <v>10</v>
      </c>
    </row>
    <row r="314" spans="1:7">
      <c r="A314" s="2">
        <v>313</v>
      </c>
      <c r="B314" s="2" t="s">
        <v>66</v>
      </c>
      <c r="C314" s="2" t="s">
        <v>12</v>
      </c>
      <c r="D314" s="2">
        <v>34</v>
      </c>
      <c r="E314" s="3">
        <v>26933</v>
      </c>
      <c r="F314" s="2" t="s">
        <v>25</v>
      </c>
      <c r="G314" s="2" t="s">
        <v>18</v>
      </c>
    </row>
    <row r="315" spans="1:7">
      <c r="A315" s="2">
        <v>314</v>
      </c>
      <c r="B315" s="2" t="s">
        <v>70</v>
      </c>
      <c r="C315" s="2" t="s">
        <v>12</v>
      </c>
      <c r="D315" s="2">
        <v>44</v>
      </c>
      <c r="E315" s="3">
        <v>74163</v>
      </c>
      <c r="F315" s="2" t="s">
        <v>25</v>
      </c>
      <c r="G315" s="2" t="s">
        <v>10</v>
      </c>
    </row>
    <row r="316" spans="1:7">
      <c r="A316" s="2">
        <v>315</v>
      </c>
      <c r="B316" s="2" t="s">
        <v>41</v>
      </c>
      <c r="C316" s="2" t="s">
        <v>8</v>
      </c>
      <c r="D316" s="2">
        <v>29</v>
      </c>
      <c r="E316" s="3">
        <v>48704</v>
      </c>
      <c r="F316" s="2" t="s">
        <v>25</v>
      </c>
      <c r="G316" s="2" t="s">
        <v>26</v>
      </c>
    </row>
    <row r="317" spans="1:7">
      <c r="A317" s="2">
        <v>316</v>
      </c>
      <c r="B317" s="2" t="s">
        <v>68</v>
      </c>
      <c r="C317" s="2" t="s">
        <v>22</v>
      </c>
      <c r="D317" s="2">
        <v>1</v>
      </c>
      <c r="E317" s="3">
        <v>78133</v>
      </c>
      <c r="F317" s="2" t="s">
        <v>38</v>
      </c>
      <c r="G317" s="2" t="s">
        <v>26</v>
      </c>
    </row>
    <row r="318" spans="1:7">
      <c r="A318" s="2">
        <v>317</v>
      </c>
      <c r="B318" s="2" t="s">
        <v>44</v>
      </c>
      <c r="C318" s="2" t="s">
        <v>22</v>
      </c>
      <c r="D318" s="2">
        <v>1</v>
      </c>
      <c r="E318" s="3">
        <v>27769</v>
      </c>
      <c r="F318" s="2" t="s">
        <v>38</v>
      </c>
      <c r="G318" s="2" t="s">
        <v>14</v>
      </c>
    </row>
    <row r="319" spans="1:7">
      <c r="A319" s="2">
        <v>318</v>
      </c>
      <c r="B319" s="2" t="s">
        <v>84</v>
      </c>
      <c r="C319" s="2" t="s">
        <v>12</v>
      </c>
      <c r="D319" s="2">
        <v>45</v>
      </c>
      <c r="E319" s="3">
        <v>97804</v>
      </c>
      <c r="F319" s="2" t="s">
        <v>17</v>
      </c>
      <c r="G319" s="2" t="s">
        <v>14</v>
      </c>
    </row>
    <row r="320" spans="1:7">
      <c r="A320" s="2">
        <v>319</v>
      </c>
      <c r="B320" s="2" t="s">
        <v>52</v>
      </c>
      <c r="C320" s="2" t="s">
        <v>16</v>
      </c>
      <c r="D320" s="2">
        <v>22</v>
      </c>
      <c r="E320" s="3">
        <v>34399</v>
      </c>
      <c r="F320" s="2" t="s">
        <v>17</v>
      </c>
      <c r="G320" s="2" t="s">
        <v>29</v>
      </c>
    </row>
    <row r="321" spans="1:7">
      <c r="A321" s="2">
        <v>320</v>
      </c>
      <c r="B321" s="2" t="s">
        <v>27</v>
      </c>
      <c r="C321" s="2" t="s">
        <v>8</v>
      </c>
      <c r="D321" s="2">
        <v>8</v>
      </c>
      <c r="E321" s="3">
        <v>47286</v>
      </c>
      <c r="F321" s="2" t="s">
        <v>9</v>
      </c>
      <c r="G321" s="2" t="s">
        <v>29</v>
      </c>
    </row>
    <row r="322" spans="1:7">
      <c r="A322" s="2">
        <v>321</v>
      </c>
      <c r="B322" s="2" t="s">
        <v>11</v>
      </c>
      <c r="C322" s="2" t="s">
        <v>8</v>
      </c>
      <c r="D322" s="2">
        <v>28</v>
      </c>
      <c r="E322" s="3">
        <v>56784</v>
      </c>
      <c r="F322" s="2" t="s">
        <v>9</v>
      </c>
      <c r="G322" s="2" t="s">
        <v>23</v>
      </c>
    </row>
    <row r="323" spans="1:7">
      <c r="A323" s="2">
        <v>322</v>
      </c>
      <c r="B323" s="2" t="s">
        <v>88</v>
      </c>
      <c r="C323" s="2" t="s">
        <v>12</v>
      </c>
      <c r="D323" s="2">
        <v>45</v>
      </c>
      <c r="E323" s="3">
        <v>32096</v>
      </c>
      <c r="F323" s="2" t="s">
        <v>28</v>
      </c>
      <c r="G323" s="2" t="s">
        <v>26</v>
      </c>
    </row>
    <row r="324" spans="1:7">
      <c r="A324" s="2">
        <v>323</v>
      </c>
      <c r="B324" s="2" t="s">
        <v>71</v>
      </c>
      <c r="C324" s="2" t="s">
        <v>8</v>
      </c>
      <c r="D324" s="2">
        <v>9</v>
      </c>
      <c r="E324" s="3">
        <v>92471</v>
      </c>
      <c r="F324" s="2" t="s">
        <v>9</v>
      </c>
      <c r="G324" s="2" t="s">
        <v>14</v>
      </c>
    </row>
    <row r="325" spans="1:7">
      <c r="A325" s="2">
        <v>324</v>
      </c>
      <c r="B325" s="2" t="s">
        <v>40</v>
      </c>
      <c r="C325" s="2" t="s">
        <v>22</v>
      </c>
      <c r="D325" s="2">
        <v>31</v>
      </c>
      <c r="E325" s="3">
        <v>47612</v>
      </c>
      <c r="F325" s="2" t="s">
        <v>25</v>
      </c>
      <c r="G325" s="2" t="s">
        <v>29</v>
      </c>
    </row>
    <row r="326" spans="1:7">
      <c r="A326" s="2">
        <v>325</v>
      </c>
      <c r="B326" s="2" t="s">
        <v>27</v>
      </c>
      <c r="C326" s="2" t="s">
        <v>12</v>
      </c>
      <c r="D326" s="2">
        <v>5</v>
      </c>
      <c r="E326" s="3">
        <v>85181</v>
      </c>
      <c r="F326" s="2" t="s">
        <v>25</v>
      </c>
      <c r="G326" s="2" t="s">
        <v>26</v>
      </c>
    </row>
    <row r="327" spans="1:7">
      <c r="A327" s="2">
        <v>326</v>
      </c>
      <c r="B327" s="2" t="s">
        <v>27</v>
      </c>
      <c r="C327" s="2" t="s">
        <v>22</v>
      </c>
      <c r="D327" s="2">
        <v>15</v>
      </c>
      <c r="E327" s="3">
        <v>79438</v>
      </c>
      <c r="F327" s="2" t="s">
        <v>9</v>
      </c>
      <c r="G327" s="2" t="s">
        <v>29</v>
      </c>
    </row>
    <row r="328" spans="1:7">
      <c r="A328" s="2">
        <v>327</v>
      </c>
      <c r="B328" s="2" t="s">
        <v>87</v>
      </c>
      <c r="C328" s="2" t="s">
        <v>16</v>
      </c>
      <c r="D328" s="2">
        <v>25</v>
      </c>
      <c r="E328" s="3">
        <v>41749</v>
      </c>
      <c r="F328" s="2" t="s">
        <v>13</v>
      </c>
      <c r="G328" s="2" t="s">
        <v>10</v>
      </c>
    </row>
    <row r="329" spans="1:7">
      <c r="A329" s="2">
        <v>328</v>
      </c>
      <c r="B329" s="2" t="s">
        <v>64</v>
      </c>
      <c r="C329" s="2" t="s">
        <v>8</v>
      </c>
      <c r="D329" s="2">
        <v>6</v>
      </c>
      <c r="E329" s="3">
        <v>35131</v>
      </c>
      <c r="F329" s="2" t="s">
        <v>28</v>
      </c>
      <c r="G329" s="2" t="s">
        <v>23</v>
      </c>
    </row>
    <row r="330" spans="1:7">
      <c r="A330" s="2">
        <v>329</v>
      </c>
      <c r="B330" s="2" t="s">
        <v>81</v>
      </c>
      <c r="C330" s="2" t="s">
        <v>8</v>
      </c>
      <c r="D330" s="2">
        <v>47</v>
      </c>
      <c r="E330" s="3">
        <v>80272</v>
      </c>
      <c r="F330" s="2" t="s">
        <v>17</v>
      </c>
      <c r="G330" s="2" t="s">
        <v>18</v>
      </c>
    </row>
    <row r="331" spans="1:7">
      <c r="A331" s="2">
        <v>330</v>
      </c>
      <c r="B331" s="2" t="s">
        <v>49</v>
      </c>
      <c r="C331" s="2" t="s">
        <v>22</v>
      </c>
      <c r="D331" s="2">
        <v>7</v>
      </c>
      <c r="E331" s="3">
        <v>77276</v>
      </c>
      <c r="F331" s="2" t="s">
        <v>9</v>
      </c>
      <c r="G331" s="2" t="s">
        <v>10</v>
      </c>
    </row>
    <row r="332" spans="1:7">
      <c r="A332" s="2">
        <v>331</v>
      </c>
      <c r="B332" s="2" t="s">
        <v>46</v>
      </c>
      <c r="C332" s="2" t="s">
        <v>12</v>
      </c>
      <c r="D332" s="2">
        <v>7</v>
      </c>
      <c r="E332" s="3">
        <v>78586</v>
      </c>
      <c r="F332" s="2" t="s">
        <v>32</v>
      </c>
      <c r="G332" s="2" t="s">
        <v>23</v>
      </c>
    </row>
    <row r="333" spans="1:7">
      <c r="A333" s="2">
        <v>332</v>
      </c>
      <c r="B333" s="2" t="s">
        <v>48</v>
      </c>
      <c r="C333" s="2" t="s">
        <v>12</v>
      </c>
      <c r="D333" s="2">
        <v>21</v>
      </c>
      <c r="E333" s="3">
        <v>33022</v>
      </c>
      <c r="F333" s="2" t="s">
        <v>20</v>
      </c>
      <c r="G333" s="2" t="s">
        <v>23</v>
      </c>
    </row>
    <row r="334" spans="1:7">
      <c r="A334" s="2">
        <v>333</v>
      </c>
      <c r="B334" s="2" t="s">
        <v>60</v>
      </c>
      <c r="C334" s="2" t="s">
        <v>8</v>
      </c>
      <c r="D334" s="2">
        <v>24</v>
      </c>
      <c r="E334" s="3">
        <v>88936</v>
      </c>
      <c r="F334" s="2" t="s">
        <v>9</v>
      </c>
      <c r="G334" s="2" t="s">
        <v>10</v>
      </c>
    </row>
    <row r="335" spans="1:7">
      <c r="A335" s="2">
        <v>334</v>
      </c>
      <c r="B335" s="2" t="s">
        <v>64</v>
      </c>
      <c r="C335" s="2" t="s">
        <v>22</v>
      </c>
      <c r="D335" s="2">
        <v>20</v>
      </c>
      <c r="E335" s="3">
        <v>87005</v>
      </c>
      <c r="F335" s="2" t="s">
        <v>28</v>
      </c>
      <c r="G335" s="2" t="s">
        <v>29</v>
      </c>
    </row>
    <row r="336" spans="1:7">
      <c r="A336" s="2">
        <v>335</v>
      </c>
      <c r="B336" s="2" t="s">
        <v>69</v>
      </c>
      <c r="C336" s="2" t="s">
        <v>16</v>
      </c>
      <c r="D336" s="2">
        <v>9</v>
      </c>
      <c r="E336" s="3">
        <v>84993</v>
      </c>
      <c r="F336" s="2" t="s">
        <v>17</v>
      </c>
      <c r="G336" s="2" t="s">
        <v>29</v>
      </c>
    </row>
    <row r="337" spans="1:7">
      <c r="A337" s="2">
        <v>336</v>
      </c>
      <c r="B337" s="2" t="s">
        <v>49</v>
      </c>
      <c r="C337" s="2" t="s">
        <v>22</v>
      </c>
      <c r="D337" s="2">
        <v>25</v>
      </c>
      <c r="E337" s="3">
        <v>64718</v>
      </c>
      <c r="F337" s="2" t="s">
        <v>13</v>
      </c>
      <c r="G337" s="2" t="s">
        <v>26</v>
      </c>
    </row>
    <row r="338" spans="1:7">
      <c r="A338" s="2">
        <v>337</v>
      </c>
      <c r="B338" s="2" t="s">
        <v>72</v>
      </c>
      <c r="C338" s="2" t="s">
        <v>12</v>
      </c>
      <c r="D338" s="2">
        <v>50</v>
      </c>
      <c r="E338" s="3">
        <v>70095</v>
      </c>
      <c r="F338" s="2" t="s">
        <v>28</v>
      </c>
      <c r="G338" s="2" t="s">
        <v>18</v>
      </c>
    </row>
    <row r="339" spans="1:7">
      <c r="A339" s="2">
        <v>338</v>
      </c>
      <c r="B339" s="2" t="s">
        <v>84</v>
      </c>
      <c r="C339" s="2" t="s">
        <v>8</v>
      </c>
      <c r="D339" s="2">
        <v>49</v>
      </c>
      <c r="E339" s="3">
        <v>37908</v>
      </c>
      <c r="F339" s="2" t="s">
        <v>25</v>
      </c>
      <c r="G339" s="2" t="s">
        <v>18</v>
      </c>
    </row>
    <row r="340" spans="1:7">
      <c r="A340" s="2">
        <v>339</v>
      </c>
      <c r="B340" s="2" t="s">
        <v>87</v>
      </c>
      <c r="C340" s="2" t="s">
        <v>8</v>
      </c>
      <c r="D340" s="2">
        <v>9</v>
      </c>
      <c r="E340" s="3">
        <v>52114</v>
      </c>
      <c r="F340" s="2" t="s">
        <v>28</v>
      </c>
      <c r="G340" s="2" t="s">
        <v>23</v>
      </c>
    </row>
    <row r="341" spans="1:7">
      <c r="A341" s="2">
        <v>340</v>
      </c>
      <c r="B341" s="2" t="s">
        <v>44</v>
      </c>
      <c r="C341" s="2" t="s">
        <v>8</v>
      </c>
      <c r="D341" s="2">
        <v>42</v>
      </c>
      <c r="E341" s="3">
        <v>77138</v>
      </c>
      <c r="F341" s="2" t="s">
        <v>38</v>
      </c>
      <c r="G341" s="2" t="s">
        <v>26</v>
      </c>
    </row>
    <row r="342" spans="1:7">
      <c r="A342" s="2">
        <v>341</v>
      </c>
      <c r="B342" s="2" t="s">
        <v>71</v>
      </c>
      <c r="C342" s="2" t="s">
        <v>16</v>
      </c>
      <c r="D342" s="2">
        <v>44</v>
      </c>
      <c r="E342" s="3">
        <v>89640</v>
      </c>
      <c r="F342" s="2" t="s">
        <v>38</v>
      </c>
      <c r="G342" s="2" t="s">
        <v>18</v>
      </c>
    </row>
    <row r="343" spans="1:7">
      <c r="A343" s="2">
        <v>342</v>
      </c>
      <c r="B343" s="2" t="s">
        <v>87</v>
      </c>
      <c r="C343" s="2" t="s">
        <v>16</v>
      </c>
      <c r="D343" s="2">
        <v>10</v>
      </c>
      <c r="E343" s="3">
        <v>80399</v>
      </c>
      <c r="F343" s="2" t="s">
        <v>25</v>
      </c>
      <c r="G343" s="2" t="s">
        <v>10</v>
      </c>
    </row>
    <row r="344" spans="1:7">
      <c r="A344" s="2">
        <v>343</v>
      </c>
      <c r="B344" s="2" t="s">
        <v>76</v>
      </c>
      <c r="C344" s="2" t="s">
        <v>12</v>
      </c>
      <c r="D344" s="2">
        <v>5</v>
      </c>
      <c r="E344" s="3">
        <v>61371</v>
      </c>
      <c r="F344" s="2" t="s">
        <v>17</v>
      </c>
      <c r="G344" s="2" t="s">
        <v>26</v>
      </c>
    </row>
    <row r="345" spans="1:7">
      <c r="A345" s="2">
        <v>344</v>
      </c>
      <c r="B345" s="2" t="s">
        <v>61</v>
      </c>
      <c r="C345" s="2" t="s">
        <v>22</v>
      </c>
      <c r="D345" s="2">
        <v>34</v>
      </c>
      <c r="E345" s="3">
        <v>64858</v>
      </c>
      <c r="F345" s="2" t="s">
        <v>28</v>
      </c>
      <c r="G345" s="2" t="s">
        <v>18</v>
      </c>
    </row>
    <row r="346" spans="1:7">
      <c r="A346" s="2">
        <v>345</v>
      </c>
      <c r="B346" s="2" t="s">
        <v>49</v>
      </c>
      <c r="C346" s="2" t="s">
        <v>22</v>
      </c>
      <c r="D346" s="2">
        <v>37</v>
      </c>
      <c r="E346" s="3">
        <v>77253</v>
      </c>
      <c r="F346" s="2" t="s">
        <v>9</v>
      </c>
      <c r="G346" s="2" t="s">
        <v>14</v>
      </c>
    </row>
    <row r="347" spans="1:7">
      <c r="A347" s="2">
        <v>346</v>
      </c>
      <c r="B347" s="2" t="s">
        <v>27</v>
      </c>
      <c r="C347" s="2" t="s">
        <v>22</v>
      </c>
      <c r="D347" s="2">
        <v>1</v>
      </c>
      <c r="E347" s="3">
        <v>91361</v>
      </c>
      <c r="F347" s="2" t="s">
        <v>38</v>
      </c>
      <c r="G347" s="2" t="s">
        <v>23</v>
      </c>
    </row>
    <row r="348" spans="1:7">
      <c r="A348" s="2">
        <v>347</v>
      </c>
      <c r="B348" s="2" t="s">
        <v>50</v>
      </c>
      <c r="C348" s="2" t="s">
        <v>16</v>
      </c>
      <c r="D348" s="2">
        <v>40</v>
      </c>
      <c r="E348" s="3">
        <v>78669</v>
      </c>
      <c r="F348" s="2" t="s">
        <v>9</v>
      </c>
      <c r="G348" s="2" t="s">
        <v>14</v>
      </c>
    </row>
    <row r="349" spans="1:7">
      <c r="A349" s="2">
        <v>348</v>
      </c>
      <c r="B349" s="2" t="s">
        <v>70</v>
      </c>
      <c r="C349" s="2" t="s">
        <v>8</v>
      </c>
      <c r="D349" s="2">
        <v>42</v>
      </c>
      <c r="E349" s="3">
        <v>97058</v>
      </c>
      <c r="F349" s="2" t="s">
        <v>9</v>
      </c>
      <c r="G349" s="2" t="s">
        <v>23</v>
      </c>
    </row>
    <row r="350" spans="1:7">
      <c r="A350" s="2">
        <v>349</v>
      </c>
      <c r="B350" s="2" t="s">
        <v>27</v>
      </c>
      <c r="C350" s="2" t="s">
        <v>12</v>
      </c>
      <c r="D350" s="2">
        <v>11</v>
      </c>
      <c r="E350" s="3">
        <v>89720</v>
      </c>
      <c r="F350" s="2" t="s">
        <v>28</v>
      </c>
      <c r="G350" s="2" t="s">
        <v>23</v>
      </c>
    </row>
    <row r="351" spans="1:7">
      <c r="A351" s="2">
        <v>350</v>
      </c>
      <c r="B351" s="2" t="s">
        <v>7</v>
      </c>
      <c r="C351" s="2" t="s">
        <v>12</v>
      </c>
      <c r="D351" s="2">
        <v>29</v>
      </c>
      <c r="E351" s="3">
        <v>35543</v>
      </c>
      <c r="F351" s="2" t="s">
        <v>38</v>
      </c>
      <c r="G351" s="2" t="s">
        <v>10</v>
      </c>
    </row>
    <row r="352" spans="1:7">
      <c r="A352" s="2">
        <v>351</v>
      </c>
      <c r="B352" s="2" t="s">
        <v>57</v>
      </c>
      <c r="C352" s="2" t="s">
        <v>16</v>
      </c>
      <c r="D352" s="2">
        <v>23</v>
      </c>
      <c r="E352" s="3">
        <v>79700</v>
      </c>
      <c r="F352" s="2" t="s">
        <v>13</v>
      </c>
      <c r="G352" s="2" t="s">
        <v>29</v>
      </c>
    </row>
    <row r="353" spans="1:7">
      <c r="A353" s="2">
        <v>352</v>
      </c>
      <c r="B353" s="2" t="s">
        <v>68</v>
      </c>
      <c r="C353" s="2" t="s">
        <v>16</v>
      </c>
      <c r="D353" s="2">
        <v>47</v>
      </c>
      <c r="E353" s="3">
        <v>33293</v>
      </c>
      <c r="F353" s="2" t="s">
        <v>28</v>
      </c>
      <c r="G353" s="2" t="s">
        <v>18</v>
      </c>
    </row>
    <row r="354" spans="1:7">
      <c r="A354" s="2">
        <v>353</v>
      </c>
      <c r="B354" s="2" t="s">
        <v>15</v>
      </c>
      <c r="C354" s="2" t="s">
        <v>8</v>
      </c>
      <c r="D354" s="2">
        <v>14</v>
      </c>
      <c r="E354" s="3">
        <v>28308</v>
      </c>
      <c r="F354" s="2" t="s">
        <v>32</v>
      </c>
      <c r="G354" s="2" t="s">
        <v>14</v>
      </c>
    </row>
    <row r="355" spans="1:7">
      <c r="A355" s="2">
        <v>354</v>
      </c>
      <c r="B355" s="2" t="s">
        <v>86</v>
      </c>
      <c r="C355" s="2" t="s">
        <v>8</v>
      </c>
      <c r="D355" s="2">
        <v>41</v>
      </c>
      <c r="E355" s="3">
        <v>70713</v>
      </c>
      <c r="F355" s="2" t="s">
        <v>38</v>
      </c>
      <c r="G355" s="2" t="s">
        <v>18</v>
      </c>
    </row>
    <row r="356" spans="1:7">
      <c r="A356" s="2">
        <v>355</v>
      </c>
      <c r="B356" s="2" t="s">
        <v>63</v>
      </c>
      <c r="C356" s="2" t="s">
        <v>16</v>
      </c>
      <c r="D356" s="2">
        <v>48</v>
      </c>
      <c r="E356" s="3">
        <v>27849</v>
      </c>
      <c r="F356" s="2" t="s">
        <v>17</v>
      </c>
      <c r="G356" s="2" t="s">
        <v>23</v>
      </c>
    </row>
    <row r="357" spans="1:7">
      <c r="A357" s="2">
        <v>356</v>
      </c>
      <c r="B357" s="2" t="s">
        <v>19</v>
      </c>
      <c r="C357" s="2" t="s">
        <v>12</v>
      </c>
      <c r="D357" s="2">
        <v>10</v>
      </c>
      <c r="E357" s="3">
        <v>92560</v>
      </c>
      <c r="F357" s="2" t="s">
        <v>32</v>
      </c>
      <c r="G357" s="2" t="s">
        <v>14</v>
      </c>
    </row>
    <row r="358" spans="1:7">
      <c r="A358" s="2">
        <v>357</v>
      </c>
      <c r="B358" s="2" t="s">
        <v>53</v>
      </c>
      <c r="C358" s="2" t="s">
        <v>8</v>
      </c>
      <c r="D358" s="2">
        <v>27</v>
      </c>
      <c r="E358" s="3">
        <v>54768</v>
      </c>
      <c r="F358" s="2" t="s">
        <v>13</v>
      </c>
      <c r="G358" s="2" t="s">
        <v>14</v>
      </c>
    </row>
    <row r="359" spans="1:7">
      <c r="A359" s="2">
        <v>358</v>
      </c>
      <c r="B359" s="2" t="s">
        <v>64</v>
      </c>
      <c r="C359" s="2" t="s">
        <v>8</v>
      </c>
      <c r="D359" s="2">
        <v>40</v>
      </c>
      <c r="E359" s="3">
        <v>57222</v>
      </c>
      <c r="F359" s="2" t="s">
        <v>13</v>
      </c>
      <c r="G359" s="2" t="s">
        <v>26</v>
      </c>
    </row>
    <row r="360" spans="1:7">
      <c r="A360" s="2">
        <v>359</v>
      </c>
      <c r="B360" s="2" t="s">
        <v>49</v>
      </c>
      <c r="C360" s="2" t="s">
        <v>12</v>
      </c>
      <c r="D360" s="2">
        <v>44</v>
      </c>
      <c r="E360" s="3">
        <v>83028</v>
      </c>
      <c r="F360" s="2" t="s">
        <v>13</v>
      </c>
      <c r="G360" s="2" t="s">
        <v>23</v>
      </c>
    </row>
    <row r="361" spans="1:7">
      <c r="A361" s="2">
        <v>360</v>
      </c>
      <c r="B361" s="2" t="s">
        <v>81</v>
      </c>
      <c r="C361" s="2" t="s">
        <v>8</v>
      </c>
      <c r="D361" s="2">
        <v>29</v>
      </c>
      <c r="E361" s="3">
        <v>97904</v>
      </c>
      <c r="F361" s="2" t="s">
        <v>32</v>
      </c>
      <c r="G361" s="2" t="s">
        <v>18</v>
      </c>
    </row>
    <row r="362" spans="1:7">
      <c r="A362" s="2">
        <v>361</v>
      </c>
      <c r="B362" s="2" t="s">
        <v>43</v>
      </c>
      <c r="C362" s="2" t="s">
        <v>12</v>
      </c>
      <c r="D362" s="2">
        <v>14</v>
      </c>
      <c r="E362" s="3">
        <v>62030</v>
      </c>
      <c r="F362" s="2" t="s">
        <v>25</v>
      </c>
      <c r="G362" s="2" t="s">
        <v>14</v>
      </c>
    </row>
    <row r="363" spans="1:7">
      <c r="A363" s="2">
        <v>362</v>
      </c>
      <c r="B363" s="2" t="s">
        <v>55</v>
      </c>
      <c r="C363" s="2" t="s">
        <v>22</v>
      </c>
      <c r="D363" s="2">
        <v>6</v>
      </c>
      <c r="E363" s="3">
        <v>95683</v>
      </c>
      <c r="F363" s="2" t="s">
        <v>13</v>
      </c>
      <c r="G363" s="2" t="s">
        <v>18</v>
      </c>
    </row>
    <row r="364" spans="1:7">
      <c r="A364" s="2">
        <v>363</v>
      </c>
      <c r="B364" s="2" t="s">
        <v>11</v>
      </c>
      <c r="C364" s="2" t="s">
        <v>8</v>
      </c>
      <c r="D364" s="2">
        <v>7</v>
      </c>
      <c r="E364" s="3">
        <v>30307</v>
      </c>
      <c r="F364" s="2" t="s">
        <v>13</v>
      </c>
      <c r="G364" s="2" t="s">
        <v>14</v>
      </c>
    </row>
    <row r="365" spans="1:7">
      <c r="A365" s="2">
        <v>364</v>
      </c>
      <c r="B365" s="2" t="s">
        <v>60</v>
      </c>
      <c r="C365" s="2" t="s">
        <v>8</v>
      </c>
      <c r="D365" s="2">
        <v>9</v>
      </c>
      <c r="E365" s="3">
        <v>42150</v>
      </c>
      <c r="F365" s="2" t="s">
        <v>32</v>
      </c>
      <c r="G365" s="2" t="s">
        <v>29</v>
      </c>
    </row>
    <row r="366" spans="1:7">
      <c r="A366" s="2">
        <v>365</v>
      </c>
      <c r="B366" s="2" t="s">
        <v>82</v>
      </c>
      <c r="C366" s="2" t="s">
        <v>22</v>
      </c>
      <c r="D366" s="2">
        <v>49</v>
      </c>
      <c r="E366" s="3">
        <v>53841</v>
      </c>
      <c r="F366" s="2" t="s">
        <v>28</v>
      </c>
      <c r="G366" s="2" t="s">
        <v>10</v>
      </c>
    </row>
    <row r="367" spans="1:7">
      <c r="A367" s="2">
        <v>366</v>
      </c>
      <c r="B367" s="2" t="s">
        <v>49</v>
      </c>
      <c r="C367" s="2" t="s">
        <v>12</v>
      </c>
      <c r="D367" s="2">
        <v>8</v>
      </c>
      <c r="E367" s="3">
        <v>40082</v>
      </c>
      <c r="F367" s="2" t="s">
        <v>20</v>
      </c>
      <c r="G367" s="2" t="s">
        <v>26</v>
      </c>
    </row>
    <row r="368" spans="1:7">
      <c r="A368" s="2">
        <v>367</v>
      </c>
      <c r="B368" s="2" t="s">
        <v>76</v>
      </c>
      <c r="C368" s="2" t="s">
        <v>8</v>
      </c>
      <c r="D368" s="2">
        <v>38</v>
      </c>
      <c r="E368" s="3">
        <v>99499</v>
      </c>
      <c r="F368" s="2" t="s">
        <v>13</v>
      </c>
      <c r="G368" s="2" t="s">
        <v>23</v>
      </c>
    </row>
    <row r="369" spans="1:7">
      <c r="A369" s="2">
        <v>368</v>
      </c>
      <c r="B369" s="2" t="s">
        <v>89</v>
      </c>
      <c r="C369" s="2" t="s">
        <v>22</v>
      </c>
      <c r="D369" s="2">
        <v>47</v>
      </c>
      <c r="E369" s="3">
        <v>43961</v>
      </c>
      <c r="F369" s="2" t="s">
        <v>32</v>
      </c>
      <c r="G369" s="2" t="s">
        <v>10</v>
      </c>
    </row>
    <row r="370" spans="1:7">
      <c r="A370" s="2">
        <v>369</v>
      </c>
      <c r="B370" s="2" t="s">
        <v>77</v>
      </c>
      <c r="C370" s="2" t="s">
        <v>12</v>
      </c>
      <c r="D370" s="2">
        <v>25</v>
      </c>
      <c r="E370" s="3">
        <v>29616</v>
      </c>
      <c r="F370" s="2" t="s">
        <v>28</v>
      </c>
      <c r="G370" s="2" t="s">
        <v>26</v>
      </c>
    </row>
    <row r="371" spans="1:7">
      <c r="A371" s="2">
        <v>370</v>
      </c>
      <c r="B371" s="2" t="s">
        <v>91</v>
      </c>
      <c r="C371" s="2" t="s">
        <v>8</v>
      </c>
      <c r="D371" s="2">
        <v>23</v>
      </c>
      <c r="E371" s="3">
        <v>31204</v>
      </c>
      <c r="F371" s="2" t="s">
        <v>28</v>
      </c>
      <c r="G371" s="2" t="s">
        <v>18</v>
      </c>
    </row>
    <row r="372" spans="1:7">
      <c r="A372" s="2">
        <v>371</v>
      </c>
      <c r="B372" s="2" t="s">
        <v>62</v>
      </c>
      <c r="C372" s="2" t="s">
        <v>16</v>
      </c>
      <c r="D372" s="2">
        <v>28</v>
      </c>
      <c r="E372" s="3">
        <v>88797</v>
      </c>
      <c r="F372" s="2" t="s">
        <v>28</v>
      </c>
      <c r="G372" s="2" t="s">
        <v>26</v>
      </c>
    </row>
    <row r="373" spans="1:7">
      <c r="A373" s="2">
        <v>372</v>
      </c>
      <c r="B373" s="2" t="s">
        <v>24</v>
      </c>
      <c r="C373" s="2" t="s">
        <v>22</v>
      </c>
      <c r="D373" s="2">
        <v>21</v>
      </c>
      <c r="E373" s="3">
        <v>49863</v>
      </c>
      <c r="F373" s="2" t="s">
        <v>13</v>
      </c>
      <c r="G373" s="2" t="s">
        <v>10</v>
      </c>
    </row>
    <row r="374" spans="1:7">
      <c r="A374" s="2">
        <v>373</v>
      </c>
      <c r="B374" s="2" t="s">
        <v>43</v>
      </c>
      <c r="C374" s="2" t="s">
        <v>12</v>
      </c>
      <c r="D374" s="2">
        <v>9</v>
      </c>
      <c r="E374" s="3">
        <v>81053</v>
      </c>
      <c r="F374" s="2" t="s">
        <v>32</v>
      </c>
      <c r="G374" s="2" t="s">
        <v>10</v>
      </c>
    </row>
    <row r="375" spans="1:7">
      <c r="A375" s="2">
        <v>374</v>
      </c>
      <c r="B375" s="2" t="s">
        <v>57</v>
      </c>
      <c r="C375" s="2" t="s">
        <v>16</v>
      </c>
      <c r="D375" s="2">
        <v>16</v>
      </c>
      <c r="E375" s="3">
        <v>63867</v>
      </c>
      <c r="F375" s="2" t="s">
        <v>20</v>
      </c>
      <c r="G375" s="2" t="s">
        <v>10</v>
      </c>
    </row>
    <row r="376" spans="1:7">
      <c r="A376" s="2">
        <v>375</v>
      </c>
      <c r="B376" s="2" t="s">
        <v>47</v>
      </c>
      <c r="C376" s="2" t="s">
        <v>12</v>
      </c>
      <c r="D376" s="2">
        <v>18</v>
      </c>
      <c r="E376" s="3">
        <v>41748</v>
      </c>
      <c r="F376" s="2" t="s">
        <v>25</v>
      </c>
      <c r="G376" s="2" t="s">
        <v>10</v>
      </c>
    </row>
    <row r="377" spans="1:7">
      <c r="A377" s="2">
        <v>376</v>
      </c>
      <c r="B377" s="2" t="s">
        <v>39</v>
      </c>
      <c r="C377" s="2" t="s">
        <v>16</v>
      </c>
      <c r="D377" s="2">
        <v>42</v>
      </c>
      <c r="E377" s="3">
        <v>61565</v>
      </c>
      <c r="F377" s="2" t="s">
        <v>25</v>
      </c>
      <c r="G377" s="2" t="s">
        <v>23</v>
      </c>
    </row>
    <row r="378" spans="1:7">
      <c r="A378" s="2">
        <v>377</v>
      </c>
      <c r="B378" s="2" t="s">
        <v>35</v>
      </c>
      <c r="C378" s="2" t="s">
        <v>16</v>
      </c>
      <c r="D378" s="2">
        <v>6</v>
      </c>
      <c r="E378" s="3">
        <v>26782</v>
      </c>
      <c r="F378" s="2" t="s">
        <v>28</v>
      </c>
      <c r="G378" s="2" t="s">
        <v>29</v>
      </c>
    </row>
    <row r="379" spans="1:7">
      <c r="A379" s="2">
        <v>378</v>
      </c>
      <c r="B379" s="2" t="s">
        <v>58</v>
      </c>
      <c r="C379" s="2" t="s">
        <v>22</v>
      </c>
      <c r="D379" s="2">
        <v>16</v>
      </c>
      <c r="E379" s="3">
        <v>85307</v>
      </c>
      <c r="F379" s="2" t="s">
        <v>20</v>
      </c>
      <c r="G379" s="2" t="s">
        <v>26</v>
      </c>
    </row>
    <row r="380" spans="1:7">
      <c r="A380" s="2">
        <v>379</v>
      </c>
      <c r="B380" s="2" t="s">
        <v>60</v>
      </c>
      <c r="C380" s="2" t="s">
        <v>22</v>
      </c>
      <c r="D380" s="2">
        <v>36</v>
      </c>
      <c r="E380" s="3">
        <v>80828</v>
      </c>
      <c r="F380" s="2" t="s">
        <v>9</v>
      </c>
      <c r="G380" s="2" t="s">
        <v>29</v>
      </c>
    </row>
    <row r="381" spans="1:7">
      <c r="A381" s="2">
        <v>380</v>
      </c>
      <c r="B381" s="2" t="s">
        <v>91</v>
      </c>
      <c r="C381" s="2" t="s">
        <v>16</v>
      </c>
      <c r="D381" s="2">
        <v>39</v>
      </c>
      <c r="E381" s="3">
        <v>37443</v>
      </c>
      <c r="F381" s="2" t="s">
        <v>9</v>
      </c>
      <c r="G381" s="2" t="s">
        <v>10</v>
      </c>
    </row>
    <row r="382" spans="1:7">
      <c r="A382" s="2">
        <v>381</v>
      </c>
      <c r="B382" s="2" t="s">
        <v>39</v>
      </c>
      <c r="C382" s="2" t="s">
        <v>22</v>
      </c>
      <c r="D382" s="2">
        <v>39</v>
      </c>
      <c r="E382" s="3">
        <v>50416</v>
      </c>
      <c r="F382" s="2" t="s">
        <v>28</v>
      </c>
      <c r="G382" s="2" t="s">
        <v>29</v>
      </c>
    </row>
    <row r="383" spans="1:7">
      <c r="A383" s="2">
        <v>382</v>
      </c>
      <c r="B383" s="2" t="s">
        <v>76</v>
      </c>
      <c r="C383" s="2" t="s">
        <v>12</v>
      </c>
      <c r="D383" s="2">
        <v>47</v>
      </c>
      <c r="E383" s="3">
        <v>72515</v>
      </c>
      <c r="F383" s="2" t="s">
        <v>9</v>
      </c>
      <c r="G383" s="2" t="s">
        <v>29</v>
      </c>
    </row>
    <row r="384" spans="1:7">
      <c r="A384" s="2">
        <v>383</v>
      </c>
      <c r="B384" s="2" t="s">
        <v>77</v>
      </c>
      <c r="C384" s="2" t="s">
        <v>8</v>
      </c>
      <c r="D384" s="2">
        <v>39</v>
      </c>
      <c r="E384" s="3">
        <v>35200</v>
      </c>
      <c r="F384" s="2" t="s">
        <v>32</v>
      </c>
      <c r="G384" s="2" t="s">
        <v>23</v>
      </c>
    </row>
    <row r="385" spans="1:7">
      <c r="A385" s="2">
        <v>384</v>
      </c>
      <c r="B385" s="2" t="s">
        <v>90</v>
      </c>
      <c r="C385" s="2" t="s">
        <v>12</v>
      </c>
      <c r="D385" s="2">
        <v>19</v>
      </c>
      <c r="E385" s="3">
        <v>81837</v>
      </c>
      <c r="F385" s="2" t="s">
        <v>17</v>
      </c>
      <c r="G385" s="2" t="s">
        <v>10</v>
      </c>
    </row>
    <row r="386" spans="1:7">
      <c r="A386" s="2">
        <v>385</v>
      </c>
      <c r="B386" s="2" t="s">
        <v>39</v>
      </c>
      <c r="C386" s="2" t="s">
        <v>16</v>
      </c>
      <c r="D386" s="2">
        <v>50</v>
      </c>
      <c r="E386" s="3">
        <v>63289</v>
      </c>
      <c r="F386" s="2" t="s">
        <v>38</v>
      </c>
      <c r="G386" s="2" t="s">
        <v>18</v>
      </c>
    </row>
    <row r="387" spans="1:7">
      <c r="A387" s="2">
        <v>386</v>
      </c>
      <c r="B387" s="2" t="s">
        <v>91</v>
      </c>
      <c r="C387" s="2" t="s">
        <v>12</v>
      </c>
      <c r="D387" s="2">
        <v>45</v>
      </c>
      <c r="E387" s="3">
        <v>99044</v>
      </c>
      <c r="F387" s="2" t="s">
        <v>25</v>
      </c>
      <c r="G387" s="2" t="s">
        <v>10</v>
      </c>
    </row>
    <row r="388" spans="1:7">
      <c r="A388" s="2">
        <v>387</v>
      </c>
      <c r="B388" s="2" t="s">
        <v>47</v>
      </c>
      <c r="C388" s="2" t="s">
        <v>16</v>
      </c>
      <c r="D388" s="2">
        <v>2</v>
      </c>
      <c r="E388" s="3">
        <v>94002</v>
      </c>
      <c r="F388" s="2" t="s">
        <v>38</v>
      </c>
      <c r="G388" s="2" t="s">
        <v>29</v>
      </c>
    </row>
    <row r="389" spans="1:7">
      <c r="A389" s="2">
        <v>388</v>
      </c>
      <c r="B389" s="2" t="s">
        <v>24</v>
      </c>
      <c r="C389" s="2" t="s">
        <v>12</v>
      </c>
      <c r="D389" s="2">
        <v>43</v>
      </c>
      <c r="E389" s="3">
        <v>92482</v>
      </c>
      <c r="F389" s="2" t="s">
        <v>38</v>
      </c>
      <c r="G389" s="2" t="s">
        <v>18</v>
      </c>
    </row>
    <row r="390" spans="1:7">
      <c r="A390" s="2">
        <v>389</v>
      </c>
      <c r="B390" s="2" t="s">
        <v>85</v>
      </c>
      <c r="C390" s="2" t="s">
        <v>12</v>
      </c>
      <c r="D390" s="2">
        <v>20</v>
      </c>
      <c r="E390" s="3">
        <v>26959</v>
      </c>
      <c r="F390" s="2" t="s">
        <v>25</v>
      </c>
      <c r="G390" s="2" t="s">
        <v>26</v>
      </c>
    </row>
    <row r="391" spans="1:7">
      <c r="A391" s="2">
        <v>390</v>
      </c>
      <c r="B391" s="2" t="s">
        <v>15</v>
      </c>
      <c r="C391" s="2" t="s">
        <v>22</v>
      </c>
      <c r="D391" s="2">
        <v>14</v>
      </c>
      <c r="E391" s="3">
        <v>86081</v>
      </c>
      <c r="F391" s="2" t="s">
        <v>20</v>
      </c>
      <c r="G391" s="2" t="s">
        <v>29</v>
      </c>
    </row>
    <row r="392" spans="1:7">
      <c r="A392" s="2">
        <v>391</v>
      </c>
      <c r="B392" s="2" t="s">
        <v>53</v>
      </c>
      <c r="C392" s="2" t="s">
        <v>16</v>
      </c>
      <c r="D392" s="2">
        <v>34</v>
      </c>
      <c r="E392" s="3">
        <v>92934</v>
      </c>
      <c r="F392" s="2" t="s">
        <v>28</v>
      </c>
      <c r="G392" s="2" t="s">
        <v>29</v>
      </c>
    </row>
    <row r="393" spans="1:7">
      <c r="A393" s="2">
        <v>392</v>
      </c>
      <c r="B393" s="2" t="s">
        <v>45</v>
      </c>
      <c r="C393" s="2" t="s">
        <v>16</v>
      </c>
      <c r="D393" s="2">
        <v>39</v>
      </c>
      <c r="E393" s="3">
        <v>92845</v>
      </c>
      <c r="F393" s="2" t="s">
        <v>28</v>
      </c>
      <c r="G393" s="2" t="s">
        <v>14</v>
      </c>
    </row>
    <row r="394" spans="1:7">
      <c r="A394" s="2">
        <v>393</v>
      </c>
      <c r="B394" s="2" t="s">
        <v>77</v>
      </c>
      <c r="C394" s="2" t="s">
        <v>8</v>
      </c>
      <c r="D394" s="2">
        <v>33</v>
      </c>
      <c r="E394" s="3">
        <v>91383</v>
      </c>
      <c r="F394" s="2" t="s">
        <v>25</v>
      </c>
      <c r="G394" s="2" t="s">
        <v>14</v>
      </c>
    </row>
    <row r="395" spans="1:7">
      <c r="A395" s="2">
        <v>394</v>
      </c>
      <c r="B395" s="2" t="s">
        <v>21</v>
      </c>
      <c r="C395" s="2" t="s">
        <v>12</v>
      </c>
      <c r="D395" s="2">
        <v>13</v>
      </c>
      <c r="E395" s="3">
        <v>81592</v>
      </c>
      <c r="F395" s="2" t="s">
        <v>9</v>
      </c>
      <c r="G395" s="2" t="s">
        <v>26</v>
      </c>
    </row>
    <row r="396" spans="1:7">
      <c r="A396" s="2">
        <v>395</v>
      </c>
      <c r="B396" s="2" t="s">
        <v>37</v>
      </c>
      <c r="C396" s="2" t="s">
        <v>12</v>
      </c>
      <c r="D396" s="2">
        <v>48</v>
      </c>
      <c r="E396" s="3">
        <v>58525</v>
      </c>
      <c r="F396" s="2" t="s">
        <v>38</v>
      </c>
      <c r="G396" s="2" t="s">
        <v>14</v>
      </c>
    </row>
    <row r="397" spans="1:7">
      <c r="A397" s="2">
        <v>396</v>
      </c>
      <c r="B397" s="2" t="s">
        <v>31</v>
      </c>
      <c r="C397" s="2" t="s">
        <v>8</v>
      </c>
      <c r="D397" s="2">
        <v>26</v>
      </c>
      <c r="E397" s="3">
        <v>37903</v>
      </c>
      <c r="F397" s="2" t="s">
        <v>32</v>
      </c>
      <c r="G397" s="2" t="s">
        <v>29</v>
      </c>
    </row>
    <row r="398" spans="1:7">
      <c r="A398" s="2">
        <v>397</v>
      </c>
      <c r="B398" s="2" t="s">
        <v>77</v>
      </c>
      <c r="C398" s="2" t="s">
        <v>16</v>
      </c>
      <c r="D398" s="2">
        <v>19</v>
      </c>
      <c r="E398" s="3">
        <v>44740</v>
      </c>
      <c r="F398" s="2" t="s">
        <v>20</v>
      </c>
      <c r="G398" s="2" t="s">
        <v>26</v>
      </c>
    </row>
    <row r="399" spans="1:7">
      <c r="A399" s="2">
        <v>398</v>
      </c>
      <c r="B399" s="2" t="s">
        <v>57</v>
      </c>
      <c r="C399" s="2" t="s">
        <v>12</v>
      </c>
      <c r="D399" s="2">
        <v>42</v>
      </c>
      <c r="E399" s="3">
        <v>41499</v>
      </c>
      <c r="F399" s="2" t="s">
        <v>25</v>
      </c>
      <c r="G399" s="2" t="s">
        <v>10</v>
      </c>
    </row>
    <row r="400" spans="1:7">
      <c r="A400" s="2">
        <v>399</v>
      </c>
      <c r="B400" s="2" t="s">
        <v>74</v>
      </c>
      <c r="C400" s="2" t="s">
        <v>8</v>
      </c>
      <c r="D400" s="2">
        <v>4</v>
      </c>
      <c r="E400" s="3">
        <v>55627</v>
      </c>
      <c r="F400" s="2" t="s">
        <v>38</v>
      </c>
      <c r="G400" s="2" t="s">
        <v>26</v>
      </c>
    </row>
    <row r="401" spans="1:7">
      <c r="A401" s="2">
        <v>400</v>
      </c>
      <c r="B401" s="2" t="s">
        <v>54</v>
      </c>
      <c r="C401" s="2" t="s">
        <v>8</v>
      </c>
      <c r="D401" s="2">
        <v>16</v>
      </c>
      <c r="E401" s="3">
        <v>96569</v>
      </c>
      <c r="F401" s="2" t="s">
        <v>9</v>
      </c>
      <c r="G401" s="2" t="s">
        <v>10</v>
      </c>
    </row>
    <row r="402" spans="1:7">
      <c r="A402" s="2">
        <v>401</v>
      </c>
      <c r="B402" s="2" t="s">
        <v>83</v>
      </c>
      <c r="C402" s="2" t="s">
        <v>8</v>
      </c>
      <c r="D402" s="2">
        <v>32</v>
      </c>
      <c r="E402" s="3">
        <v>35015</v>
      </c>
      <c r="F402" s="2" t="s">
        <v>32</v>
      </c>
      <c r="G402" s="2" t="s">
        <v>29</v>
      </c>
    </row>
    <row r="403" spans="1:7">
      <c r="A403" s="2">
        <v>402</v>
      </c>
      <c r="B403" s="2" t="s">
        <v>66</v>
      </c>
      <c r="C403" s="2" t="s">
        <v>12</v>
      </c>
      <c r="D403" s="2">
        <v>25</v>
      </c>
      <c r="E403" s="3">
        <v>93880</v>
      </c>
      <c r="F403" s="2" t="s">
        <v>17</v>
      </c>
      <c r="G403" s="2" t="s">
        <v>14</v>
      </c>
    </row>
    <row r="404" spans="1:7">
      <c r="A404" s="2">
        <v>403</v>
      </c>
      <c r="B404" s="2" t="s">
        <v>83</v>
      </c>
      <c r="C404" s="2" t="s">
        <v>16</v>
      </c>
      <c r="D404" s="2">
        <v>8</v>
      </c>
      <c r="E404" s="3">
        <v>78048</v>
      </c>
      <c r="F404" s="2" t="s">
        <v>13</v>
      </c>
      <c r="G404" s="2" t="s">
        <v>29</v>
      </c>
    </row>
    <row r="405" spans="1:7">
      <c r="A405" s="2">
        <v>404</v>
      </c>
      <c r="B405" s="2" t="s">
        <v>50</v>
      </c>
      <c r="C405" s="2" t="s">
        <v>16</v>
      </c>
      <c r="D405" s="2">
        <v>16</v>
      </c>
      <c r="E405" s="3">
        <v>97254</v>
      </c>
      <c r="F405" s="2" t="s">
        <v>28</v>
      </c>
      <c r="G405" s="2" t="s">
        <v>26</v>
      </c>
    </row>
    <row r="406" spans="1:7">
      <c r="A406" s="2">
        <v>405</v>
      </c>
      <c r="B406" s="2" t="s">
        <v>47</v>
      </c>
      <c r="C406" s="2" t="s">
        <v>8</v>
      </c>
      <c r="D406" s="2">
        <v>32</v>
      </c>
      <c r="E406" s="3">
        <v>55035</v>
      </c>
      <c r="F406" s="2" t="s">
        <v>9</v>
      </c>
      <c r="G406" s="2" t="s">
        <v>10</v>
      </c>
    </row>
    <row r="407" spans="1:7">
      <c r="A407" s="2">
        <v>406</v>
      </c>
      <c r="B407" s="2" t="s">
        <v>76</v>
      </c>
      <c r="C407" s="2" t="s">
        <v>8</v>
      </c>
      <c r="D407" s="2">
        <v>41</v>
      </c>
      <c r="E407" s="3">
        <v>74886</v>
      </c>
      <c r="F407" s="2" t="s">
        <v>17</v>
      </c>
      <c r="G407" s="2" t="s">
        <v>10</v>
      </c>
    </row>
    <row r="408" spans="1:7">
      <c r="A408" s="2">
        <v>407</v>
      </c>
      <c r="B408" s="2" t="s">
        <v>91</v>
      </c>
      <c r="C408" s="2" t="s">
        <v>16</v>
      </c>
      <c r="D408" s="2">
        <v>39</v>
      </c>
      <c r="E408" s="3">
        <v>89524</v>
      </c>
      <c r="F408" s="2" t="s">
        <v>9</v>
      </c>
      <c r="G408" s="2" t="s">
        <v>26</v>
      </c>
    </row>
    <row r="409" spans="1:7">
      <c r="A409" s="2">
        <v>408</v>
      </c>
      <c r="B409" s="2" t="s">
        <v>92</v>
      </c>
      <c r="C409" s="2" t="s">
        <v>8</v>
      </c>
      <c r="D409" s="2">
        <v>5</v>
      </c>
      <c r="E409" s="3">
        <v>83231</v>
      </c>
      <c r="F409" s="2" t="s">
        <v>38</v>
      </c>
      <c r="G409" s="2" t="s">
        <v>23</v>
      </c>
    </row>
    <row r="410" spans="1:7">
      <c r="A410" s="2">
        <v>409</v>
      </c>
      <c r="B410" s="2" t="s">
        <v>79</v>
      </c>
      <c r="C410" s="2" t="s">
        <v>8</v>
      </c>
      <c r="D410" s="2">
        <v>34</v>
      </c>
      <c r="E410" s="3">
        <v>35004</v>
      </c>
      <c r="F410" s="2" t="s">
        <v>17</v>
      </c>
      <c r="G410" s="2" t="s">
        <v>10</v>
      </c>
    </row>
    <row r="411" spans="1:7">
      <c r="A411" s="2">
        <v>410</v>
      </c>
      <c r="B411" s="2" t="s">
        <v>80</v>
      </c>
      <c r="C411" s="2" t="s">
        <v>16</v>
      </c>
      <c r="D411" s="2">
        <v>1</v>
      </c>
      <c r="E411" s="3">
        <v>65911</v>
      </c>
      <c r="F411" s="2" t="s">
        <v>20</v>
      </c>
      <c r="G411" s="2" t="s">
        <v>23</v>
      </c>
    </row>
    <row r="412" spans="1:7">
      <c r="A412" s="2">
        <v>411</v>
      </c>
      <c r="B412" s="2" t="s">
        <v>86</v>
      </c>
      <c r="C412" s="2" t="s">
        <v>12</v>
      </c>
      <c r="D412" s="2">
        <v>24</v>
      </c>
      <c r="E412" s="3">
        <v>27932</v>
      </c>
      <c r="F412" s="2" t="s">
        <v>25</v>
      </c>
      <c r="G412" s="2" t="s">
        <v>29</v>
      </c>
    </row>
    <row r="413" spans="1:7">
      <c r="A413" s="2">
        <v>412</v>
      </c>
      <c r="B413" s="2" t="s">
        <v>50</v>
      </c>
      <c r="C413" s="2" t="s">
        <v>8</v>
      </c>
      <c r="D413" s="2">
        <v>21</v>
      </c>
      <c r="E413" s="3">
        <v>56435</v>
      </c>
      <c r="F413" s="2" t="s">
        <v>38</v>
      </c>
      <c r="G413" s="2" t="s">
        <v>10</v>
      </c>
    </row>
    <row r="414" spans="1:7">
      <c r="A414" s="2">
        <v>413</v>
      </c>
      <c r="B414" s="2" t="s">
        <v>65</v>
      </c>
      <c r="C414" s="2" t="s">
        <v>12</v>
      </c>
      <c r="D414" s="2">
        <v>9</v>
      </c>
      <c r="E414" s="3">
        <v>46535</v>
      </c>
      <c r="F414" s="2" t="s">
        <v>28</v>
      </c>
      <c r="G414" s="2" t="s">
        <v>23</v>
      </c>
    </row>
    <row r="415" spans="1:7">
      <c r="A415" s="2">
        <v>414</v>
      </c>
      <c r="B415" s="2" t="s">
        <v>41</v>
      </c>
      <c r="C415" s="2" t="s">
        <v>8</v>
      </c>
      <c r="D415" s="2">
        <v>25</v>
      </c>
      <c r="E415" s="3">
        <v>28513</v>
      </c>
      <c r="F415" s="2" t="s">
        <v>13</v>
      </c>
      <c r="G415" s="2" t="s">
        <v>10</v>
      </c>
    </row>
    <row r="416" spans="1:7">
      <c r="A416" s="2">
        <v>415</v>
      </c>
      <c r="B416" s="2" t="s">
        <v>11</v>
      </c>
      <c r="C416" s="2" t="s">
        <v>8</v>
      </c>
      <c r="D416" s="2">
        <v>37</v>
      </c>
      <c r="E416" s="3">
        <v>68384</v>
      </c>
      <c r="F416" s="2" t="s">
        <v>20</v>
      </c>
      <c r="G416" s="2" t="s">
        <v>23</v>
      </c>
    </row>
    <row r="417" spans="1:7">
      <c r="A417" s="2">
        <v>416</v>
      </c>
      <c r="B417" s="2" t="s">
        <v>56</v>
      </c>
      <c r="C417" s="2" t="s">
        <v>8</v>
      </c>
      <c r="D417" s="2">
        <v>27</v>
      </c>
      <c r="E417" s="3">
        <v>39640</v>
      </c>
      <c r="F417" s="2" t="s">
        <v>9</v>
      </c>
      <c r="G417" s="2" t="s">
        <v>10</v>
      </c>
    </row>
    <row r="418" spans="1:7">
      <c r="A418" s="2">
        <v>417</v>
      </c>
      <c r="B418" s="2" t="s">
        <v>21</v>
      </c>
      <c r="C418" s="2" t="s">
        <v>22</v>
      </c>
      <c r="D418" s="2">
        <v>24</v>
      </c>
      <c r="E418" s="3">
        <v>42916</v>
      </c>
      <c r="F418" s="2" t="s">
        <v>25</v>
      </c>
      <c r="G418" s="2" t="s">
        <v>10</v>
      </c>
    </row>
    <row r="419" spans="1:7">
      <c r="A419" s="2">
        <v>418</v>
      </c>
      <c r="B419" s="2" t="s">
        <v>80</v>
      </c>
      <c r="C419" s="2" t="s">
        <v>12</v>
      </c>
      <c r="D419" s="2">
        <v>35</v>
      </c>
      <c r="E419" s="3">
        <v>91893</v>
      </c>
      <c r="F419" s="2" t="s">
        <v>32</v>
      </c>
      <c r="G419" s="2" t="s">
        <v>18</v>
      </c>
    </row>
    <row r="420" spans="1:7">
      <c r="A420" s="2">
        <v>419</v>
      </c>
      <c r="B420" s="2" t="s">
        <v>78</v>
      </c>
      <c r="C420" s="2" t="s">
        <v>12</v>
      </c>
      <c r="D420" s="2">
        <v>44</v>
      </c>
      <c r="E420" s="3">
        <v>40884</v>
      </c>
      <c r="F420" s="2" t="s">
        <v>28</v>
      </c>
      <c r="G420" s="2" t="s">
        <v>29</v>
      </c>
    </row>
    <row r="421" spans="1:7">
      <c r="A421" s="2">
        <v>420</v>
      </c>
      <c r="B421" s="2" t="s">
        <v>67</v>
      </c>
      <c r="C421" s="2" t="s">
        <v>8</v>
      </c>
      <c r="D421" s="2">
        <v>12</v>
      </c>
      <c r="E421" s="3">
        <v>37323</v>
      </c>
      <c r="F421" s="2" t="s">
        <v>13</v>
      </c>
      <c r="G421" s="2" t="s">
        <v>29</v>
      </c>
    </row>
    <row r="422" spans="1:7">
      <c r="A422" s="2">
        <v>421</v>
      </c>
      <c r="B422" s="2" t="s">
        <v>44</v>
      </c>
      <c r="C422" s="2" t="s">
        <v>16</v>
      </c>
      <c r="D422" s="2">
        <v>49</v>
      </c>
      <c r="E422" s="3">
        <v>48486</v>
      </c>
      <c r="F422" s="2" t="s">
        <v>38</v>
      </c>
      <c r="G422" s="2" t="s">
        <v>10</v>
      </c>
    </row>
    <row r="423" spans="1:7">
      <c r="A423" s="2">
        <v>422</v>
      </c>
      <c r="B423" s="2" t="s">
        <v>64</v>
      </c>
      <c r="C423" s="2" t="s">
        <v>8</v>
      </c>
      <c r="D423" s="2">
        <v>31</v>
      </c>
      <c r="E423" s="3">
        <v>88846</v>
      </c>
      <c r="F423" s="2" t="s">
        <v>20</v>
      </c>
      <c r="G423" s="2" t="s">
        <v>23</v>
      </c>
    </row>
    <row r="424" spans="1:7">
      <c r="A424" s="2">
        <v>423</v>
      </c>
      <c r="B424" s="2" t="s">
        <v>19</v>
      </c>
      <c r="C424" s="2" t="s">
        <v>22</v>
      </c>
      <c r="D424" s="2">
        <v>50</v>
      </c>
      <c r="E424" s="3">
        <v>92657</v>
      </c>
      <c r="F424" s="2" t="s">
        <v>32</v>
      </c>
      <c r="G424" s="2" t="s">
        <v>14</v>
      </c>
    </row>
    <row r="425" spans="1:7">
      <c r="A425" s="2">
        <v>424</v>
      </c>
      <c r="B425" s="2" t="s">
        <v>89</v>
      </c>
      <c r="C425" s="2" t="s">
        <v>8</v>
      </c>
      <c r="D425" s="2">
        <v>5</v>
      </c>
      <c r="E425" s="3">
        <v>98105</v>
      </c>
      <c r="F425" s="2" t="s">
        <v>13</v>
      </c>
      <c r="G425" s="2" t="s">
        <v>23</v>
      </c>
    </row>
    <row r="426" spans="1:7">
      <c r="A426" s="2">
        <v>425</v>
      </c>
      <c r="B426" s="2" t="s">
        <v>21</v>
      </c>
      <c r="C426" s="2" t="s">
        <v>22</v>
      </c>
      <c r="D426" s="2">
        <v>2</v>
      </c>
      <c r="E426" s="3">
        <v>35304</v>
      </c>
      <c r="F426" s="2" t="s">
        <v>9</v>
      </c>
      <c r="G426" s="2" t="s">
        <v>10</v>
      </c>
    </row>
    <row r="427" spans="1:7">
      <c r="A427" s="2">
        <v>426</v>
      </c>
      <c r="B427" s="2" t="s">
        <v>59</v>
      </c>
      <c r="C427" s="2" t="s">
        <v>8</v>
      </c>
      <c r="D427" s="2">
        <v>38</v>
      </c>
      <c r="E427" s="3">
        <v>43780</v>
      </c>
      <c r="F427" s="2" t="s">
        <v>32</v>
      </c>
      <c r="G427" s="2" t="s">
        <v>26</v>
      </c>
    </row>
    <row r="428" spans="1:7">
      <c r="A428" s="2">
        <v>427</v>
      </c>
      <c r="B428" s="2" t="s">
        <v>67</v>
      </c>
      <c r="C428" s="2" t="s">
        <v>12</v>
      </c>
      <c r="D428" s="2">
        <v>5</v>
      </c>
      <c r="E428" s="3">
        <v>54415</v>
      </c>
      <c r="F428" s="2" t="s">
        <v>38</v>
      </c>
      <c r="G428" s="2" t="s">
        <v>29</v>
      </c>
    </row>
    <row r="429" spans="1:7">
      <c r="A429" s="2">
        <v>428</v>
      </c>
      <c r="B429" s="2" t="s">
        <v>44</v>
      </c>
      <c r="C429" s="2" t="s">
        <v>8</v>
      </c>
      <c r="D429" s="2">
        <v>1</v>
      </c>
      <c r="E429" s="3">
        <v>99323</v>
      </c>
      <c r="F429" s="2" t="s">
        <v>32</v>
      </c>
      <c r="G429" s="2" t="s">
        <v>26</v>
      </c>
    </row>
    <row r="430" spans="1:7">
      <c r="A430" s="2">
        <v>429</v>
      </c>
      <c r="B430" s="2" t="s">
        <v>60</v>
      </c>
      <c r="C430" s="2" t="s">
        <v>12</v>
      </c>
      <c r="D430" s="2">
        <v>17</v>
      </c>
      <c r="E430" s="3">
        <v>50205</v>
      </c>
      <c r="F430" s="2" t="s">
        <v>9</v>
      </c>
      <c r="G430" s="2" t="s">
        <v>23</v>
      </c>
    </row>
    <row r="431" spans="1:7">
      <c r="A431" s="2">
        <v>430</v>
      </c>
      <c r="B431" s="2" t="s">
        <v>86</v>
      </c>
      <c r="C431" s="2" t="s">
        <v>16</v>
      </c>
      <c r="D431" s="2">
        <v>14</v>
      </c>
      <c r="E431" s="3">
        <v>55673</v>
      </c>
      <c r="F431" s="2" t="s">
        <v>20</v>
      </c>
      <c r="G431" s="2" t="s">
        <v>18</v>
      </c>
    </row>
    <row r="432" spans="1:7">
      <c r="A432" s="2">
        <v>431</v>
      </c>
      <c r="B432" s="2" t="s">
        <v>92</v>
      </c>
      <c r="C432" s="2" t="s">
        <v>16</v>
      </c>
      <c r="D432" s="2">
        <v>3</v>
      </c>
      <c r="E432" s="3">
        <v>53100</v>
      </c>
      <c r="F432" s="2" t="s">
        <v>32</v>
      </c>
      <c r="G432" s="2" t="s">
        <v>10</v>
      </c>
    </row>
    <row r="433" spans="1:7">
      <c r="A433" s="2">
        <v>432</v>
      </c>
      <c r="B433" s="2" t="s">
        <v>57</v>
      </c>
      <c r="C433" s="2" t="s">
        <v>8</v>
      </c>
      <c r="D433" s="2">
        <v>4</v>
      </c>
      <c r="E433" s="3">
        <v>48399</v>
      </c>
      <c r="F433" s="2" t="s">
        <v>9</v>
      </c>
      <c r="G433" s="2" t="s">
        <v>23</v>
      </c>
    </row>
    <row r="434" spans="1:7">
      <c r="A434" s="2">
        <v>433</v>
      </c>
      <c r="B434" s="2" t="s">
        <v>74</v>
      </c>
      <c r="C434" s="2" t="s">
        <v>8</v>
      </c>
      <c r="D434" s="2">
        <v>26</v>
      </c>
      <c r="E434" s="3">
        <v>64039</v>
      </c>
      <c r="F434" s="2" t="s">
        <v>13</v>
      </c>
      <c r="G434" s="2" t="s">
        <v>23</v>
      </c>
    </row>
    <row r="435" spans="1:7">
      <c r="A435" s="2">
        <v>434</v>
      </c>
      <c r="B435" s="2" t="s">
        <v>39</v>
      </c>
      <c r="C435" s="2" t="s">
        <v>16</v>
      </c>
      <c r="D435" s="2">
        <v>33</v>
      </c>
      <c r="E435" s="3">
        <v>88348</v>
      </c>
      <c r="F435" s="2" t="s">
        <v>28</v>
      </c>
      <c r="G435" s="2" t="s">
        <v>18</v>
      </c>
    </row>
    <row r="436" spans="1:7">
      <c r="A436" s="2">
        <v>435</v>
      </c>
      <c r="B436" s="2" t="s">
        <v>53</v>
      </c>
      <c r="C436" s="2" t="s">
        <v>22</v>
      </c>
      <c r="D436" s="2">
        <v>19</v>
      </c>
      <c r="E436" s="3">
        <v>40355</v>
      </c>
      <c r="F436" s="2" t="s">
        <v>17</v>
      </c>
      <c r="G436" s="2" t="s">
        <v>14</v>
      </c>
    </row>
    <row r="437" spans="1:7">
      <c r="A437" s="2">
        <v>436</v>
      </c>
      <c r="B437" s="2" t="s">
        <v>11</v>
      </c>
      <c r="C437" s="2" t="s">
        <v>16</v>
      </c>
      <c r="D437" s="2">
        <v>41</v>
      </c>
      <c r="E437" s="3">
        <v>73243</v>
      </c>
      <c r="F437" s="2" t="s">
        <v>25</v>
      </c>
      <c r="G437" s="2" t="s">
        <v>14</v>
      </c>
    </row>
    <row r="438" spans="1:7">
      <c r="A438" s="2">
        <v>437</v>
      </c>
      <c r="B438" s="2" t="s">
        <v>60</v>
      </c>
      <c r="C438" s="2" t="s">
        <v>16</v>
      </c>
      <c r="D438" s="2">
        <v>46</v>
      </c>
      <c r="E438" s="3">
        <v>75413</v>
      </c>
      <c r="F438" s="2" t="s">
        <v>38</v>
      </c>
      <c r="G438" s="2" t="s">
        <v>23</v>
      </c>
    </row>
    <row r="439" spans="1:7">
      <c r="A439" s="2">
        <v>438</v>
      </c>
      <c r="B439" s="2" t="s">
        <v>15</v>
      </c>
      <c r="C439" s="2" t="s">
        <v>22</v>
      </c>
      <c r="D439" s="2">
        <v>33</v>
      </c>
      <c r="E439" s="3">
        <v>88713</v>
      </c>
      <c r="F439" s="2" t="s">
        <v>20</v>
      </c>
      <c r="G439" s="2" t="s">
        <v>10</v>
      </c>
    </row>
    <row r="440" spans="1:7">
      <c r="A440" s="2">
        <v>439</v>
      </c>
      <c r="B440" s="2" t="s">
        <v>68</v>
      </c>
      <c r="C440" s="2" t="s">
        <v>16</v>
      </c>
      <c r="D440" s="2">
        <v>50</v>
      </c>
      <c r="E440" s="3">
        <v>66204</v>
      </c>
      <c r="F440" s="2" t="s">
        <v>28</v>
      </c>
      <c r="G440" s="2" t="s">
        <v>26</v>
      </c>
    </row>
    <row r="441" spans="1:7">
      <c r="A441" s="2">
        <v>440</v>
      </c>
      <c r="B441" s="2" t="s">
        <v>93</v>
      </c>
      <c r="C441" s="2" t="s">
        <v>16</v>
      </c>
      <c r="D441" s="2">
        <v>27</v>
      </c>
      <c r="E441" s="3">
        <v>53711</v>
      </c>
      <c r="F441" s="2" t="s">
        <v>9</v>
      </c>
      <c r="G441" s="2" t="s">
        <v>18</v>
      </c>
    </row>
    <row r="442" spans="1:7">
      <c r="A442" s="2">
        <v>441</v>
      </c>
      <c r="B442" s="2" t="s">
        <v>49</v>
      </c>
      <c r="C442" s="2" t="s">
        <v>22</v>
      </c>
      <c r="D442" s="2">
        <v>28</v>
      </c>
      <c r="E442" s="3">
        <v>86359</v>
      </c>
      <c r="F442" s="2" t="s">
        <v>28</v>
      </c>
      <c r="G442" s="2" t="s">
        <v>14</v>
      </c>
    </row>
    <row r="443" spans="1:7">
      <c r="A443" s="2">
        <v>442</v>
      </c>
      <c r="B443" s="2" t="s">
        <v>85</v>
      </c>
      <c r="C443" s="2" t="s">
        <v>22</v>
      </c>
      <c r="D443" s="2">
        <v>45</v>
      </c>
      <c r="E443" s="3">
        <v>82906</v>
      </c>
      <c r="F443" s="2" t="s">
        <v>32</v>
      </c>
      <c r="G443" s="2" t="s">
        <v>23</v>
      </c>
    </row>
    <row r="444" spans="1:7">
      <c r="A444" s="2">
        <v>443</v>
      </c>
      <c r="B444" s="2" t="s">
        <v>51</v>
      </c>
      <c r="C444" s="2" t="s">
        <v>12</v>
      </c>
      <c r="D444" s="2">
        <v>26</v>
      </c>
      <c r="E444" s="3">
        <v>89097</v>
      </c>
      <c r="F444" s="2" t="s">
        <v>17</v>
      </c>
      <c r="G444" s="2" t="s">
        <v>10</v>
      </c>
    </row>
    <row r="445" spans="1:7">
      <c r="A445" s="2">
        <v>444</v>
      </c>
      <c r="B445" s="2" t="s">
        <v>54</v>
      </c>
      <c r="C445" s="2" t="s">
        <v>8</v>
      </c>
      <c r="D445" s="2">
        <v>6</v>
      </c>
      <c r="E445" s="3">
        <v>69155</v>
      </c>
      <c r="F445" s="2" t="s">
        <v>38</v>
      </c>
      <c r="G445" s="2" t="s">
        <v>26</v>
      </c>
    </row>
    <row r="446" spans="1:7">
      <c r="A446" s="2">
        <v>445</v>
      </c>
      <c r="B446" s="2" t="s">
        <v>34</v>
      </c>
      <c r="C446" s="2" t="s">
        <v>12</v>
      </c>
      <c r="D446" s="2">
        <v>41</v>
      </c>
      <c r="E446" s="3">
        <v>52110</v>
      </c>
      <c r="F446" s="2" t="s">
        <v>32</v>
      </c>
      <c r="G446" s="2" t="s">
        <v>14</v>
      </c>
    </row>
    <row r="447" spans="1:7">
      <c r="A447" s="2">
        <v>446</v>
      </c>
      <c r="B447" s="2" t="s">
        <v>48</v>
      </c>
      <c r="C447" s="2" t="s">
        <v>22</v>
      </c>
      <c r="D447" s="2">
        <v>35</v>
      </c>
      <c r="E447" s="3">
        <v>98600</v>
      </c>
      <c r="F447" s="2" t="s">
        <v>20</v>
      </c>
      <c r="G447" s="2" t="s">
        <v>29</v>
      </c>
    </row>
    <row r="448" spans="1:7">
      <c r="A448" s="2">
        <v>447</v>
      </c>
      <c r="B448" s="2" t="s">
        <v>52</v>
      </c>
      <c r="C448" s="2" t="s">
        <v>16</v>
      </c>
      <c r="D448" s="2">
        <v>35</v>
      </c>
      <c r="E448" s="3">
        <v>97491</v>
      </c>
      <c r="F448" s="2" t="s">
        <v>32</v>
      </c>
      <c r="G448" s="2" t="s">
        <v>26</v>
      </c>
    </row>
    <row r="449" spans="1:7">
      <c r="A449" s="2">
        <v>448</v>
      </c>
      <c r="B449" s="2" t="s">
        <v>82</v>
      </c>
      <c r="C449" s="2" t="s">
        <v>22</v>
      </c>
      <c r="D449" s="2">
        <v>40</v>
      </c>
      <c r="E449" s="3">
        <v>31273</v>
      </c>
      <c r="F449" s="2" t="s">
        <v>13</v>
      </c>
      <c r="G449" s="2" t="s">
        <v>26</v>
      </c>
    </row>
    <row r="450" spans="1:7">
      <c r="A450" s="2">
        <v>449</v>
      </c>
      <c r="B450" s="2" t="s">
        <v>71</v>
      </c>
      <c r="C450" s="2" t="s">
        <v>16</v>
      </c>
      <c r="D450" s="2">
        <v>10</v>
      </c>
      <c r="E450" s="3">
        <v>85460</v>
      </c>
      <c r="F450" s="2" t="s">
        <v>17</v>
      </c>
      <c r="G450" s="2" t="s">
        <v>23</v>
      </c>
    </row>
    <row r="451" spans="1:7">
      <c r="A451" s="2">
        <v>450</v>
      </c>
      <c r="B451" s="2" t="s">
        <v>81</v>
      </c>
      <c r="C451" s="2" t="s">
        <v>12</v>
      </c>
      <c r="D451" s="2">
        <v>18</v>
      </c>
      <c r="E451" s="3">
        <v>73333</v>
      </c>
      <c r="F451" s="2" t="s">
        <v>38</v>
      </c>
      <c r="G451" s="2" t="s">
        <v>18</v>
      </c>
    </row>
    <row r="452" spans="1:7">
      <c r="A452" s="2">
        <v>451</v>
      </c>
      <c r="B452" s="2" t="s">
        <v>51</v>
      </c>
      <c r="C452" s="2" t="s">
        <v>12</v>
      </c>
      <c r="D452" s="2">
        <v>6</v>
      </c>
      <c r="E452" s="3">
        <v>63561</v>
      </c>
      <c r="F452" s="2" t="s">
        <v>25</v>
      </c>
      <c r="G452" s="2" t="s">
        <v>10</v>
      </c>
    </row>
    <row r="453" spans="1:7">
      <c r="A453" s="2">
        <v>452</v>
      </c>
      <c r="B453" s="2" t="s">
        <v>82</v>
      </c>
      <c r="C453" s="2" t="s">
        <v>12</v>
      </c>
      <c r="D453" s="2">
        <v>20</v>
      </c>
      <c r="E453" s="3">
        <v>33829</v>
      </c>
      <c r="F453" s="2" t="s">
        <v>28</v>
      </c>
      <c r="G453" s="2" t="s">
        <v>23</v>
      </c>
    </row>
    <row r="454" spans="1:7">
      <c r="A454" s="2">
        <v>453</v>
      </c>
      <c r="B454" s="2" t="s">
        <v>63</v>
      </c>
      <c r="C454" s="2" t="s">
        <v>16</v>
      </c>
      <c r="D454" s="2">
        <v>6</v>
      </c>
      <c r="E454" s="3">
        <v>70949</v>
      </c>
      <c r="F454" s="2" t="s">
        <v>20</v>
      </c>
      <c r="G454" s="2" t="s">
        <v>14</v>
      </c>
    </row>
    <row r="455" spans="1:7">
      <c r="A455" s="2">
        <v>454</v>
      </c>
      <c r="B455" s="2" t="s">
        <v>37</v>
      </c>
      <c r="C455" s="2" t="s">
        <v>8</v>
      </c>
      <c r="D455" s="2">
        <v>33</v>
      </c>
      <c r="E455" s="3">
        <v>78485</v>
      </c>
      <c r="F455" s="2" t="s">
        <v>13</v>
      </c>
      <c r="G455" s="2" t="s">
        <v>23</v>
      </c>
    </row>
    <row r="456" spans="1:7">
      <c r="A456" s="2">
        <v>455</v>
      </c>
      <c r="B456" s="2" t="s">
        <v>70</v>
      </c>
      <c r="C456" s="2" t="s">
        <v>8</v>
      </c>
      <c r="D456" s="2">
        <v>14</v>
      </c>
      <c r="E456" s="3">
        <v>97650</v>
      </c>
      <c r="F456" s="2" t="s">
        <v>32</v>
      </c>
      <c r="G456" s="2" t="s">
        <v>23</v>
      </c>
    </row>
    <row r="457" spans="1:7">
      <c r="A457" s="2">
        <v>456</v>
      </c>
      <c r="B457" s="2" t="s">
        <v>45</v>
      </c>
      <c r="C457" s="2" t="s">
        <v>8</v>
      </c>
      <c r="D457" s="2">
        <v>10</v>
      </c>
      <c r="E457" s="3">
        <v>50720</v>
      </c>
      <c r="F457" s="2" t="s">
        <v>38</v>
      </c>
      <c r="G457" s="2" t="s">
        <v>14</v>
      </c>
    </row>
    <row r="458" spans="1:7">
      <c r="A458" s="2">
        <v>457</v>
      </c>
      <c r="B458" s="2" t="s">
        <v>82</v>
      </c>
      <c r="C458" s="2" t="s">
        <v>22</v>
      </c>
      <c r="D458" s="2">
        <v>35</v>
      </c>
      <c r="E458" s="3">
        <v>95569</v>
      </c>
      <c r="F458" s="2" t="s">
        <v>38</v>
      </c>
      <c r="G458" s="2" t="s">
        <v>29</v>
      </c>
    </row>
    <row r="459" spans="1:7">
      <c r="A459" s="2">
        <v>458</v>
      </c>
      <c r="B459" s="2" t="s">
        <v>45</v>
      </c>
      <c r="C459" s="2" t="s">
        <v>22</v>
      </c>
      <c r="D459" s="2">
        <v>21</v>
      </c>
      <c r="E459" s="3">
        <v>84529</v>
      </c>
      <c r="F459" s="2" t="s">
        <v>9</v>
      </c>
      <c r="G459" s="2" t="s">
        <v>10</v>
      </c>
    </row>
    <row r="460" spans="1:7">
      <c r="A460" s="2">
        <v>459</v>
      </c>
      <c r="B460" s="2" t="s">
        <v>61</v>
      </c>
      <c r="C460" s="2" t="s">
        <v>16</v>
      </c>
      <c r="D460" s="2">
        <v>26</v>
      </c>
      <c r="E460" s="3">
        <v>78201</v>
      </c>
      <c r="F460" s="2" t="s">
        <v>25</v>
      </c>
      <c r="G460" s="2" t="s">
        <v>26</v>
      </c>
    </row>
    <row r="461" spans="1:7">
      <c r="A461" s="2">
        <v>460</v>
      </c>
      <c r="B461" s="2" t="s">
        <v>75</v>
      </c>
      <c r="C461" s="2" t="s">
        <v>22</v>
      </c>
      <c r="D461" s="2">
        <v>38</v>
      </c>
      <c r="E461" s="3">
        <v>50819</v>
      </c>
      <c r="F461" s="2" t="s">
        <v>17</v>
      </c>
      <c r="G461" s="2" t="s">
        <v>26</v>
      </c>
    </row>
    <row r="462" spans="1:7">
      <c r="A462" s="2">
        <v>461</v>
      </c>
      <c r="B462" s="2" t="s">
        <v>42</v>
      </c>
      <c r="C462" s="2" t="s">
        <v>16</v>
      </c>
      <c r="D462" s="2">
        <v>41</v>
      </c>
      <c r="E462" s="3">
        <v>93297</v>
      </c>
      <c r="F462" s="2" t="s">
        <v>20</v>
      </c>
      <c r="G462" s="2" t="s">
        <v>26</v>
      </c>
    </row>
    <row r="463" spans="1:7">
      <c r="A463" s="2">
        <v>462</v>
      </c>
      <c r="B463" s="2" t="s">
        <v>92</v>
      </c>
      <c r="C463" s="2" t="s">
        <v>12</v>
      </c>
      <c r="D463" s="2">
        <v>49</v>
      </c>
      <c r="E463" s="3">
        <v>96216</v>
      </c>
      <c r="F463" s="2" t="s">
        <v>32</v>
      </c>
      <c r="G463" s="2" t="s">
        <v>26</v>
      </c>
    </row>
    <row r="464" spans="1:7">
      <c r="A464" s="2">
        <v>463</v>
      </c>
      <c r="B464" s="2" t="s">
        <v>59</v>
      </c>
      <c r="C464" s="2" t="s">
        <v>16</v>
      </c>
      <c r="D464" s="2">
        <v>42</v>
      </c>
      <c r="E464" s="3">
        <v>64077</v>
      </c>
      <c r="F464" s="2" t="s">
        <v>25</v>
      </c>
      <c r="G464" s="2" t="s">
        <v>14</v>
      </c>
    </row>
    <row r="465" spans="1:7">
      <c r="A465" s="2">
        <v>464</v>
      </c>
      <c r="B465" s="2" t="s">
        <v>27</v>
      </c>
      <c r="C465" s="2" t="s">
        <v>22</v>
      </c>
      <c r="D465" s="2">
        <v>44</v>
      </c>
      <c r="E465" s="3">
        <v>45167</v>
      </c>
      <c r="F465" s="2" t="s">
        <v>9</v>
      </c>
      <c r="G465" s="2" t="s">
        <v>26</v>
      </c>
    </row>
    <row r="466" spans="1:7">
      <c r="A466" s="2">
        <v>465</v>
      </c>
      <c r="B466" s="2" t="s">
        <v>69</v>
      </c>
      <c r="C466" s="2" t="s">
        <v>12</v>
      </c>
      <c r="D466" s="2">
        <v>42</v>
      </c>
      <c r="E466" s="3">
        <v>72003</v>
      </c>
      <c r="F466" s="2" t="s">
        <v>20</v>
      </c>
      <c r="G466" s="2" t="s">
        <v>26</v>
      </c>
    </row>
    <row r="467" spans="1:7">
      <c r="A467" s="2">
        <v>466</v>
      </c>
      <c r="B467" s="2" t="s">
        <v>71</v>
      </c>
      <c r="C467" s="2" t="s">
        <v>12</v>
      </c>
      <c r="D467" s="2">
        <v>5</v>
      </c>
      <c r="E467" s="3">
        <v>67099</v>
      </c>
      <c r="F467" s="2" t="s">
        <v>17</v>
      </c>
      <c r="G467" s="2" t="s">
        <v>23</v>
      </c>
    </row>
    <row r="468" spans="1:7">
      <c r="A468" s="2">
        <v>467</v>
      </c>
      <c r="B468" s="2" t="s">
        <v>92</v>
      </c>
      <c r="C468" s="2" t="s">
        <v>16</v>
      </c>
      <c r="D468" s="2">
        <v>20</v>
      </c>
      <c r="E468" s="3">
        <v>93154</v>
      </c>
      <c r="F468" s="2" t="s">
        <v>38</v>
      </c>
      <c r="G468" s="2" t="s">
        <v>23</v>
      </c>
    </row>
    <row r="469" spans="1:7">
      <c r="A469" s="2">
        <v>468</v>
      </c>
      <c r="B469" s="2" t="s">
        <v>60</v>
      </c>
      <c r="C469" s="2" t="s">
        <v>8</v>
      </c>
      <c r="D469" s="2">
        <v>45</v>
      </c>
      <c r="E469" s="3">
        <v>46737</v>
      </c>
      <c r="F469" s="2" t="s">
        <v>38</v>
      </c>
      <c r="G469" s="2" t="s">
        <v>18</v>
      </c>
    </row>
    <row r="470" spans="1:7">
      <c r="A470" s="2">
        <v>469</v>
      </c>
      <c r="B470" s="2" t="s">
        <v>15</v>
      </c>
      <c r="C470" s="2" t="s">
        <v>22</v>
      </c>
      <c r="D470" s="2">
        <v>28</v>
      </c>
      <c r="E470" s="3">
        <v>72184</v>
      </c>
      <c r="F470" s="2" t="s">
        <v>17</v>
      </c>
      <c r="G470" s="2" t="s">
        <v>23</v>
      </c>
    </row>
    <row r="471" spans="1:7">
      <c r="A471" s="2">
        <v>470</v>
      </c>
      <c r="B471" s="2" t="s">
        <v>30</v>
      </c>
      <c r="C471" s="2" t="s">
        <v>22</v>
      </c>
      <c r="D471" s="2">
        <v>47</v>
      </c>
      <c r="E471" s="3">
        <v>58552</v>
      </c>
      <c r="F471" s="2" t="s">
        <v>25</v>
      </c>
      <c r="G471" s="2" t="s">
        <v>14</v>
      </c>
    </row>
    <row r="472" spans="1:7">
      <c r="A472" s="2">
        <v>471</v>
      </c>
      <c r="B472" s="2" t="s">
        <v>70</v>
      </c>
      <c r="C472" s="2" t="s">
        <v>8</v>
      </c>
      <c r="D472" s="2">
        <v>16</v>
      </c>
      <c r="E472" s="3">
        <v>81553</v>
      </c>
      <c r="F472" s="2" t="s">
        <v>20</v>
      </c>
      <c r="G472" s="2" t="s">
        <v>18</v>
      </c>
    </row>
    <row r="473" spans="1:7">
      <c r="A473" s="2">
        <v>472</v>
      </c>
      <c r="B473" s="2" t="s">
        <v>59</v>
      </c>
      <c r="C473" s="2" t="s">
        <v>22</v>
      </c>
      <c r="D473" s="2">
        <v>4</v>
      </c>
      <c r="E473" s="3">
        <v>42440</v>
      </c>
      <c r="F473" s="2" t="s">
        <v>25</v>
      </c>
      <c r="G473" s="2" t="s">
        <v>23</v>
      </c>
    </row>
    <row r="474" spans="1:7">
      <c r="A474" s="2">
        <v>473</v>
      </c>
      <c r="B474" s="2" t="s">
        <v>48</v>
      </c>
      <c r="C474" s="2" t="s">
        <v>8</v>
      </c>
      <c r="D474" s="2">
        <v>16</v>
      </c>
      <c r="E474" s="3">
        <v>97209</v>
      </c>
      <c r="F474" s="2" t="s">
        <v>9</v>
      </c>
      <c r="G474" s="2" t="s">
        <v>14</v>
      </c>
    </row>
    <row r="475" spans="1:7">
      <c r="A475" s="2">
        <v>474</v>
      </c>
      <c r="B475" s="2" t="s">
        <v>82</v>
      </c>
      <c r="C475" s="2" t="s">
        <v>8</v>
      </c>
      <c r="D475" s="2">
        <v>6</v>
      </c>
      <c r="E475" s="3">
        <v>69936</v>
      </c>
      <c r="F475" s="2" t="s">
        <v>32</v>
      </c>
      <c r="G475" s="2" t="s">
        <v>10</v>
      </c>
    </row>
    <row r="476" spans="1:7">
      <c r="A476" s="2">
        <v>475</v>
      </c>
      <c r="B476" s="2" t="s">
        <v>62</v>
      </c>
      <c r="C476" s="2" t="s">
        <v>12</v>
      </c>
      <c r="D476" s="2">
        <v>28</v>
      </c>
      <c r="E476" s="3">
        <v>63744</v>
      </c>
      <c r="F476" s="2" t="s">
        <v>17</v>
      </c>
      <c r="G476" s="2" t="s">
        <v>10</v>
      </c>
    </row>
    <row r="477" spans="1:7">
      <c r="A477" s="2">
        <v>476</v>
      </c>
      <c r="B477" s="2" t="s">
        <v>81</v>
      </c>
      <c r="C477" s="2" t="s">
        <v>12</v>
      </c>
      <c r="D477" s="2">
        <v>8</v>
      </c>
      <c r="E477" s="3">
        <v>62880</v>
      </c>
      <c r="F477" s="2" t="s">
        <v>17</v>
      </c>
      <c r="G477" s="2" t="s">
        <v>23</v>
      </c>
    </row>
    <row r="478" spans="1:7">
      <c r="A478" s="2">
        <v>477</v>
      </c>
      <c r="B478" s="2" t="s">
        <v>83</v>
      </c>
      <c r="C478" s="2" t="s">
        <v>16</v>
      </c>
      <c r="D478" s="2">
        <v>30</v>
      </c>
      <c r="E478" s="3">
        <v>83128</v>
      </c>
      <c r="F478" s="2" t="s">
        <v>9</v>
      </c>
      <c r="G478" s="2" t="s">
        <v>10</v>
      </c>
    </row>
    <row r="479" spans="1:7">
      <c r="A479" s="2">
        <v>478</v>
      </c>
      <c r="B479" s="2" t="s">
        <v>19</v>
      </c>
      <c r="C479" s="2" t="s">
        <v>12</v>
      </c>
      <c r="D479" s="2">
        <v>40</v>
      </c>
      <c r="E479" s="3">
        <v>54214</v>
      </c>
      <c r="F479" s="2" t="s">
        <v>32</v>
      </c>
      <c r="G479" s="2" t="s">
        <v>23</v>
      </c>
    </row>
    <row r="480" spans="1:7">
      <c r="A480" s="2">
        <v>479</v>
      </c>
      <c r="B480" s="2" t="s">
        <v>74</v>
      </c>
      <c r="C480" s="2" t="s">
        <v>8</v>
      </c>
      <c r="D480" s="2">
        <v>39</v>
      </c>
      <c r="E480" s="3">
        <v>57872</v>
      </c>
      <c r="F480" s="2" t="s">
        <v>38</v>
      </c>
      <c r="G480" s="2" t="s">
        <v>26</v>
      </c>
    </row>
    <row r="481" spans="1:7">
      <c r="A481" s="2">
        <v>480</v>
      </c>
      <c r="B481" s="2" t="s">
        <v>74</v>
      </c>
      <c r="C481" s="2" t="s">
        <v>16</v>
      </c>
      <c r="D481" s="2">
        <v>4</v>
      </c>
      <c r="E481" s="3">
        <v>87755</v>
      </c>
      <c r="F481" s="2" t="s">
        <v>13</v>
      </c>
      <c r="G481" s="2" t="s">
        <v>18</v>
      </c>
    </row>
    <row r="482" spans="1:7">
      <c r="A482" s="2">
        <v>481</v>
      </c>
      <c r="B482" s="2" t="s">
        <v>46</v>
      </c>
      <c r="C482" s="2" t="s">
        <v>22</v>
      </c>
      <c r="D482" s="2">
        <v>20</v>
      </c>
      <c r="E482" s="3">
        <v>35824</v>
      </c>
      <c r="F482" s="2" t="s">
        <v>17</v>
      </c>
      <c r="G482" s="2" t="s">
        <v>10</v>
      </c>
    </row>
    <row r="483" spans="1:7">
      <c r="A483" s="2">
        <v>482</v>
      </c>
      <c r="B483" s="2" t="s">
        <v>40</v>
      </c>
      <c r="C483" s="2" t="s">
        <v>8</v>
      </c>
      <c r="D483" s="2">
        <v>43</v>
      </c>
      <c r="E483" s="3">
        <v>37135</v>
      </c>
      <c r="F483" s="2" t="s">
        <v>25</v>
      </c>
      <c r="G483" s="2" t="s">
        <v>18</v>
      </c>
    </row>
    <row r="484" spans="1:7">
      <c r="A484" s="2">
        <v>483</v>
      </c>
      <c r="B484" s="2" t="s">
        <v>93</v>
      </c>
      <c r="C484" s="2" t="s">
        <v>16</v>
      </c>
      <c r="D484" s="2">
        <v>48</v>
      </c>
      <c r="E484" s="3">
        <v>49670</v>
      </c>
      <c r="F484" s="2" t="s">
        <v>28</v>
      </c>
      <c r="G484" s="2" t="s">
        <v>18</v>
      </c>
    </row>
    <row r="485" spans="1:7">
      <c r="A485" s="2">
        <v>484</v>
      </c>
      <c r="B485" s="2" t="s">
        <v>62</v>
      </c>
      <c r="C485" s="2" t="s">
        <v>12</v>
      </c>
      <c r="D485" s="2">
        <v>43</v>
      </c>
      <c r="E485" s="3">
        <v>38249</v>
      </c>
      <c r="F485" s="2" t="s">
        <v>38</v>
      </c>
      <c r="G485" s="2" t="s">
        <v>18</v>
      </c>
    </row>
    <row r="486" spans="1:7">
      <c r="A486" s="2">
        <v>485</v>
      </c>
      <c r="B486" s="2" t="s">
        <v>41</v>
      </c>
      <c r="C486" s="2" t="s">
        <v>8</v>
      </c>
      <c r="D486" s="2">
        <v>48</v>
      </c>
      <c r="E486" s="3">
        <v>59413</v>
      </c>
      <c r="F486" s="2" t="s">
        <v>9</v>
      </c>
      <c r="G486" s="2" t="s">
        <v>29</v>
      </c>
    </row>
    <row r="487" spans="1:7">
      <c r="A487" s="2">
        <v>486</v>
      </c>
      <c r="B487" s="2" t="s">
        <v>30</v>
      </c>
      <c r="C487" s="2" t="s">
        <v>16</v>
      </c>
      <c r="D487" s="2">
        <v>12</v>
      </c>
      <c r="E487" s="3">
        <v>39730</v>
      </c>
      <c r="F487" s="2" t="s">
        <v>9</v>
      </c>
      <c r="G487" s="2" t="s">
        <v>14</v>
      </c>
    </row>
    <row r="488" spans="1:7">
      <c r="A488" s="2">
        <v>487</v>
      </c>
      <c r="B488" s="2" t="s">
        <v>36</v>
      </c>
      <c r="C488" s="2" t="s">
        <v>22</v>
      </c>
      <c r="D488" s="2">
        <v>8</v>
      </c>
      <c r="E488" s="3">
        <v>67023</v>
      </c>
      <c r="F488" s="2" t="s">
        <v>28</v>
      </c>
      <c r="G488" s="2" t="s">
        <v>26</v>
      </c>
    </row>
    <row r="489" spans="1:7">
      <c r="A489" s="2">
        <v>488</v>
      </c>
      <c r="B489" s="2" t="s">
        <v>86</v>
      </c>
      <c r="C489" s="2" t="s">
        <v>8</v>
      </c>
      <c r="D489" s="2">
        <v>1</v>
      </c>
      <c r="E489" s="3">
        <v>58118</v>
      </c>
      <c r="F489" s="2" t="s">
        <v>9</v>
      </c>
      <c r="G489" s="2" t="s">
        <v>23</v>
      </c>
    </row>
    <row r="490" spans="1:7">
      <c r="A490" s="2">
        <v>489</v>
      </c>
      <c r="B490" s="2" t="s">
        <v>44</v>
      </c>
      <c r="C490" s="2" t="s">
        <v>8</v>
      </c>
      <c r="D490" s="2">
        <v>46</v>
      </c>
      <c r="E490" s="3">
        <v>49307</v>
      </c>
      <c r="F490" s="2" t="s">
        <v>32</v>
      </c>
      <c r="G490" s="2" t="s">
        <v>26</v>
      </c>
    </row>
    <row r="491" spans="1:7">
      <c r="A491" s="2">
        <v>490</v>
      </c>
      <c r="B491" s="2" t="s">
        <v>37</v>
      </c>
      <c r="C491" s="2" t="s">
        <v>16</v>
      </c>
      <c r="D491" s="2">
        <v>9</v>
      </c>
      <c r="E491" s="3">
        <v>41183</v>
      </c>
      <c r="F491" s="2" t="s">
        <v>25</v>
      </c>
      <c r="G491" s="2" t="s">
        <v>18</v>
      </c>
    </row>
    <row r="492" spans="1:7">
      <c r="A492" s="2">
        <v>491</v>
      </c>
      <c r="B492" s="2" t="s">
        <v>47</v>
      </c>
      <c r="C492" s="2" t="s">
        <v>16</v>
      </c>
      <c r="D492" s="2">
        <v>45</v>
      </c>
      <c r="E492" s="3">
        <v>95807</v>
      </c>
      <c r="F492" s="2" t="s">
        <v>17</v>
      </c>
      <c r="G492" s="2" t="s">
        <v>26</v>
      </c>
    </row>
    <row r="493" spans="1:7">
      <c r="A493" s="2">
        <v>492</v>
      </c>
      <c r="B493" s="2" t="s">
        <v>71</v>
      </c>
      <c r="C493" s="2" t="s">
        <v>12</v>
      </c>
      <c r="D493" s="2">
        <v>1</v>
      </c>
      <c r="E493" s="3">
        <v>61615</v>
      </c>
      <c r="F493" s="2" t="s">
        <v>17</v>
      </c>
      <c r="G493" s="2" t="s">
        <v>23</v>
      </c>
    </row>
    <row r="494" spans="1:7">
      <c r="A494" s="2">
        <v>493</v>
      </c>
      <c r="B494" s="2" t="s">
        <v>71</v>
      </c>
      <c r="C494" s="2" t="s">
        <v>12</v>
      </c>
      <c r="D494" s="2">
        <v>11</v>
      </c>
      <c r="E494" s="3">
        <v>66950</v>
      </c>
      <c r="F494" s="2" t="s">
        <v>9</v>
      </c>
      <c r="G494" s="2" t="s">
        <v>18</v>
      </c>
    </row>
    <row r="495" spans="1:7">
      <c r="A495" s="2">
        <v>494</v>
      </c>
      <c r="B495" s="2" t="s">
        <v>48</v>
      </c>
      <c r="C495" s="2" t="s">
        <v>8</v>
      </c>
      <c r="D495" s="2">
        <v>32</v>
      </c>
      <c r="E495" s="3">
        <v>35248</v>
      </c>
      <c r="F495" s="2" t="s">
        <v>28</v>
      </c>
      <c r="G495" s="2" t="s">
        <v>14</v>
      </c>
    </row>
    <row r="496" spans="1:7">
      <c r="A496" s="2">
        <v>495</v>
      </c>
      <c r="B496" s="2" t="s">
        <v>78</v>
      </c>
      <c r="C496" s="2" t="s">
        <v>22</v>
      </c>
      <c r="D496" s="2">
        <v>23</v>
      </c>
      <c r="E496" s="3">
        <v>69732</v>
      </c>
      <c r="F496" s="2" t="s">
        <v>25</v>
      </c>
      <c r="G496" s="2" t="s">
        <v>26</v>
      </c>
    </row>
    <row r="497" spans="1:7">
      <c r="A497" s="2">
        <v>496</v>
      </c>
      <c r="B497" s="2" t="s">
        <v>94</v>
      </c>
      <c r="C497" s="2" t="s">
        <v>12</v>
      </c>
      <c r="D497" s="2">
        <v>34</v>
      </c>
      <c r="E497" s="3">
        <v>83703</v>
      </c>
      <c r="F497" s="2" t="s">
        <v>20</v>
      </c>
      <c r="G497" s="2" t="s">
        <v>10</v>
      </c>
    </row>
    <row r="498" spans="1:7">
      <c r="A498" s="2">
        <v>497</v>
      </c>
      <c r="B498" s="2" t="s">
        <v>84</v>
      </c>
      <c r="C498" s="2" t="s">
        <v>22</v>
      </c>
      <c r="D498" s="2">
        <v>34</v>
      </c>
      <c r="E498" s="3">
        <v>68735</v>
      </c>
      <c r="F498" s="2" t="s">
        <v>25</v>
      </c>
      <c r="G498" s="2" t="s">
        <v>23</v>
      </c>
    </row>
    <row r="499" spans="1:7">
      <c r="A499" s="2">
        <v>498</v>
      </c>
      <c r="B499" s="2" t="s">
        <v>64</v>
      </c>
      <c r="C499" s="2" t="s">
        <v>16</v>
      </c>
      <c r="D499" s="2">
        <v>47</v>
      </c>
      <c r="E499" s="3">
        <v>52918</v>
      </c>
      <c r="F499" s="2" t="s">
        <v>9</v>
      </c>
      <c r="G499" s="2" t="s">
        <v>29</v>
      </c>
    </row>
    <row r="500" spans="1:7">
      <c r="A500" s="2">
        <v>499</v>
      </c>
      <c r="B500" s="2" t="s">
        <v>61</v>
      </c>
      <c r="C500" s="2" t="s">
        <v>16</v>
      </c>
      <c r="D500" s="2">
        <v>17</v>
      </c>
      <c r="E500" s="3">
        <v>90219</v>
      </c>
      <c r="F500" s="2" t="s">
        <v>28</v>
      </c>
      <c r="G500" s="2" t="s">
        <v>23</v>
      </c>
    </row>
    <row r="501" spans="1:7">
      <c r="A501" s="2">
        <v>500</v>
      </c>
      <c r="B501" s="2" t="s">
        <v>78</v>
      </c>
      <c r="C501" s="2" t="s">
        <v>12</v>
      </c>
      <c r="D501" s="2">
        <v>11</v>
      </c>
      <c r="E501" s="3">
        <v>84408</v>
      </c>
      <c r="F501" s="2" t="s">
        <v>28</v>
      </c>
      <c r="G501" s="2" t="s">
        <v>14</v>
      </c>
    </row>
    <row r="502" spans="1:7">
      <c r="A502" s="2">
        <v>501</v>
      </c>
      <c r="B502" s="2" t="s">
        <v>50</v>
      </c>
      <c r="C502" s="2" t="s">
        <v>8</v>
      </c>
      <c r="D502" s="2">
        <v>24</v>
      </c>
      <c r="E502" s="3">
        <v>45425</v>
      </c>
      <c r="F502" s="2" t="s">
        <v>17</v>
      </c>
      <c r="G502" s="2" t="s">
        <v>26</v>
      </c>
    </row>
    <row r="503" spans="1:7">
      <c r="A503" s="2">
        <v>502</v>
      </c>
      <c r="B503" s="2" t="s">
        <v>7</v>
      </c>
      <c r="C503" s="2" t="s">
        <v>16</v>
      </c>
      <c r="D503" s="2">
        <v>9</v>
      </c>
      <c r="E503" s="3">
        <v>49359</v>
      </c>
      <c r="F503" s="2" t="s">
        <v>9</v>
      </c>
      <c r="G503" s="2" t="s">
        <v>18</v>
      </c>
    </row>
    <row r="504" spans="1:7">
      <c r="A504" s="2">
        <v>503</v>
      </c>
      <c r="B504" s="2" t="s">
        <v>86</v>
      </c>
      <c r="C504" s="2" t="s">
        <v>22</v>
      </c>
      <c r="D504" s="2">
        <v>48</v>
      </c>
      <c r="E504" s="3">
        <v>77253</v>
      </c>
      <c r="F504" s="2" t="s">
        <v>38</v>
      </c>
      <c r="G504" s="2" t="s">
        <v>26</v>
      </c>
    </row>
    <row r="505" spans="1:7">
      <c r="A505" s="2">
        <v>504</v>
      </c>
      <c r="B505" s="2" t="s">
        <v>81</v>
      </c>
      <c r="C505" s="2" t="s">
        <v>8</v>
      </c>
      <c r="D505" s="2">
        <v>50</v>
      </c>
      <c r="E505" s="3">
        <v>85693</v>
      </c>
      <c r="F505" s="2" t="s">
        <v>13</v>
      </c>
      <c r="G505" s="2" t="s">
        <v>23</v>
      </c>
    </row>
    <row r="506" spans="1:7">
      <c r="A506" s="2">
        <v>505</v>
      </c>
      <c r="B506" s="2" t="s">
        <v>71</v>
      </c>
      <c r="C506" s="2" t="s">
        <v>12</v>
      </c>
      <c r="D506" s="2">
        <v>18</v>
      </c>
      <c r="E506" s="3">
        <v>65093</v>
      </c>
      <c r="F506" s="2" t="s">
        <v>25</v>
      </c>
      <c r="G506" s="2" t="s">
        <v>14</v>
      </c>
    </row>
    <row r="507" spans="1:7">
      <c r="A507" s="2">
        <v>506</v>
      </c>
      <c r="B507" s="2" t="s">
        <v>67</v>
      </c>
      <c r="C507" s="2" t="s">
        <v>16</v>
      </c>
      <c r="D507" s="2">
        <v>47</v>
      </c>
      <c r="E507" s="3">
        <v>91759</v>
      </c>
      <c r="F507" s="2" t="s">
        <v>38</v>
      </c>
      <c r="G507" s="2" t="s">
        <v>18</v>
      </c>
    </row>
    <row r="508" spans="1:7">
      <c r="A508" s="2">
        <v>507</v>
      </c>
      <c r="B508" s="2" t="s">
        <v>65</v>
      </c>
      <c r="C508" s="2" t="s">
        <v>12</v>
      </c>
      <c r="D508" s="2">
        <v>8</v>
      </c>
      <c r="E508" s="3">
        <v>56812</v>
      </c>
      <c r="F508" s="2" t="s">
        <v>17</v>
      </c>
      <c r="G508" s="2" t="s">
        <v>10</v>
      </c>
    </row>
    <row r="509" spans="1:7">
      <c r="A509" s="2">
        <v>508</v>
      </c>
      <c r="B509" s="2" t="s">
        <v>19</v>
      </c>
      <c r="C509" s="2" t="s">
        <v>8</v>
      </c>
      <c r="D509" s="2">
        <v>50</v>
      </c>
      <c r="E509" s="3">
        <v>77603</v>
      </c>
      <c r="F509" s="2" t="s">
        <v>32</v>
      </c>
      <c r="G509" s="2" t="s">
        <v>14</v>
      </c>
    </row>
    <row r="510" spans="1:7">
      <c r="A510" s="2">
        <v>509</v>
      </c>
      <c r="B510" s="2" t="s">
        <v>49</v>
      </c>
      <c r="C510" s="2" t="s">
        <v>8</v>
      </c>
      <c r="D510" s="2">
        <v>2</v>
      </c>
      <c r="E510" s="3">
        <v>75496</v>
      </c>
      <c r="F510" s="2" t="s">
        <v>17</v>
      </c>
      <c r="G510" s="2" t="s">
        <v>29</v>
      </c>
    </row>
    <row r="511" spans="1:7">
      <c r="A511" s="2">
        <v>510</v>
      </c>
      <c r="B511" s="2" t="s">
        <v>80</v>
      </c>
      <c r="C511" s="2" t="s">
        <v>8</v>
      </c>
      <c r="D511" s="2">
        <v>22</v>
      </c>
      <c r="E511" s="3">
        <v>75882</v>
      </c>
      <c r="F511" s="2" t="s">
        <v>20</v>
      </c>
      <c r="G511" s="2" t="s">
        <v>23</v>
      </c>
    </row>
    <row r="512" spans="1:7">
      <c r="A512" s="2">
        <v>511</v>
      </c>
      <c r="B512" s="2" t="s">
        <v>64</v>
      </c>
      <c r="C512" s="2" t="s">
        <v>22</v>
      </c>
      <c r="D512" s="2">
        <v>28</v>
      </c>
      <c r="E512" s="3">
        <v>91179</v>
      </c>
      <c r="F512" s="2" t="s">
        <v>13</v>
      </c>
      <c r="G512" s="2" t="s">
        <v>14</v>
      </c>
    </row>
    <row r="513" spans="1:7">
      <c r="A513" s="2">
        <v>512</v>
      </c>
      <c r="B513" s="2" t="s">
        <v>83</v>
      </c>
      <c r="C513" s="2" t="s">
        <v>8</v>
      </c>
      <c r="D513" s="2">
        <v>18</v>
      </c>
      <c r="E513" s="3">
        <v>84959</v>
      </c>
      <c r="F513" s="2" t="s">
        <v>32</v>
      </c>
      <c r="G513" s="2" t="s">
        <v>18</v>
      </c>
    </row>
    <row r="514" spans="1:7">
      <c r="A514" s="2">
        <v>513</v>
      </c>
      <c r="B514" s="2" t="s">
        <v>11</v>
      </c>
      <c r="C514" s="2" t="s">
        <v>8</v>
      </c>
      <c r="D514" s="2">
        <v>34</v>
      </c>
      <c r="E514" s="3">
        <v>76373</v>
      </c>
      <c r="F514" s="2" t="s">
        <v>9</v>
      </c>
      <c r="G514" s="2" t="s">
        <v>18</v>
      </c>
    </row>
    <row r="515" spans="1:7">
      <c r="A515" s="2">
        <v>514</v>
      </c>
      <c r="B515" s="2" t="s">
        <v>11</v>
      </c>
      <c r="C515" s="2" t="s">
        <v>16</v>
      </c>
      <c r="D515" s="2">
        <v>5</v>
      </c>
      <c r="E515" s="3">
        <v>57822</v>
      </c>
      <c r="F515" s="2" t="s">
        <v>25</v>
      </c>
      <c r="G515" s="2" t="s">
        <v>29</v>
      </c>
    </row>
    <row r="516" spans="1:7">
      <c r="A516" s="2">
        <v>515</v>
      </c>
      <c r="B516" s="2" t="s">
        <v>37</v>
      </c>
      <c r="C516" s="2" t="s">
        <v>22</v>
      </c>
      <c r="D516" s="2">
        <v>17</v>
      </c>
      <c r="E516" s="3">
        <v>74791</v>
      </c>
      <c r="F516" s="2" t="s">
        <v>28</v>
      </c>
      <c r="G516" s="2" t="s">
        <v>23</v>
      </c>
    </row>
    <row r="517" spans="1:7">
      <c r="A517" s="2">
        <v>516</v>
      </c>
      <c r="B517" s="2" t="s">
        <v>73</v>
      </c>
      <c r="C517" s="2" t="s">
        <v>22</v>
      </c>
      <c r="D517" s="2">
        <v>46</v>
      </c>
      <c r="E517" s="3">
        <v>68651</v>
      </c>
      <c r="F517" s="2" t="s">
        <v>17</v>
      </c>
      <c r="G517" s="2" t="s">
        <v>18</v>
      </c>
    </row>
    <row r="518" spans="1:7">
      <c r="A518" s="2">
        <v>517</v>
      </c>
      <c r="B518" s="2" t="s">
        <v>33</v>
      </c>
      <c r="C518" s="2" t="s">
        <v>12</v>
      </c>
      <c r="D518" s="2">
        <v>37</v>
      </c>
      <c r="E518" s="3">
        <v>55349</v>
      </c>
      <c r="F518" s="2" t="s">
        <v>13</v>
      </c>
      <c r="G518" s="2" t="s">
        <v>18</v>
      </c>
    </row>
    <row r="519" spans="1:7">
      <c r="A519" s="2">
        <v>518</v>
      </c>
      <c r="B519" s="2" t="s">
        <v>60</v>
      </c>
      <c r="C519" s="2" t="s">
        <v>8</v>
      </c>
      <c r="D519" s="2">
        <v>41</v>
      </c>
      <c r="E519" s="3">
        <v>90580</v>
      </c>
      <c r="F519" s="2" t="s">
        <v>17</v>
      </c>
      <c r="G519" s="2" t="s">
        <v>18</v>
      </c>
    </row>
    <row r="520" spans="1:7">
      <c r="A520" s="2">
        <v>519</v>
      </c>
      <c r="B520" s="2" t="s">
        <v>94</v>
      </c>
      <c r="C520" s="2" t="s">
        <v>16</v>
      </c>
      <c r="D520" s="2">
        <v>5</v>
      </c>
      <c r="E520" s="3">
        <v>85240</v>
      </c>
      <c r="F520" s="2" t="s">
        <v>20</v>
      </c>
      <c r="G520" s="2" t="s">
        <v>14</v>
      </c>
    </row>
    <row r="521" spans="1:7">
      <c r="A521" s="2">
        <v>520</v>
      </c>
      <c r="B521" s="2" t="s">
        <v>59</v>
      </c>
      <c r="C521" s="2" t="s">
        <v>12</v>
      </c>
      <c r="D521" s="2">
        <v>32</v>
      </c>
      <c r="E521" s="3">
        <v>80364</v>
      </c>
      <c r="F521" s="2" t="s">
        <v>20</v>
      </c>
      <c r="G521" s="2" t="s">
        <v>26</v>
      </c>
    </row>
    <row r="522" spans="1:7">
      <c r="A522" s="2">
        <v>521</v>
      </c>
      <c r="B522" s="2" t="s">
        <v>40</v>
      </c>
      <c r="C522" s="2" t="s">
        <v>8</v>
      </c>
      <c r="D522" s="2">
        <v>30</v>
      </c>
      <c r="E522" s="3">
        <v>59766</v>
      </c>
      <c r="F522" s="2" t="s">
        <v>20</v>
      </c>
      <c r="G522" s="2" t="s">
        <v>14</v>
      </c>
    </row>
    <row r="523" spans="1:7">
      <c r="A523" s="2">
        <v>522</v>
      </c>
      <c r="B523" s="2" t="s">
        <v>21</v>
      </c>
      <c r="C523" s="2" t="s">
        <v>22</v>
      </c>
      <c r="D523" s="2">
        <v>33</v>
      </c>
      <c r="E523" s="3">
        <v>37650</v>
      </c>
      <c r="F523" s="2" t="s">
        <v>38</v>
      </c>
      <c r="G523" s="2" t="s">
        <v>23</v>
      </c>
    </row>
    <row r="524" spans="1:7">
      <c r="A524" s="2">
        <v>523</v>
      </c>
      <c r="B524" s="2" t="s">
        <v>79</v>
      </c>
      <c r="C524" s="2" t="s">
        <v>8</v>
      </c>
      <c r="D524" s="2">
        <v>24</v>
      </c>
      <c r="E524" s="3">
        <v>92025</v>
      </c>
      <c r="F524" s="2" t="s">
        <v>25</v>
      </c>
      <c r="G524" s="2" t="s">
        <v>29</v>
      </c>
    </row>
    <row r="525" spans="1:7">
      <c r="A525" s="2">
        <v>524</v>
      </c>
      <c r="B525" s="2" t="s">
        <v>78</v>
      </c>
      <c r="C525" s="2" t="s">
        <v>8</v>
      </c>
      <c r="D525" s="2">
        <v>4</v>
      </c>
      <c r="E525" s="3">
        <v>26303</v>
      </c>
      <c r="F525" s="2" t="s">
        <v>25</v>
      </c>
      <c r="G525" s="2" t="s">
        <v>23</v>
      </c>
    </row>
    <row r="526" spans="1:7">
      <c r="A526" s="2">
        <v>525</v>
      </c>
      <c r="B526" s="2" t="s">
        <v>82</v>
      </c>
      <c r="C526" s="2" t="s">
        <v>16</v>
      </c>
      <c r="D526" s="2">
        <v>32</v>
      </c>
      <c r="E526" s="3">
        <v>55668</v>
      </c>
      <c r="F526" s="2" t="s">
        <v>38</v>
      </c>
      <c r="G526" s="2" t="s">
        <v>26</v>
      </c>
    </row>
    <row r="527" spans="1:7">
      <c r="A527" s="2">
        <v>526</v>
      </c>
      <c r="B527" s="2" t="s">
        <v>64</v>
      </c>
      <c r="C527" s="2" t="s">
        <v>16</v>
      </c>
      <c r="D527" s="2">
        <v>37</v>
      </c>
      <c r="E527" s="3">
        <v>79334</v>
      </c>
      <c r="F527" s="2" t="s">
        <v>32</v>
      </c>
      <c r="G527" s="2" t="s">
        <v>29</v>
      </c>
    </row>
    <row r="528" spans="1:7">
      <c r="A528" s="2">
        <v>527</v>
      </c>
      <c r="B528" s="2" t="s">
        <v>50</v>
      </c>
      <c r="C528" s="2" t="s">
        <v>16</v>
      </c>
      <c r="D528" s="2">
        <v>11</v>
      </c>
      <c r="E528" s="3">
        <v>38842</v>
      </c>
      <c r="F528" s="2" t="s">
        <v>20</v>
      </c>
      <c r="G528" s="2" t="s">
        <v>26</v>
      </c>
    </row>
    <row r="529" spans="1:7">
      <c r="A529" s="2">
        <v>528</v>
      </c>
      <c r="B529" s="2" t="s">
        <v>76</v>
      </c>
      <c r="C529" s="2" t="s">
        <v>12</v>
      </c>
      <c r="D529" s="2">
        <v>24</v>
      </c>
      <c r="E529" s="3">
        <v>36596</v>
      </c>
      <c r="F529" s="2" t="s">
        <v>9</v>
      </c>
      <c r="G529" s="2" t="s">
        <v>10</v>
      </c>
    </row>
    <row r="530" spans="1:7">
      <c r="A530" s="2">
        <v>529</v>
      </c>
      <c r="B530" s="2" t="s">
        <v>27</v>
      </c>
      <c r="C530" s="2" t="s">
        <v>16</v>
      </c>
      <c r="D530" s="2">
        <v>11</v>
      </c>
      <c r="E530" s="3">
        <v>29286</v>
      </c>
      <c r="F530" s="2" t="s">
        <v>32</v>
      </c>
      <c r="G530" s="2" t="s">
        <v>18</v>
      </c>
    </row>
    <row r="531" spans="1:7">
      <c r="A531" s="2">
        <v>530</v>
      </c>
      <c r="B531" s="2" t="s">
        <v>47</v>
      </c>
      <c r="C531" s="2" t="s">
        <v>12</v>
      </c>
      <c r="D531" s="2">
        <v>17</v>
      </c>
      <c r="E531" s="3">
        <v>61575</v>
      </c>
      <c r="F531" s="2" t="s">
        <v>20</v>
      </c>
      <c r="G531" s="2" t="s">
        <v>29</v>
      </c>
    </row>
    <row r="532" spans="1:7">
      <c r="A532" s="2">
        <v>531</v>
      </c>
      <c r="B532" s="2" t="s">
        <v>64</v>
      </c>
      <c r="C532" s="2" t="s">
        <v>8</v>
      </c>
      <c r="D532" s="2">
        <v>50</v>
      </c>
      <c r="E532" s="3">
        <v>98320</v>
      </c>
      <c r="F532" s="2" t="s">
        <v>38</v>
      </c>
      <c r="G532" s="2" t="s">
        <v>18</v>
      </c>
    </row>
    <row r="533" spans="1:7">
      <c r="A533" s="2">
        <v>532</v>
      </c>
      <c r="B533" s="2" t="s">
        <v>46</v>
      </c>
      <c r="C533" s="2" t="s">
        <v>12</v>
      </c>
      <c r="D533" s="2">
        <v>7</v>
      </c>
      <c r="E533" s="3">
        <v>36375</v>
      </c>
      <c r="F533" s="2" t="s">
        <v>13</v>
      </c>
      <c r="G533" s="2" t="s">
        <v>26</v>
      </c>
    </row>
    <row r="534" spans="1:7">
      <c r="A534" s="2">
        <v>533</v>
      </c>
      <c r="B534" s="2" t="s">
        <v>81</v>
      </c>
      <c r="C534" s="2" t="s">
        <v>12</v>
      </c>
      <c r="D534" s="2">
        <v>37</v>
      </c>
      <c r="E534" s="3">
        <v>90916</v>
      </c>
      <c r="F534" s="2" t="s">
        <v>9</v>
      </c>
      <c r="G534" s="2" t="s">
        <v>29</v>
      </c>
    </row>
    <row r="535" spans="1:7">
      <c r="A535" s="2">
        <v>534</v>
      </c>
      <c r="B535" s="2" t="s">
        <v>94</v>
      </c>
      <c r="C535" s="2" t="s">
        <v>16</v>
      </c>
      <c r="D535" s="2">
        <v>44</v>
      </c>
      <c r="E535" s="3">
        <v>29614</v>
      </c>
      <c r="F535" s="2" t="s">
        <v>28</v>
      </c>
      <c r="G535" s="2" t="s">
        <v>10</v>
      </c>
    </row>
    <row r="536" spans="1:7">
      <c r="A536" s="2">
        <v>535</v>
      </c>
      <c r="B536" s="2" t="s">
        <v>89</v>
      </c>
      <c r="C536" s="2" t="s">
        <v>16</v>
      </c>
      <c r="D536" s="2">
        <v>47</v>
      </c>
      <c r="E536" s="3">
        <v>30280</v>
      </c>
      <c r="F536" s="2" t="s">
        <v>38</v>
      </c>
      <c r="G536" s="2" t="s">
        <v>29</v>
      </c>
    </row>
    <row r="537" spans="1:7">
      <c r="A537" s="2">
        <v>536</v>
      </c>
      <c r="B537" s="2" t="s">
        <v>75</v>
      </c>
      <c r="C537" s="2" t="s">
        <v>22</v>
      </c>
      <c r="D537" s="2">
        <v>8</v>
      </c>
      <c r="E537" s="3">
        <v>40452</v>
      </c>
      <c r="F537" s="2" t="s">
        <v>17</v>
      </c>
      <c r="G537" s="2" t="s">
        <v>23</v>
      </c>
    </row>
    <row r="538" spans="1:7">
      <c r="A538" s="2">
        <v>537</v>
      </c>
      <c r="B538" s="2" t="s">
        <v>37</v>
      </c>
      <c r="C538" s="2" t="s">
        <v>12</v>
      </c>
      <c r="D538" s="2">
        <v>15</v>
      </c>
      <c r="E538" s="3">
        <v>73087</v>
      </c>
      <c r="F538" s="2" t="s">
        <v>32</v>
      </c>
      <c r="G538" s="2" t="s">
        <v>14</v>
      </c>
    </row>
    <row r="539" spans="1:7">
      <c r="A539" s="2">
        <v>538</v>
      </c>
      <c r="B539" s="2" t="s">
        <v>7</v>
      </c>
      <c r="C539" s="2" t="s">
        <v>8</v>
      </c>
      <c r="D539" s="2">
        <v>48</v>
      </c>
      <c r="E539" s="3">
        <v>41300</v>
      </c>
      <c r="F539" s="2" t="s">
        <v>20</v>
      </c>
      <c r="G539" s="2" t="s">
        <v>18</v>
      </c>
    </row>
    <row r="540" spans="1:7">
      <c r="A540" s="2">
        <v>539</v>
      </c>
      <c r="B540" s="2" t="s">
        <v>94</v>
      </c>
      <c r="C540" s="2" t="s">
        <v>22</v>
      </c>
      <c r="D540" s="2">
        <v>33</v>
      </c>
      <c r="E540" s="3">
        <v>36819</v>
      </c>
      <c r="F540" s="2" t="s">
        <v>38</v>
      </c>
      <c r="G540" s="2" t="s">
        <v>14</v>
      </c>
    </row>
    <row r="541" spans="1:7">
      <c r="A541" s="2">
        <v>540</v>
      </c>
      <c r="B541" s="2" t="s">
        <v>24</v>
      </c>
      <c r="C541" s="2" t="s">
        <v>22</v>
      </c>
      <c r="D541" s="2">
        <v>1</v>
      </c>
      <c r="E541" s="3">
        <v>97304</v>
      </c>
      <c r="F541" s="2" t="s">
        <v>32</v>
      </c>
      <c r="G541" s="2" t="s">
        <v>29</v>
      </c>
    </row>
    <row r="542" spans="1:7">
      <c r="A542" s="2">
        <v>541</v>
      </c>
      <c r="B542" s="2" t="s">
        <v>88</v>
      </c>
      <c r="C542" s="2" t="s">
        <v>22</v>
      </c>
      <c r="D542" s="2">
        <v>3</v>
      </c>
      <c r="E542" s="3">
        <v>76299</v>
      </c>
      <c r="F542" s="2" t="s">
        <v>9</v>
      </c>
      <c r="G542" s="2" t="s">
        <v>23</v>
      </c>
    </row>
    <row r="543" spans="1:7">
      <c r="A543" s="2">
        <v>542</v>
      </c>
      <c r="B543" s="2" t="s">
        <v>87</v>
      </c>
      <c r="C543" s="2" t="s">
        <v>16</v>
      </c>
      <c r="D543" s="2">
        <v>1</v>
      </c>
      <c r="E543" s="3">
        <v>32137</v>
      </c>
      <c r="F543" s="2" t="s">
        <v>20</v>
      </c>
      <c r="G543" s="2" t="s">
        <v>29</v>
      </c>
    </row>
    <row r="544" spans="1:7">
      <c r="A544" s="2">
        <v>543</v>
      </c>
      <c r="B544" s="2" t="s">
        <v>87</v>
      </c>
      <c r="C544" s="2" t="s">
        <v>16</v>
      </c>
      <c r="D544" s="2">
        <v>16</v>
      </c>
      <c r="E544" s="3">
        <v>85083</v>
      </c>
      <c r="F544" s="2" t="s">
        <v>9</v>
      </c>
      <c r="G544" s="2" t="s">
        <v>10</v>
      </c>
    </row>
    <row r="545" spans="1:7">
      <c r="A545" s="2">
        <v>544</v>
      </c>
      <c r="B545" s="2" t="s">
        <v>93</v>
      </c>
      <c r="C545" s="2" t="s">
        <v>16</v>
      </c>
      <c r="D545" s="2">
        <v>3</v>
      </c>
      <c r="E545" s="3">
        <v>93655</v>
      </c>
      <c r="F545" s="2" t="s">
        <v>38</v>
      </c>
      <c r="G545" s="2" t="s">
        <v>10</v>
      </c>
    </row>
    <row r="546" spans="1:7">
      <c r="A546" s="2">
        <v>545</v>
      </c>
      <c r="B546" s="2" t="s">
        <v>48</v>
      </c>
      <c r="C546" s="2" t="s">
        <v>8</v>
      </c>
      <c r="D546" s="2">
        <v>31</v>
      </c>
      <c r="E546" s="3">
        <v>90693</v>
      </c>
      <c r="F546" s="2" t="s">
        <v>17</v>
      </c>
      <c r="G546" s="2" t="s">
        <v>10</v>
      </c>
    </row>
    <row r="547" spans="1:7">
      <c r="A547" s="2">
        <v>546</v>
      </c>
      <c r="B547" s="2" t="s">
        <v>43</v>
      </c>
      <c r="C547" s="2" t="s">
        <v>12</v>
      </c>
      <c r="D547" s="2">
        <v>24</v>
      </c>
      <c r="E547" s="3">
        <v>39973</v>
      </c>
      <c r="F547" s="2" t="s">
        <v>13</v>
      </c>
      <c r="G547" s="2" t="s">
        <v>29</v>
      </c>
    </row>
    <row r="548" spans="1:7">
      <c r="A548" s="2">
        <v>547</v>
      </c>
      <c r="B548" s="2" t="s">
        <v>54</v>
      </c>
      <c r="C548" s="2" t="s">
        <v>22</v>
      </c>
      <c r="D548" s="2">
        <v>25</v>
      </c>
      <c r="E548" s="3">
        <v>89748</v>
      </c>
      <c r="F548" s="2" t="s">
        <v>17</v>
      </c>
      <c r="G548" s="2" t="s">
        <v>26</v>
      </c>
    </row>
    <row r="549" spans="1:7">
      <c r="A549" s="2">
        <v>548</v>
      </c>
      <c r="B549" s="2" t="s">
        <v>57</v>
      </c>
      <c r="C549" s="2" t="s">
        <v>16</v>
      </c>
      <c r="D549" s="2">
        <v>10</v>
      </c>
      <c r="E549" s="3">
        <v>64646</v>
      </c>
      <c r="F549" s="2" t="s">
        <v>38</v>
      </c>
      <c r="G549" s="2" t="s">
        <v>10</v>
      </c>
    </row>
    <row r="550" spans="1:7">
      <c r="A550" s="2">
        <v>549</v>
      </c>
      <c r="B550" s="2" t="s">
        <v>79</v>
      </c>
      <c r="C550" s="2" t="s">
        <v>12</v>
      </c>
      <c r="D550" s="2">
        <v>12</v>
      </c>
      <c r="E550" s="3">
        <v>76522</v>
      </c>
      <c r="F550" s="2" t="s">
        <v>28</v>
      </c>
      <c r="G550" s="2" t="s">
        <v>26</v>
      </c>
    </row>
    <row r="551" spans="1:7">
      <c r="A551" s="2">
        <v>550</v>
      </c>
      <c r="B551" s="2" t="s">
        <v>39</v>
      </c>
      <c r="C551" s="2" t="s">
        <v>22</v>
      </c>
      <c r="D551" s="2">
        <v>3</v>
      </c>
      <c r="E551" s="3">
        <v>99360</v>
      </c>
      <c r="F551" s="2" t="s">
        <v>38</v>
      </c>
      <c r="G551" s="2" t="s">
        <v>26</v>
      </c>
    </row>
    <row r="552" spans="1:7">
      <c r="A552" s="2">
        <v>551</v>
      </c>
      <c r="B552" s="2" t="s">
        <v>88</v>
      </c>
      <c r="C552" s="2" t="s">
        <v>12</v>
      </c>
      <c r="D552" s="2">
        <v>36</v>
      </c>
      <c r="E552" s="3">
        <v>36497</v>
      </c>
      <c r="F552" s="2" t="s">
        <v>20</v>
      </c>
      <c r="G552" s="2" t="s">
        <v>29</v>
      </c>
    </row>
    <row r="553" spans="1:7">
      <c r="A553" s="2">
        <v>552</v>
      </c>
      <c r="B553" s="2" t="s">
        <v>50</v>
      </c>
      <c r="C553" s="2" t="s">
        <v>22</v>
      </c>
      <c r="D553" s="2">
        <v>46</v>
      </c>
      <c r="E553" s="3">
        <v>91104</v>
      </c>
      <c r="F553" s="2" t="s">
        <v>28</v>
      </c>
      <c r="G553" s="2" t="s">
        <v>29</v>
      </c>
    </row>
    <row r="554" spans="1:7">
      <c r="A554" s="2">
        <v>553</v>
      </c>
      <c r="B554" s="2" t="s">
        <v>94</v>
      </c>
      <c r="C554" s="2" t="s">
        <v>12</v>
      </c>
      <c r="D554" s="2">
        <v>48</v>
      </c>
      <c r="E554" s="3">
        <v>43921</v>
      </c>
      <c r="F554" s="2" t="s">
        <v>20</v>
      </c>
      <c r="G554" s="2" t="s">
        <v>23</v>
      </c>
    </row>
    <row r="555" spans="1:7">
      <c r="A555" s="2">
        <v>554</v>
      </c>
      <c r="B555" s="2" t="s">
        <v>73</v>
      </c>
      <c r="C555" s="2" t="s">
        <v>16</v>
      </c>
      <c r="D555" s="2">
        <v>42</v>
      </c>
      <c r="E555" s="3">
        <v>93215</v>
      </c>
      <c r="F555" s="2" t="s">
        <v>32</v>
      </c>
      <c r="G555" s="2" t="s">
        <v>26</v>
      </c>
    </row>
    <row r="556" spans="1:7">
      <c r="A556" s="2">
        <v>555</v>
      </c>
      <c r="B556" s="2" t="s">
        <v>15</v>
      </c>
      <c r="C556" s="2" t="s">
        <v>12</v>
      </c>
      <c r="D556" s="2">
        <v>27</v>
      </c>
      <c r="E556" s="3">
        <v>72467</v>
      </c>
      <c r="F556" s="2" t="s">
        <v>20</v>
      </c>
      <c r="G556" s="2" t="s">
        <v>18</v>
      </c>
    </row>
    <row r="557" spans="1:7">
      <c r="A557" s="2">
        <v>556</v>
      </c>
      <c r="B557" s="2" t="s">
        <v>21</v>
      </c>
      <c r="C557" s="2" t="s">
        <v>12</v>
      </c>
      <c r="D557" s="2">
        <v>15</v>
      </c>
      <c r="E557" s="3">
        <v>73063</v>
      </c>
      <c r="F557" s="2" t="s">
        <v>20</v>
      </c>
      <c r="G557" s="2" t="s">
        <v>14</v>
      </c>
    </row>
    <row r="558" spans="1:7">
      <c r="A558" s="2">
        <v>557</v>
      </c>
      <c r="B558" s="2" t="s">
        <v>86</v>
      </c>
      <c r="C558" s="2" t="s">
        <v>22</v>
      </c>
      <c r="D558" s="2">
        <v>21</v>
      </c>
      <c r="E558" s="3">
        <v>66942</v>
      </c>
      <c r="F558" s="2" t="s">
        <v>32</v>
      </c>
      <c r="G558" s="2" t="s">
        <v>26</v>
      </c>
    </row>
    <row r="559" spans="1:7">
      <c r="A559" s="2">
        <v>558</v>
      </c>
      <c r="B559" s="2" t="s">
        <v>39</v>
      </c>
      <c r="C559" s="2" t="s">
        <v>12</v>
      </c>
      <c r="D559" s="2">
        <v>16</v>
      </c>
      <c r="E559" s="3">
        <v>35441</v>
      </c>
      <c r="F559" s="2" t="s">
        <v>13</v>
      </c>
      <c r="G559" s="2" t="s">
        <v>18</v>
      </c>
    </row>
    <row r="560" spans="1:7">
      <c r="A560" s="2">
        <v>559</v>
      </c>
      <c r="B560" s="2" t="s">
        <v>56</v>
      </c>
      <c r="C560" s="2" t="s">
        <v>8</v>
      </c>
      <c r="D560" s="2">
        <v>27</v>
      </c>
      <c r="E560" s="3">
        <v>74626</v>
      </c>
      <c r="F560" s="2" t="s">
        <v>32</v>
      </c>
      <c r="G560" s="2" t="s">
        <v>14</v>
      </c>
    </row>
    <row r="561" spans="1:7">
      <c r="A561" s="2">
        <v>560</v>
      </c>
      <c r="B561" s="2" t="s">
        <v>19</v>
      </c>
      <c r="C561" s="2" t="s">
        <v>22</v>
      </c>
      <c r="D561" s="2">
        <v>47</v>
      </c>
      <c r="E561" s="3">
        <v>28491</v>
      </c>
      <c r="F561" s="2" t="s">
        <v>32</v>
      </c>
      <c r="G561" s="2" t="s">
        <v>14</v>
      </c>
    </row>
    <row r="562" spans="1:7">
      <c r="A562" s="2">
        <v>561</v>
      </c>
      <c r="B562" s="2" t="s">
        <v>70</v>
      </c>
      <c r="C562" s="2" t="s">
        <v>12</v>
      </c>
      <c r="D562" s="2">
        <v>21</v>
      </c>
      <c r="E562" s="3">
        <v>33673</v>
      </c>
      <c r="F562" s="2" t="s">
        <v>32</v>
      </c>
      <c r="G562" s="2" t="s">
        <v>29</v>
      </c>
    </row>
    <row r="563" spans="1:7">
      <c r="A563" s="2">
        <v>562</v>
      </c>
      <c r="B563" s="2" t="s">
        <v>73</v>
      </c>
      <c r="C563" s="2" t="s">
        <v>8</v>
      </c>
      <c r="D563" s="2">
        <v>18</v>
      </c>
      <c r="E563" s="3">
        <v>48239</v>
      </c>
      <c r="F563" s="2" t="s">
        <v>25</v>
      </c>
      <c r="G563" s="2" t="s">
        <v>10</v>
      </c>
    </row>
    <row r="564" spans="1:7">
      <c r="A564" s="2">
        <v>563</v>
      </c>
      <c r="B564" s="2" t="s">
        <v>31</v>
      </c>
      <c r="C564" s="2" t="s">
        <v>22</v>
      </c>
      <c r="D564" s="2">
        <v>5</v>
      </c>
      <c r="E564" s="3">
        <v>34831</v>
      </c>
      <c r="F564" s="2" t="s">
        <v>13</v>
      </c>
      <c r="G564" s="2" t="s">
        <v>10</v>
      </c>
    </row>
    <row r="565" spans="1:7">
      <c r="A565" s="2">
        <v>564</v>
      </c>
      <c r="B565" s="2" t="s">
        <v>70</v>
      </c>
      <c r="C565" s="2" t="s">
        <v>16</v>
      </c>
      <c r="D565" s="2">
        <v>37</v>
      </c>
      <c r="E565" s="3">
        <v>57389</v>
      </c>
      <c r="F565" s="2" t="s">
        <v>20</v>
      </c>
      <c r="G565" s="2" t="s">
        <v>10</v>
      </c>
    </row>
    <row r="566" spans="1:7">
      <c r="A566" s="2">
        <v>565</v>
      </c>
      <c r="B566" s="2" t="s">
        <v>21</v>
      </c>
      <c r="C566" s="2" t="s">
        <v>22</v>
      </c>
      <c r="D566" s="2">
        <v>24</v>
      </c>
      <c r="E566" s="3">
        <v>71636</v>
      </c>
      <c r="F566" s="2" t="s">
        <v>17</v>
      </c>
      <c r="G566" s="2" t="s">
        <v>18</v>
      </c>
    </row>
    <row r="567" spans="1:7">
      <c r="A567" s="2">
        <v>566</v>
      </c>
      <c r="B567" s="2" t="s">
        <v>55</v>
      </c>
      <c r="C567" s="2" t="s">
        <v>22</v>
      </c>
      <c r="D567" s="2">
        <v>8</v>
      </c>
      <c r="E567" s="3">
        <v>81508</v>
      </c>
      <c r="F567" s="2" t="s">
        <v>9</v>
      </c>
      <c r="G567" s="2" t="s">
        <v>10</v>
      </c>
    </row>
    <row r="568" spans="1:7">
      <c r="A568" s="2">
        <v>567</v>
      </c>
      <c r="B568" s="2" t="s">
        <v>52</v>
      </c>
      <c r="C568" s="2" t="s">
        <v>12</v>
      </c>
      <c r="D568" s="2">
        <v>33</v>
      </c>
      <c r="E568" s="3">
        <v>42911</v>
      </c>
      <c r="F568" s="2" t="s">
        <v>13</v>
      </c>
      <c r="G568" s="2" t="s">
        <v>26</v>
      </c>
    </row>
    <row r="569" spans="1:7">
      <c r="A569" s="2">
        <v>568</v>
      </c>
      <c r="B569" s="2" t="s">
        <v>92</v>
      </c>
      <c r="C569" s="2" t="s">
        <v>8</v>
      </c>
      <c r="D569" s="2">
        <v>44</v>
      </c>
      <c r="E569" s="3">
        <v>37120</v>
      </c>
      <c r="F569" s="2" t="s">
        <v>20</v>
      </c>
      <c r="G569" s="2" t="s">
        <v>23</v>
      </c>
    </row>
    <row r="570" spans="1:7">
      <c r="A570" s="2">
        <v>569</v>
      </c>
      <c r="B570" s="2" t="s">
        <v>57</v>
      </c>
      <c r="C570" s="2" t="s">
        <v>22</v>
      </c>
      <c r="D570" s="2">
        <v>4</v>
      </c>
      <c r="E570" s="3">
        <v>60164</v>
      </c>
      <c r="F570" s="2" t="s">
        <v>25</v>
      </c>
      <c r="G570" s="2" t="s">
        <v>29</v>
      </c>
    </row>
    <row r="571" spans="1:7">
      <c r="A571" s="2">
        <v>570</v>
      </c>
      <c r="B571" s="2" t="s">
        <v>60</v>
      </c>
      <c r="C571" s="2" t="s">
        <v>22</v>
      </c>
      <c r="D571" s="2">
        <v>12</v>
      </c>
      <c r="E571" s="3">
        <v>43911</v>
      </c>
      <c r="F571" s="2" t="s">
        <v>25</v>
      </c>
      <c r="G571" s="2" t="s">
        <v>10</v>
      </c>
    </row>
    <row r="572" spans="1:7">
      <c r="A572" s="2">
        <v>571</v>
      </c>
      <c r="B572" s="2" t="s">
        <v>72</v>
      </c>
      <c r="C572" s="2" t="s">
        <v>22</v>
      </c>
      <c r="D572" s="2">
        <v>15</v>
      </c>
      <c r="E572" s="3">
        <v>25829</v>
      </c>
      <c r="F572" s="2" t="s">
        <v>13</v>
      </c>
      <c r="G572" s="2" t="s">
        <v>26</v>
      </c>
    </row>
    <row r="573" spans="1:7">
      <c r="A573" s="2">
        <v>572</v>
      </c>
      <c r="B573" s="2" t="s">
        <v>46</v>
      </c>
      <c r="C573" s="2" t="s">
        <v>12</v>
      </c>
      <c r="D573" s="2">
        <v>34</v>
      </c>
      <c r="E573" s="3">
        <v>60216</v>
      </c>
      <c r="F573" s="2" t="s">
        <v>17</v>
      </c>
      <c r="G573" s="2" t="s">
        <v>26</v>
      </c>
    </row>
    <row r="574" spans="1:7">
      <c r="A574" s="2">
        <v>573</v>
      </c>
      <c r="B574" s="2" t="s">
        <v>42</v>
      </c>
      <c r="C574" s="2" t="s">
        <v>22</v>
      </c>
      <c r="D574" s="2">
        <v>3</v>
      </c>
      <c r="E574" s="3">
        <v>82999</v>
      </c>
      <c r="F574" s="2" t="s">
        <v>25</v>
      </c>
      <c r="G574" s="2" t="s">
        <v>10</v>
      </c>
    </row>
    <row r="575" spans="1:7">
      <c r="A575" s="2">
        <v>574</v>
      </c>
      <c r="B575" s="2" t="s">
        <v>79</v>
      </c>
      <c r="C575" s="2" t="s">
        <v>8</v>
      </c>
      <c r="D575" s="2">
        <v>26</v>
      </c>
      <c r="E575" s="3">
        <v>99562</v>
      </c>
      <c r="F575" s="2" t="s">
        <v>9</v>
      </c>
      <c r="G575" s="2" t="s">
        <v>10</v>
      </c>
    </row>
    <row r="576" spans="1:7">
      <c r="A576" s="2">
        <v>575</v>
      </c>
      <c r="B576" s="2" t="s">
        <v>83</v>
      </c>
      <c r="C576" s="2" t="s">
        <v>12</v>
      </c>
      <c r="D576" s="2">
        <v>5</v>
      </c>
      <c r="E576" s="3">
        <v>81867</v>
      </c>
      <c r="F576" s="2" t="s">
        <v>17</v>
      </c>
      <c r="G576" s="2" t="s">
        <v>18</v>
      </c>
    </row>
    <row r="577" spans="1:7">
      <c r="A577" s="2">
        <v>576</v>
      </c>
      <c r="B577" s="2" t="s">
        <v>66</v>
      </c>
      <c r="C577" s="2" t="s">
        <v>16</v>
      </c>
      <c r="D577" s="2">
        <v>30</v>
      </c>
      <c r="E577" s="3">
        <v>50802</v>
      </c>
      <c r="F577" s="2" t="s">
        <v>17</v>
      </c>
      <c r="G577" s="2" t="s">
        <v>29</v>
      </c>
    </row>
    <row r="578" spans="1:7">
      <c r="A578" s="2">
        <v>577</v>
      </c>
      <c r="B578" s="2" t="s">
        <v>7</v>
      </c>
      <c r="C578" s="2" t="s">
        <v>16</v>
      </c>
      <c r="D578" s="2">
        <v>19</v>
      </c>
      <c r="E578" s="3">
        <v>70947</v>
      </c>
      <c r="F578" s="2" t="s">
        <v>17</v>
      </c>
      <c r="G578" s="2" t="s">
        <v>23</v>
      </c>
    </row>
    <row r="579" spans="1:7">
      <c r="A579" s="2">
        <v>578</v>
      </c>
      <c r="B579" s="2" t="s">
        <v>74</v>
      </c>
      <c r="C579" s="2" t="s">
        <v>12</v>
      </c>
      <c r="D579" s="2">
        <v>50</v>
      </c>
      <c r="E579" s="3">
        <v>46825</v>
      </c>
      <c r="F579" s="2" t="s">
        <v>17</v>
      </c>
      <c r="G579" s="2" t="s">
        <v>10</v>
      </c>
    </row>
    <row r="580" spans="1:7">
      <c r="A580" s="2">
        <v>579</v>
      </c>
      <c r="B580" s="2" t="s">
        <v>47</v>
      </c>
      <c r="C580" s="2" t="s">
        <v>8</v>
      </c>
      <c r="D580" s="2">
        <v>20</v>
      </c>
      <c r="E580" s="3">
        <v>95044</v>
      </c>
      <c r="F580" s="2" t="s">
        <v>13</v>
      </c>
      <c r="G580" s="2" t="s">
        <v>14</v>
      </c>
    </row>
    <row r="581" spans="1:7">
      <c r="A581" s="2">
        <v>580</v>
      </c>
      <c r="B581" s="2" t="s">
        <v>69</v>
      </c>
      <c r="C581" s="2" t="s">
        <v>12</v>
      </c>
      <c r="D581" s="2">
        <v>21</v>
      </c>
      <c r="E581" s="3">
        <v>91142</v>
      </c>
      <c r="F581" s="2" t="s">
        <v>13</v>
      </c>
      <c r="G581" s="2" t="s">
        <v>18</v>
      </c>
    </row>
    <row r="582" spans="1:7">
      <c r="A582" s="2">
        <v>581</v>
      </c>
      <c r="B582" s="2" t="s">
        <v>61</v>
      </c>
      <c r="C582" s="2" t="s">
        <v>12</v>
      </c>
      <c r="D582" s="2">
        <v>6</v>
      </c>
      <c r="E582" s="3">
        <v>64988</v>
      </c>
      <c r="F582" s="2" t="s">
        <v>17</v>
      </c>
      <c r="G582" s="2" t="s">
        <v>10</v>
      </c>
    </row>
    <row r="583" spans="1:7">
      <c r="A583" s="2">
        <v>582</v>
      </c>
      <c r="B583" s="2" t="s">
        <v>84</v>
      </c>
      <c r="C583" s="2" t="s">
        <v>12</v>
      </c>
      <c r="D583" s="2">
        <v>36</v>
      </c>
      <c r="E583" s="3">
        <v>71250</v>
      </c>
      <c r="F583" s="2" t="s">
        <v>32</v>
      </c>
      <c r="G583" s="2" t="s">
        <v>10</v>
      </c>
    </row>
    <row r="584" spans="1:7">
      <c r="A584" s="2">
        <v>583</v>
      </c>
      <c r="B584" s="2" t="s">
        <v>82</v>
      </c>
      <c r="C584" s="2" t="s">
        <v>12</v>
      </c>
      <c r="D584" s="2">
        <v>30</v>
      </c>
      <c r="E584" s="3">
        <v>36853</v>
      </c>
      <c r="F584" s="2" t="s">
        <v>32</v>
      </c>
      <c r="G584" s="2" t="s">
        <v>26</v>
      </c>
    </row>
    <row r="585" spans="1:7">
      <c r="A585" s="2">
        <v>584</v>
      </c>
      <c r="B585" s="2" t="s">
        <v>45</v>
      </c>
      <c r="C585" s="2" t="s">
        <v>22</v>
      </c>
      <c r="D585" s="2">
        <v>1</v>
      </c>
      <c r="E585" s="3">
        <v>95347</v>
      </c>
      <c r="F585" s="2" t="s">
        <v>13</v>
      </c>
      <c r="G585" s="2" t="s">
        <v>18</v>
      </c>
    </row>
    <row r="586" spans="1:7">
      <c r="A586" s="2">
        <v>585</v>
      </c>
      <c r="B586" s="2" t="s">
        <v>19</v>
      </c>
      <c r="C586" s="2" t="s">
        <v>16</v>
      </c>
      <c r="D586" s="2">
        <v>24</v>
      </c>
      <c r="E586" s="3">
        <v>83598</v>
      </c>
      <c r="F586" s="2" t="s">
        <v>28</v>
      </c>
      <c r="G586" s="2" t="s">
        <v>23</v>
      </c>
    </row>
    <row r="587" spans="1:7">
      <c r="A587" s="2">
        <v>586</v>
      </c>
      <c r="B587" s="2" t="s">
        <v>41</v>
      </c>
      <c r="C587" s="2" t="s">
        <v>8</v>
      </c>
      <c r="D587" s="2">
        <v>13</v>
      </c>
      <c r="E587" s="3">
        <v>91231</v>
      </c>
      <c r="F587" s="2" t="s">
        <v>17</v>
      </c>
      <c r="G587" s="2" t="s">
        <v>26</v>
      </c>
    </row>
    <row r="588" spans="1:7">
      <c r="A588" s="2">
        <v>587</v>
      </c>
      <c r="B588" s="2" t="s">
        <v>59</v>
      </c>
      <c r="C588" s="2" t="s">
        <v>22</v>
      </c>
      <c r="D588" s="2">
        <v>19</v>
      </c>
      <c r="E588" s="3">
        <v>62001</v>
      </c>
      <c r="F588" s="2" t="s">
        <v>9</v>
      </c>
      <c r="G588" s="2" t="s">
        <v>14</v>
      </c>
    </row>
    <row r="589" spans="1:7">
      <c r="A589" s="2">
        <v>588</v>
      </c>
      <c r="B589" s="2" t="s">
        <v>93</v>
      </c>
      <c r="C589" s="2" t="s">
        <v>16</v>
      </c>
      <c r="D589" s="2">
        <v>37</v>
      </c>
      <c r="E589" s="3">
        <v>84428</v>
      </c>
      <c r="F589" s="2" t="s">
        <v>9</v>
      </c>
      <c r="G589" s="2" t="s">
        <v>14</v>
      </c>
    </row>
    <row r="590" spans="1:7">
      <c r="A590" s="2">
        <v>589</v>
      </c>
      <c r="B590" s="2" t="s">
        <v>36</v>
      </c>
      <c r="C590" s="2" t="s">
        <v>12</v>
      </c>
      <c r="D590" s="2">
        <v>20</v>
      </c>
      <c r="E590" s="3">
        <v>42380</v>
      </c>
      <c r="F590" s="2" t="s">
        <v>13</v>
      </c>
      <c r="G590" s="2" t="s">
        <v>23</v>
      </c>
    </row>
    <row r="591" spans="1:7">
      <c r="A591" s="2">
        <v>590</v>
      </c>
      <c r="B591" s="2" t="s">
        <v>63</v>
      </c>
      <c r="C591" s="2" t="s">
        <v>16</v>
      </c>
      <c r="D591" s="2">
        <v>48</v>
      </c>
      <c r="E591" s="3">
        <v>98201</v>
      </c>
      <c r="F591" s="2" t="s">
        <v>38</v>
      </c>
      <c r="G591" s="2" t="s">
        <v>26</v>
      </c>
    </row>
    <row r="592" spans="1:7">
      <c r="A592" s="2">
        <v>591</v>
      </c>
      <c r="B592" s="2" t="s">
        <v>41</v>
      </c>
      <c r="C592" s="2" t="s">
        <v>16</v>
      </c>
      <c r="D592" s="2">
        <v>40</v>
      </c>
      <c r="E592" s="3">
        <v>67108</v>
      </c>
      <c r="F592" s="2" t="s">
        <v>38</v>
      </c>
      <c r="G592" s="2" t="s">
        <v>18</v>
      </c>
    </row>
    <row r="593" spans="1:7">
      <c r="A593" s="2">
        <v>592</v>
      </c>
      <c r="B593" s="2" t="s">
        <v>78</v>
      </c>
      <c r="C593" s="2" t="s">
        <v>22</v>
      </c>
      <c r="D593" s="2">
        <v>16</v>
      </c>
      <c r="E593" s="3">
        <v>45986</v>
      </c>
      <c r="F593" s="2" t="s">
        <v>28</v>
      </c>
      <c r="G593" s="2" t="s">
        <v>10</v>
      </c>
    </row>
    <row r="594" spans="1:7">
      <c r="A594" s="2">
        <v>593</v>
      </c>
      <c r="B594" s="2" t="s">
        <v>11</v>
      </c>
      <c r="C594" s="2" t="s">
        <v>22</v>
      </c>
      <c r="D594" s="2">
        <v>30</v>
      </c>
      <c r="E594" s="3">
        <v>80023</v>
      </c>
      <c r="F594" s="2" t="s">
        <v>38</v>
      </c>
      <c r="G594" s="2" t="s">
        <v>23</v>
      </c>
    </row>
    <row r="595" spans="1:7">
      <c r="A595" s="2">
        <v>594</v>
      </c>
      <c r="B595" s="2" t="s">
        <v>67</v>
      </c>
      <c r="C595" s="2" t="s">
        <v>8</v>
      </c>
      <c r="D595" s="2">
        <v>24</v>
      </c>
      <c r="E595" s="3">
        <v>76205</v>
      </c>
      <c r="F595" s="2" t="s">
        <v>25</v>
      </c>
      <c r="G595" s="2" t="s">
        <v>26</v>
      </c>
    </row>
    <row r="596" spans="1:7">
      <c r="A596" s="2">
        <v>595</v>
      </c>
      <c r="B596" s="2" t="s">
        <v>49</v>
      </c>
      <c r="C596" s="2" t="s">
        <v>12</v>
      </c>
      <c r="D596" s="2">
        <v>38</v>
      </c>
      <c r="E596" s="3">
        <v>79130</v>
      </c>
      <c r="F596" s="2" t="s">
        <v>28</v>
      </c>
      <c r="G596" s="2" t="s">
        <v>18</v>
      </c>
    </row>
    <row r="597" spans="1:7">
      <c r="A597" s="2">
        <v>596</v>
      </c>
      <c r="B597" s="2" t="s">
        <v>74</v>
      </c>
      <c r="C597" s="2" t="s">
        <v>12</v>
      </c>
      <c r="D597" s="2">
        <v>32</v>
      </c>
      <c r="E597" s="3">
        <v>58279</v>
      </c>
      <c r="F597" s="2" t="s">
        <v>38</v>
      </c>
      <c r="G597" s="2" t="s">
        <v>18</v>
      </c>
    </row>
    <row r="598" spans="1:7">
      <c r="A598" s="2">
        <v>597</v>
      </c>
      <c r="B598" s="2" t="s">
        <v>59</v>
      </c>
      <c r="C598" s="2" t="s">
        <v>12</v>
      </c>
      <c r="D598" s="2">
        <v>50</v>
      </c>
      <c r="E598" s="3">
        <v>76277</v>
      </c>
      <c r="F598" s="2" t="s">
        <v>28</v>
      </c>
      <c r="G598" s="2" t="s">
        <v>18</v>
      </c>
    </row>
    <row r="599" spans="1:7">
      <c r="A599" s="2">
        <v>598</v>
      </c>
      <c r="B599" s="2" t="s">
        <v>87</v>
      </c>
      <c r="C599" s="2" t="s">
        <v>16</v>
      </c>
      <c r="D599" s="2">
        <v>50</v>
      </c>
      <c r="E599" s="3">
        <v>67774</v>
      </c>
      <c r="F599" s="2" t="s">
        <v>32</v>
      </c>
      <c r="G599" s="2" t="s">
        <v>18</v>
      </c>
    </row>
    <row r="600" spans="1:7">
      <c r="A600" s="2">
        <v>599</v>
      </c>
      <c r="B600" s="2" t="s">
        <v>30</v>
      </c>
      <c r="C600" s="2" t="s">
        <v>16</v>
      </c>
      <c r="D600" s="2">
        <v>13</v>
      </c>
      <c r="E600" s="3">
        <v>87684</v>
      </c>
      <c r="F600" s="2" t="s">
        <v>32</v>
      </c>
      <c r="G600" s="2" t="s">
        <v>14</v>
      </c>
    </row>
    <row r="601" spans="1:7">
      <c r="A601" s="2">
        <v>600</v>
      </c>
      <c r="B601" s="2" t="s">
        <v>71</v>
      </c>
      <c r="C601" s="2" t="s">
        <v>12</v>
      </c>
      <c r="D601" s="2">
        <v>47</v>
      </c>
      <c r="E601" s="3">
        <v>91588</v>
      </c>
      <c r="F601" s="2" t="s">
        <v>17</v>
      </c>
      <c r="G601" s="2" t="s">
        <v>18</v>
      </c>
    </row>
    <row r="602" spans="1:7">
      <c r="A602" s="2">
        <v>601</v>
      </c>
      <c r="B602" s="2" t="s">
        <v>64</v>
      </c>
      <c r="C602" s="2" t="s">
        <v>8</v>
      </c>
      <c r="D602" s="2">
        <v>35</v>
      </c>
      <c r="E602" s="3">
        <v>92000</v>
      </c>
      <c r="F602" s="2" t="s">
        <v>38</v>
      </c>
      <c r="G602" s="2" t="s">
        <v>26</v>
      </c>
    </row>
    <row r="603" spans="1:7">
      <c r="A603" s="2">
        <v>602</v>
      </c>
      <c r="B603" s="2" t="s">
        <v>84</v>
      </c>
      <c r="C603" s="2" t="s">
        <v>16</v>
      </c>
      <c r="D603" s="2">
        <v>49</v>
      </c>
      <c r="E603" s="3">
        <v>65108</v>
      </c>
      <c r="F603" s="2" t="s">
        <v>28</v>
      </c>
      <c r="G603" s="2" t="s">
        <v>23</v>
      </c>
    </row>
    <row r="604" spans="1:7">
      <c r="A604" s="2">
        <v>603</v>
      </c>
      <c r="B604" s="2" t="s">
        <v>66</v>
      </c>
      <c r="C604" s="2" t="s">
        <v>8</v>
      </c>
      <c r="D604" s="2">
        <v>16</v>
      </c>
      <c r="E604" s="3">
        <v>46916</v>
      </c>
      <c r="F604" s="2" t="s">
        <v>25</v>
      </c>
      <c r="G604" s="2" t="s">
        <v>10</v>
      </c>
    </row>
    <row r="605" spans="1:7">
      <c r="A605" s="2">
        <v>604</v>
      </c>
      <c r="B605" s="2" t="s">
        <v>15</v>
      </c>
      <c r="C605" s="2" t="s">
        <v>16</v>
      </c>
      <c r="D605" s="2">
        <v>10</v>
      </c>
      <c r="E605" s="3">
        <v>80206</v>
      </c>
      <c r="F605" s="2" t="s">
        <v>20</v>
      </c>
      <c r="G605" s="2" t="s">
        <v>10</v>
      </c>
    </row>
    <row r="606" spans="1:7">
      <c r="A606" s="2">
        <v>605</v>
      </c>
      <c r="B606" s="2" t="s">
        <v>79</v>
      </c>
      <c r="C606" s="2" t="s">
        <v>22</v>
      </c>
      <c r="D606" s="2">
        <v>1</v>
      </c>
      <c r="E606" s="3">
        <v>82751</v>
      </c>
      <c r="F606" s="2" t="s">
        <v>38</v>
      </c>
      <c r="G606" s="2" t="s">
        <v>26</v>
      </c>
    </row>
    <row r="607" spans="1:7">
      <c r="A607" s="2">
        <v>606</v>
      </c>
      <c r="B607" s="2" t="s">
        <v>78</v>
      </c>
      <c r="C607" s="2" t="s">
        <v>22</v>
      </c>
      <c r="D607" s="2">
        <v>27</v>
      </c>
      <c r="E607" s="3">
        <v>26835</v>
      </c>
      <c r="F607" s="2" t="s">
        <v>9</v>
      </c>
      <c r="G607" s="2" t="s">
        <v>26</v>
      </c>
    </row>
    <row r="608" spans="1:7">
      <c r="A608" s="2">
        <v>607</v>
      </c>
      <c r="B608" s="2" t="s">
        <v>89</v>
      </c>
      <c r="C608" s="2" t="s">
        <v>12</v>
      </c>
      <c r="D608" s="2">
        <v>2</v>
      </c>
      <c r="E608" s="3">
        <v>72724</v>
      </c>
      <c r="F608" s="2" t="s">
        <v>17</v>
      </c>
      <c r="G608" s="2" t="s">
        <v>29</v>
      </c>
    </row>
    <row r="609" spans="1:7">
      <c r="A609" s="2">
        <v>608</v>
      </c>
      <c r="B609" s="2" t="s">
        <v>47</v>
      </c>
      <c r="C609" s="2" t="s">
        <v>22</v>
      </c>
      <c r="D609" s="2">
        <v>15</v>
      </c>
      <c r="E609" s="3">
        <v>61554</v>
      </c>
      <c r="F609" s="2" t="s">
        <v>25</v>
      </c>
      <c r="G609" s="2" t="s">
        <v>26</v>
      </c>
    </row>
    <row r="610" spans="1:7">
      <c r="A610" s="2">
        <v>609</v>
      </c>
      <c r="B610" s="2" t="s">
        <v>92</v>
      </c>
      <c r="C610" s="2" t="s">
        <v>16</v>
      </c>
      <c r="D610" s="2">
        <v>35</v>
      </c>
      <c r="E610" s="3">
        <v>45733</v>
      </c>
      <c r="F610" s="2" t="s">
        <v>25</v>
      </c>
      <c r="G610" s="2" t="s">
        <v>26</v>
      </c>
    </row>
    <row r="611" spans="1:7">
      <c r="A611" s="2">
        <v>610</v>
      </c>
      <c r="B611" s="2" t="s">
        <v>59</v>
      </c>
      <c r="C611" s="2" t="s">
        <v>16</v>
      </c>
      <c r="D611" s="2">
        <v>23</v>
      </c>
      <c r="E611" s="3">
        <v>43442</v>
      </c>
      <c r="F611" s="2" t="s">
        <v>28</v>
      </c>
      <c r="G611" s="2" t="s">
        <v>23</v>
      </c>
    </row>
    <row r="612" spans="1:7">
      <c r="A612" s="2">
        <v>611</v>
      </c>
      <c r="B612" s="2" t="s">
        <v>83</v>
      </c>
      <c r="C612" s="2" t="s">
        <v>22</v>
      </c>
      <c r="D612" s="2">
        <v>41</v>
      </c>
      <c r="E612" s="3">
        <v>73196</v>
      </c>
      <c r="F612" s="2" t="s">
        <v>17</v>
      </c>
      <c r="G612" s="2" t="s">
        <v>29</v>
      </c>
    </row>
    <row r="613" spans="1:7">
      <c r="A613" s="2">
        <v>612</v>
      </c>
      <c r="B613" s="2" t="s">
        <v>94</v>
      </c>
      <c r="C613" s="2" t="s">
        <v>22</v>
      </c>
      <c r="D613" s="2">
        <v>45</v>
      </c>
      <c r="E613" s="3">
        <v>65906</v>
      </c>
      <c r="F613" s="2" t="s">
        <v>32</v>
      </c>
      <c r="G613" s="2" t="s">
        <v>23</v>
      </c>
    </row>
    <row r="614" spans="1:7">
      <c r="A614" s="2">
        <v>613</v>
      </c>
      <c r="B614" s="2" t="s">
        <v>91</v>
      </c>
      <c r="C614" s="2" t="s">
        <v>22</v>
      </c>
      <c r="D614" s="2">
        <v>1</v>
      </c>
      <c r="E614" s="3">
        <v>35450</v>
      </c>
      <c r="F614" s="2" t="s">
        <v>32</v>
      </c>
      <c r="G614" s="2" t="s">
        <v>18</v>
      </c>
    </row>
    <row r="615" spans="1:7">
      <c r="A615" s="2">
        <v>614</v>
      </c>
      <c r="B615" s="2" t="s">
        <v>33</v>
      </c>
      <c r="C615" s="2" t="s">
        <v>12</v>
      </c>
      <c r="D615" s="2">
        <v>22</v>
      </c>
      <c r="E615" s="3">
        <v>50789</v>
      </c>
      <c r="F615" s="2" t="s">
        <v>28</v>
      </c>
      <c r="G615" s="2" t="s">
        <v>26</v>
      </c>
    </row>
    <row r="616" spans="1:7">
      <c r="A616" s="2">
        <v>615</v>
      </c>
      <c r="B616" s="2" t="s">
        <v>39</v>
      </c>
      <c r="C616" s="2" t="s">
        <v>22</v>
      </c>
      <c r="D616" s="2">
        <v>1</v>
      </c>
      <c r="E616" s="3">
        <v>85804</v>
      </c>
      <c r="F616" s="2" t="s">
        <v>28</v>
      </c>
      <c r="G616" s="2" t="s">
        <v>26</v>
      </c>
    </row>
    <row r="617" spans="1:7">
      <c r="A617" s="2">
        <v>616</v>
      </c>
      <c r="B617" s="2" t="s">
        <v>35</v>
      </c>
      <c r="C617" s="2" t="s">
        <v>16</v>
      </c>
      <c r="D617" s="2">
        <v>49</v>
      </c>
      <c r="E617" s="3">
        <v>49006</v>
      </c>
      <c r="F617" s="2" t="s">
        <v>20</v>
      </c>
      <c r="G617" s="2" t="s">
        <v>29</v>
      </c>
    </row>
    <row r="618" spans="1:7">
      <c r="A618" s="2">
        <v>617</v>
      </c>
      <c r="B618" s="2" t="s">
        <v>82</v>
      </c>
      <c r="C618" s="2" t="s">
        <v>22</v>
      </c>
      <c r="D618" s="2">
        <v>43</v>
      </c>
      <c r="E618" s="3">
        <v>93489</v>
      </c>
      <c r="F618" s="2" t="s">
        <v>13</v>
      </c>
      <c r="G618" s="2" t="s">
        <v>18</v>
      </c>
    </row>
    <row r="619" spans="1:7">
      <c r="A619" s="2">
        <v>618</v>
      </c>
      <c r="B619" s="2" t="s">
        <v>93</v>
      </c>
      <c r="C619" s="2" t="s">
        <v>12</v>
      </c>
      <c r="D619" s="2">
        <v>25</v>
      </c>
      <c r="E619" s="3">
        <v>98934</v>
      </c>
      <c r="F619" s="2" t="s">
        <v>32</v>
      </c>
      <c r="G619" s="2" t="s">
        <v>23</v>
      </c>
    </row>
    <row r="620" spans="1:7">
      <c r="A620" s="2">
        <v>619</v>
      </c>
      <c r="B620" s="2" t="s">
        <v>63</v>
      </c>
      <c r="C620" s="2" t="s">
        <v>12</v>
      </c>
      <c r="D620" s="2">
        <v>48</v>
      </c>
      <c r="E620" s="3">
        <v>62581</v>
      </c>
      <c r="F620" s="2" t="s">
        <v>20</v>
      </c>
      <c r="G620" s="2" t="s">
        <v>14</v>
      </c>
    </row>
    <row r="621" spans="1:7">
      <c r="A621" s="2">
        <v>620</v>
      </c>
      <c r="B621" s="2" t="s">
        <v>89</v>
      </c>
      <c r="C621" s="2" t="s">
        <v>16</v>
      </c>
      <c r="D621" s="2">
        <v>47</v>
      </c>
      <c r="E621" s="3">
        <v>27103</v>
      </c>
      <c r="F621" s="2" t="s">
        <v>17</v>
      </c>
      <c r="G621" s="2" t="s">
        <v>26</v>
      </c>
    </row>
    <row r="622" spans="1:7">
      <c r="A622" s="2">
        <v>621</v>
      </c>
      <c r="B622" s="2" t="s">
        <v>51</v>
      </c>
      <c r="C622" s="2" t="s">
        <v>16</v>
      </c>
      <c r="D622" s="2">
        <v>20</v>
      </c>
      <c r="E622" s="3">
        <v>40433</v>
      </c>
      <c r="F622" s="2" t="s">
        <v>9</v>
      </c>
      <c r="G622" s="2" t="s">
        <v>14</v>
      </c>
    </row>
    <row r="623" spans="1:7">
      <c r="A623" s="2">
        <v>622</v>
      </c>
      <c r="B623" s="2" t="s">
        <v>74</v>
      </c>
      <c r="C623" s="2" t="s">
        <v>22</v>
      </c>
      <c r="D623" s="2">
        <v>7</v>
      </c>
      <c r="E623" s="3">
        <v>48810</v>
      </c>
      <c r="F623" s="2" t="s">
        <v>25</v>
      </c>
      <c r="G623" s="2" t="s">
        <v>14</v>
      </c>
    </row>
    <row r="624" spans="1:7">
      <c r="A624" s="2">
        <v>623</v>
      </c>
      <c r="B624" s="2" t="s">
        <v>68</v>
      </c>
      <c r="C624" s="2" t="s">
        <v>16</v>
      </c>
      <c r="D624" s="2">
        <v>14</v>
      </c>
      <c r="E624" s="3">
        <v>28815</v>
      </c>
      <c r="F624" s="2" t="s">
        <v>9</v>
      </c>
      <c r="G624" s="2" t="s">
        <v>14</v>
      </c>
    </row>
    <row r="625" spans="1:7">
      <c r="A625" s="2">
        <v>624</v>
      </c>
      <c r="B625" s="2" t="s">
        <v>56</v>
      </c>
      <c r="C625" s="2" t="s">
        <v>8</v>
      </c>
      <c r="D625" s="2">
        <v>34</v>
      </c>
      <c r="E625" s="3">
        <v>28127</v>
      </c>
      <c r="F625" s="2" t="s">
        <v>20</v>
      </c>
      <c r="G625" s="2" t="s">
        <v>10</v>
      </c>
    </row>
    <row r="626" spans="1:7">
      <c r="A626" s="2">
        <v>625</v>
      </c>
      <c r="B626" s="2" t="s">
        <v>24</v>
      </c>
      <c r="C626" s="2" t="s">
        <v>16</v>
      </c>
      <c r="D626" s="2">
        <v>16</v>
      </c>
      <c r="E626" s="3">
        <v>34188</v>
      </c>
      <c r="F626" s="2" t="s">
        <v>28</v>
      </c>
      <c r="G626" s="2" t="s">
        <v>14</v>
      </c>
    </row>
    <row r="627" spans="1:7">
      <c r="A627" s="2">
        <v>626</v>
      </c>
      <c r="B627" s="2" t="s">
        <v>36</v>
      </c>
      <c r="C627" s="2" t="s">
        <v>8</v>
      </c>
      <c r="D627" s="2">
        <v>27</v>
      </c>
      <c r="E627" s="3">
        <v>66580</v>
      </c>
      <c r="F627" s="2" t="s">
        <v>38</v>
      </c>
      <c r="G627" s="2" t="s">
        <v>23</v>
      </c>
    </row>
    <row r="628" spans="1:7">
      <c r="A628" s="2">
        <v>627</v>
      </c>
      <c r="B628" s="2" t="s">
        <v>44</v>
      </c>
      <c r="C628" s="2" t="s">
        <v>8</v>
      </c>
      <c r="D628" s="2">
        <v>32</v>
      </c>
      <c r="E628" s="3">
        <v>89391</v>
      </c>
      <c r="F628" s="2" t="s">
        <v>13</v>
      </c>
      <c r="G628" s="2" t="s">
        <v>14</v>
      </c>
    </row>
    <row r="629" spans="1:7">
      <c r="A629" s="2">
        <v>628</v>
      </c>
      <c r="B629" s="2" t="s">
        <v>79</v>
      </c>
      <c r="C629" s="2" t="s">
        <v>16</v>
      </c>
      <c r="D629" s="2">
        <v>4</v>
      </c>
      <c r="E629" s="3">
        <v>75598</v>
      </c>
      <c r="F629" s="2" t="s">
        <v>20</v>
      </c>
      <c r="G629" s="2" t="s">
        <v>26</v>
      </c>
    </row>
    <row r="630" spans="1:7">
      <c r="A630" s="2">
        <v>629</v>
      </c>
      <c r="B630" s="2" t="s">
        <v>77</v>
      </c>
      <c r="C630" s="2" t="s">
        <v>8</v>
      </c>
      <c r="D630" s="2">
        <v>10</v>
      </c>
      <c r="E630" s="3">
        <v>39512</v>
      </c>
      <c r="F630" s="2" t="s">
        <v>38</v>
      </c>
      <c r="G630" s="2" t="s">
        <v>10</v>
      </c>
    </row>
    <row r="631" spans="1:7">
      <c r="A631" s="2">
        <v>630</v>
      </c>
      <c r="B631" s="2" t="s">
        <v>19</v>
      </c>
      <c r="C631" s="2" t="s">
        <v>16</v>
      </c>
      <c r="D631" s="2">
        <v>46</v>
      </c>
      <c r="E631" s="3">
        <v>67858</v>
      </c>
      <c r="F631" s="2" t="s">
        <v>17</v>
      </c>
      <c r="G631" s="2" t="s">
        <v>18</v>
      </c>
    </row>
    <row r="632" spans="1:7">
      <c r="A632" s="2">
        <v>631</v>
      </c>
      <c r="B632" s="2" t="s">
        <v>88</v>
      </c>
      <c r="C632" s="2" t="s">
        <v>16</v>
      </c>
      <c r="D632" s="2">
        <v>18</v>
      </c>
      <c r="E632" s="3">
        <v>78673</v>
      </c>
      <c r="F632" s="2" t="s">
        <v>17</v>
      </c>
      <c r="G632" s="2" t="s">
        <v>29</v>
      </c>
    </row>
    <row r="633" spans="1:7">
      <c r="A633" s="2">
        <v>632</v>
      </c>
      <c r="B633" s="2" t="s">
        <v>67</v>
      </c>
      <c r="C633" s="2" t="s">
        <v>12</v>
      </c>
      <c r="D633" s="2">
        <v>6</v>
      </c>
      <c r="E633" s="3">
        <v>48734</v>
      </c>
      <c r="F633" s="2" t="s">
        <v>13</v>
      </c>
      <c r="G633" s="2" t="s">
        <v>26</v>
      </c>
    </row>
    <row r="634" spans="1:7">
      <c r="A634" s="2">
        <v>633</v>
      </c>
      <c r="B634" s="2" t="s">
        <v>69</v>
      </c>
      <c r="C634" s="2" t="s">
        <v>8</v>
      </c>
      <c r="D634" s="2">
        <v>3</v>
      </c>
      <c r="E634" s="3">
        <v>66197</v>
      </c>
      <c r="F634" s="2" t="s">
        <v>13</v>
      </c>
      <c r="G634" s="2" t="s">
        <v>18</v>
      </c>
    </row>
    <row r="635" spans="1:7">
      <c r="A635" s="2">
        <v>634</v>
      </c>
      <c r="B635" s="2" t="s">
        <v>34</v>
      </c>
      <c r="C635" s="2" t="s">
        <v>8</v>
      </c>
      <c r="D635" s="2">
        <v>15</v>
      </c>
      <c r="E635" s="3">
        <v>67244</v>
      </c>
      <c r="F635" s="2" t="s">
        <v>20</v>
      </c>
      <c r="G635" s="2" t="s">
        <v>18</v>
      </c>
    </row>
    <row r="636" spans="1:7">
      <c r="A636" s="2">
        <v>635</v>
      </c>
      <c r="B636" s="2" t="s">
        <v>49</v>
      </c>
      <c r="C636" s="2" t="s">
        <v>22</v>
      </c>
      <c r="D636" s="2">
        <v>34</v>
      </c>
      <c r="E636" s="3">
        <v>63720</v>
      </c>
      <c r="F636" s="2" t="s">
        <v>32</v>
      </c>
      <c r="G636" s="2" t="s">
        <v>29</v>
      </c>
    </row>
    <row r="637" spans="1:7">
      <c r="A637" s="2">
        <v>636</v>
      </c>
      <c r="B637" s="2" t="s">
        <v>79</v>
      </c>
      <c r="C637" s="2" t="s">
        <v>16</v>
      </c>
      <c r="D637" s="2">
        <v>27</v>
      </c>
      <c r="E637" s="3">
        <v>87623</v>
      </c>
      <c r="F637" s="2" t="s">
        <v>38</v>
      </c>
      <c r="G637" s="2" t="s">
        <v>14</v>
      </c>
    </row>
    <row r="638" spans="1:7">
      <c r="A638" s="2">
        <v>637</v>
      </c>
      <c r="B638" s="2" t="s">
        <v>55</v>
      </c>
      <c r="C638" s="2" t="s">
        <v>12</v>
      </c>
      <c r="D638" s="2">
        <v>45</v>
      </c>
      <c r="E638" s="3">
        <v>55787</v>
      </c>
      <c r="F638" s="2" t="s">
        <v>13</v>
      </c>
      <c r="G638" s="2" t="s">
        <v>14</v>
      </c>
    </row>
    <row r="639" spans="1:7">
      <c r="A639" s="2">
        <v>638</v>
      </c>
      <c r="B639" s="2" t="s">
        <v>27</v>
      </c>
      <c r="C639" s="2" t="s">
        <v>12</v>
      </c>
      <c r="D639" s="2">
        <v>24</v>
      </c>
      <c r="E639" s="3">
        <v>28290</v>
      </c>
      <c r="F639" s="2" t="s">
        <v>38</v>
      </c>
      <c r="G639" s="2" t="s">
        <v>23</v>
      </c>
    </row>
    <row r="640" spans="1:7">
      <c r="A640" s="2">
        <v>639</v>
      </c>
      <c r="B640" s="2" t="s">
        <v>88</v>
      </c>
      <c r="C640" s="2" t="s">
        <v>22</v>
      </c>
      <c r="D640" s="2">
        <v>30</v>
      </c>
      <c r="E640" s="3">
        <v>30532</v>
      </c>
      <c r="F640" s="2" t="s">
        <v>28</v>
      </c>
      <c r="G640" s="2" t="s">
        <v>14</v>
      </c>
    </row>
    <row r="641" spans="1:7">
      <c r="A641" s="2">
        <v>640</v>
      </c>
      <c r="B641" s="2" t="s">
        <v>36</v>
      </c>
      <c r="C641" s="2" t="s">
        <v>8</v>
      </c>
      <c r="D641" s="2">
        <v>48</v>
      </c>
      <c r="E641" s="3">
        <v>89417</v>
      </c>
      <c r="F641" s="2" t="s">
        <v>38</v>
      </c>
      <c r="G641" s="2" t="s">
        <v>14</v>
      </c>
    </row>
    <row r="642" spans="1:7">
      <c r="A642" s="2">
        <v>641</v>
      </c>
      <c r="B642" s="2" t="s">
        <v>75</v>
      </c>
      <c r="C642" s="2" t="s">
        <v>12</v>
      </c>
      <c r="D642" s="2">
        <v>6</v>
      </c>
      <c r="E642" s="3">
        <v>57366</v>
      </c>
      <c r="F642" s="2" t="s">
        <v>17</v>
      </c>
      <c r="G642" s="2" t="s">
        <v>23</v>
      </c>
    </row>
    <row r="643" spans="1:7">
      <c r="A643" s="2">
        <v>642</v>
      </c>
      <c r="B643" s="2" t="s">
        <v>11</v>
      </c>
      <c r="C643" s="2" t="s">
        <v>8</v>
      </c>
      <c r="D643" s="2">
        <v>38</v>
      </c>
      <c r="E643" s="3">
        <v>36870</v>
      </c>
      <c r="F643" s="2" t="s">
        <v>25</v>
      </c>
      <c r="G643" s="2" t="s">
        <v>26</v>
      </c>
    </row>
    <row r="644" spans="1:7">
      <c r="A644" s="2">
        <v>643</v>
      </c>
      <c r="B644" s="2" t="s">
        <v>69</v>
      </c>
      <c r="C644" s="2" t="s">
        <v>12</v>
      </c>
      <c r="D644" s="2">
        <v>7</v>
      </c>
      <c r="E644" s="3">
        <v>28210</v>
      </c>
      <c r="F644" s="2" t="s">
        <v>17</v>
      </c>
      <c r="G644" s="2" t="s">
        <v>29</v>
      </c>
    </row>
    <row r="645" spans="1:7">
      <c r="A645" s="2">
        <v>644</v>
      </c>
      <c r="B645" s="2" t="s">
        <v>80</v>
      </c>
      <c r="C645" s="2" t="s">
        <v>12</v>
      </c>
      <c r="D645" s="2">
        <v>33</v>
      </c>
      <c r="E645" s="3">
        <v>44620</v>
      </c>
      <c r="F645" s="2" t="s">
        <v>32</v>
      </c>
      <c r="G645" s="2" t="s">
        <v>23</v>
      </c>
    </row>
    <row r="646" spans="1:7">
      <c r="A646" s="2">
        <v>645</v>
      </c>
      <c r="B646" s="2" t="s">
        <v>58</v>
      </c>
      <c r="C646" s="2" t="s">
        <v>16</v>
      </c>
      <c r="D646" s="2">
        <v>9</v>
      </c>
      <c r="E646" s="3">
        <v>71210</v>
      </c>
      <c r="F646" s="2" t="s">
        <v>25</v>
      </c>
      <c r="G646" s="2" t="s">
        <v>26</v>
      </c>
    </row>
    <row r="647" spans="1:7">
      <c r="A647" s="2">
        <v>646</v>
      </c>
      <c r="B647" s="2" t="s">
        <v>36</v>
      </c>
      <c r="C647" s="2" t="s">
        <v>8</v>
      </c>
      <c r="D647" s="2">
        <v>41</v>
      </c>
      <c r="E647" s="3">
        <v>70822</v>
      </c>
      <c r="F647" s="2" t="s">
        <v>38</v>
      </c>
      <c r="G647" s="2" t="s">
        <v>14</v>
      </c>
    </row>
    <row r="648" spans="1:7">
      <c r="A648" s="2">
        <v>647</v>
      </c>
      <c r="B648" s="2" t="s">
        <v>35</v>
      </c>
      <c r="C648" s="2" t="s">
        <v>12</v>
      </c>
      <c r="D648" s="2">
        <v>26</v>
      </c>
      <c r="E648" s="3">
        <v>81009</v>
      </c>
      <c r="F648" s="2" t="s">
        <v>13</v>
      </c>
      <c r="G648" s="2" t="s">
        <v>26</v>
      </c>
    </row>
    <row r="649" spans="1:7">
      <c r="A649" s="2">
        <v>648</v>
      </c>
      <c r="B649" s="2" t="s">
        <v>80</v>
      </c>
      <c r="C649" s="2" t="s">
        <v>16</v>
      </c>
      <c r="D649" s="2">
        <v>5</v>
      </c>
      <c r="E649" s="3">
        <v>55078</v>
      </c>
      <c r="F649" s="2" t="s">
        <v>9</v>
      </c>
      <c r="G649" s="2" t="s">
        <v>14</v>
      </c>
    </row>
    <row r="650" spans="1:7">
      <c r="A650" s="2">
        <v>649</v>
      </c>
      <c r="B650" s="2" t="s">
        <v>80</v>
      </c>
      <c r="C650" s="2" t="s">
        <v>12</v>
      </c>
      <c r="D650" s="2">
        <v>38</v>
      </c>
      <c r="E650" s="3">
        <v>96112</v>
      </c>
      <c r="F650" s="2" t="s">
        <v>20</v>
      </c>
      <c r="G650" s="2" t="s">
        <v>14</v>
      </c>
    </row>
    <row r="651" spans="1:7">
      <c r="A651" s="2">
        <v>650</v>
      </c>
      <c r="B651" s="2" t="s">
        <v>45</v>
      </c>
      <c r="C651" s="2" t="s">
        <v>16</v>
      </c>
      <c r="D651" s="2">
        <v>37</v>
      </c>
      <c r="E651" s="3">
        <v>29584</v>
      </c>
      <c r="F651" s="2" t="s">
        <v>32</v>
      </c>
      <c r="G651" s="2" t="s">
        <v>23</v>
      </c>
    </row>
    <row r="652" spans="1:7">
      <c r="A652" s="2">
        <v>651</v>
      </c>
      <c r="B652" s="2" t="s">
        <v>90</v>
      </c>
      <c r="C652" s="2" t="s">
        <v>16</v>
      </c>
      <c r="D652" s="2">
        <v>4</v>
      </c>
      <c r="E652" s="3">
        <v>91573</v>
      </c>
      <c r="F652" s="2" t="s">
        <v>13</v>
      </c>
      <c r="G652" s="2" t="s">
        <v>29</v>
      </c>
    </row>
    <row r="653" spans="1:7">
      <c r="A653" s="2">
        <v>652</v>
      </c>
      <c r="B653" s="2" t="s">
        <v>91</v>
      </c>
      <c r="C653" s="2" t="s">
        <v>8</v>
      </c>
      <c r="D653" s="2">
        <v>28</v>
      </c>
      <c r="E653" s="3">
        <v>82713</v>
      </c>
      <c r="F653" s="2" t="s">
        <v>28</v>
      </c>
      <c r="G653" s="2" t="s">
        <v>10</v>
      </c>
    </row>
    <row r="654" spans="1:7">
      <c r="A654" s="2">
        <v>653</v>
      </c>
      <c r="B654" s="2" t="s">
        <v>19</v>
      </c>
      <c r="C654" s="2" t="s">
        <v>16</v>
      </c>
      <c r="D654" s="2">
        <v>43</v>
      </c>
      <c r="E654" s="3">
        <v>81762</v>
      </c>
      <c r="F654" s="2" t="s">
        <v>13</v>
      </c>
      <c r="G654" s="2" t="s">
        <v>26</v>
      </c>
    </row>
    <row r="655" spans="1:7">
      <c r="A655" s="2">
        <v>654</v>
      </c>
      <c r="B655" s="2" t="s">
        <v>91</v>
      </c>
      <c r="C655" s="2" t="s">
        <v>12</v>
      </c>
      <c r="D655" s="2">
        <v>9</v>
      </c>
      <c r="E655" s="3">
        <v>74063</v>
      </c>
      <c r="F655" s="2" t="s">
        <v>25</v>
      </c>
      <c r="G655" s="2" t="s">
        <v>26</v>
      </c>
    </row>
    <row r="656" spans="1:7">
      <c r="A656" s="2">
        <v>655</v>
      </c>
      <c r="B656" s="2" t="s">
        <v>73</v>
      </c>
      <c r="C656" s="2" t="s">
        <v>22</v>
      </c>
      <c r="D656" s="2">
        <v>16</v>
      </c>
      <c r="E656" s="3">
        <v>74589</v>
      </c>
      <c r="F656" s="2" t="s">
        <v>25</v>
      </c>
      <c r="G656" s="2" t="s">
        <v>23</v>
      </c>
    </row>
    <row r="657" spans="1:7">
      <c r="A657" s="2">
        <v>656</v>
      </c>
      <c r="B657" s="2" t="s">
        <v>7</v>
      </c>
      <c r="C657" s="2" t="s">
        <v>12</v>
      </c>
      <c r="D657" s="2">
        <v>19</v>
      </c>
      <c r="E657" s="3">
        <v>55769</v>
      </c>
      <c r="F657" s="2" t="s">
        <v>17</v>
      </c>
      <c r="G657" s="2" t="s">
        <v>29</v>
      </c>
    </row>
    <row r="658" spans="1:7">
      <c r="A658" s="2">
        <v>657</v>
      </c>
      <c r="B658" s="2" t="s">
        <v>90</v>
      </c>
      <c r="C658" s="2" t="s">
        <v>12</v>
      </c>
      <c r="D658" s="2">
        <v>17</v>
      </c>
      <c r="E658" s="3">
        <v>69770</v>
      </c>
      <c r="F658" s="2" t="s">
        <v>20</v>
      </c>
      <c r="G658" s="2" t="s">
        <v>14</v>
      </c>
    </row>
    <row r="659" spans="1:7">
      <c r="A659" s="2">
        <v>658</v>
      </c>
      <c r="B659" s="2" t="s">
        <v>37</v>
      </c>
      <c r="C659" s="2" t="s">
        <v>16</v>
      </c>
      <c r="D659" s="2">
        <v>21</v>
      </c>
      <c r="E659" s="3">
        <v>91477</v>
      </c>
      <c r="F659" s="2" t="s">
        <v>9</v>
      </c>
      <c r="G659" s="2" t="s">
        <v>26</v>
      </c>
    </row>
    <row r="660" spans="1:7">
      <c r="A660" s="2">
        <v>659</v>
      </c>
      <c r="B660" s="2" t="s">
        <v>94</v>
      </c>
      <c r="C660" s="2" t="s">
        <v>12</v>
      </c>
      <c r="D660" s="2">
        <v>26</v>
      </c>
      <c r="E660" s="3">
        <v>27338</v>
      </c>
      <c r="F660" s="2" t="s">
        <v>38</v>
      </c>
      <c r="G660" s="2" t="s">
        <v>29</v>
      </c>
    </row>
    <row r="661" spans="1:7">
      <c r="A661" s="2">
        <v>660</v>
      </c>
      <c r="B661" s="2" t="s">
        <v>49</v>
      </c>
      <c r="C661" s="2" t="s">
        <v>16</v>
      </c>
      <c r="D661" s="2">
        <v>45</v>
      </c>
      <c r="E661" s="3">
        <v>42992</v>
      </c>
      <c r="F661" s="2" t="s">
        <v>13</v>
      </c>
      <c r="G661" s="2" t="s">
        <v>18</v>
      </c>
    </row>
    <row r="662" spans="1:7">
      <c r="A662" s="2">
        <v>661</v>
      </c>
      <c r="B662" s="2" t="s">
        <v>48</v>
      </c>
      <c r="C662" s="2" t="s">
        <v>8</v>
      </c>
      <c r="D662" s="2">
        <v>48</v>
      </c>
      <c r="E662" s="3">
        <v>33633</v>
      </c>
      <c r="F662" s="2" t="s">
        <v>28</v>
      </c>
      <c r="G662" s="2" t="s">
        <v>18</v>
      </c>
    </row>
    <row r="663" spans="1:7">
      <c r="A663" s="2">
        <v>662</v>
      </c>
      <c r="B663" s="2" t="s">
        <v>72</v>
      </c>
      <c r="C663" s="2" t="s">
        <v>16</v>
      </c>
      <c r="D663" s="2">
        <v>21</v>
      </c>
      <c r="E663" s="3">
        <v>68092</v>
      </c>
      <c r="F663" s="2" t="s">
        <v>20</v>
      </c>
      <c r="G663" s="2" t="s">
        <v>10</v>
      </c>
    </row>
    <row r="664" spans="1:7">
      <c r="A664" s="2">
        <v>663</v>
      </c>
      <c r="B664" s="2" t="s">
        <v>71</v>
      </c>
      <c r="C664" s="2" t="s">
        <v>8</v>
      </c>
      <c r="D664" s="2">
        <v>21</v>
      </c>
      <c r="E664" s="3">
        <v>82789</v>
      </c>
      <c r="F664" s="2" t="s">
        <v>13</v>
      </c>
      <c r="G664" s="2" t="s">
        <v>26</v>
      </c>
    </row>
    <row r="665" spans="1:7">
      <c r="A665" s="2">
        <v>664</v>
      </c>
      <c r="B665" s="2" t="s">
        <v>33</v>
      </c>
      <c r="C665" s="2" t="s">
        <v>22</v>
      </c>
      <c r="D665" s="2">
        <v>29</v>
      </c>
      <c r="E665" s="3">
        <v>85688</v>
      </c>
      <c r="F665" s="2" t="s">
        <v>13</v>
      </c>
      <c r="G665" s="2" t="s">
        <v>14</v>
      </c>
    </row>
    <row r="666" spans="1:7">
      <c r="A666" s="2">
        <v>665</v>
      </c>
      <c r="B666" s="2" t="s">
        <v>58</v>
      </c>
      <c r="C666" s="2" t="s">
        <v>12</v>
      </c>
      <c r="D666" s="2">
        <v>18</v>
      </c>
      <c r="E666" s="3">
        <v>32943</v>
      </c>
      <c r="F666" s="2" t="s">
        <v>25</v>
      </c>
      <c r="G666" s="2" t="s">
        <v>26</v>
      </c>
    </row>
    <row r="667" spans="1:7">
      <c r="A667" s="2">
        <v>666</v>
      </c>
      <c r="B667" s="2" t="s">
        <v>68</v>
      </c>
      <c r="C667" s="2" t="s">
        <v>8</v>
      </c>
      <c r="D667" s="2">
        <v>15</v>
      </c>
      <c r="E667" s="3">
        <v>49207</v>
      </c>
      <c r="F667" s="2" t="s">
        <v>25</v>
      </c>
      <c r="G667" s="2" t="s">
        <v>10</v>
      </c>
    </row>
    <row r="668" spans="1:7">
      <c r="A668" s="2">
        <v>667</v>
      </c>
      <c r="B668" s="2" t="s">
        <v>70</v>
      </c>
      <c r="C668" s="2" t="s">
        <v>22</v>
      </c>
      <c r="D668" s="2">
        <v>5</v>
      </c>
      <c r="E668" s="3">
        <v>99210</v>
      </c>
      <c r="F668" s="2" t="s">
        <v>9</v>
      </c>
      <c r="G668" s="2" t="s">
        <v>18</v>
      </c>
    </row>
    <row r="669" spans="1:7">
      <c r="A669" s="2">
        <v>668</v>
      </c>
      <c r="B669" s="2" t="s">
        <v>27</v>
      </c>
      <c r="C669" s="2" t="s">
        <v>16</v>
      </c>
      <c r="D669" s="2">
        <v>13</v>
      </c>
      <c r="E669" s="3">
        <v>72120</v>
      </c>
      <c r="F669" s="2" t="s">
        <v>32</v>
      </c>
      <c r="G669" s="2" t="s">
        <v>10</v>
      </c>
    </row>
    <row r="670" spans="1:7">
      <c r="A670" s="2">
        <v>669</v>
      </c>
      <c r="B670" s="2" t="s">
        <v>33</v>
      </c>
      <c r="C670" s="2" t="s">
        <v>22</v>
      </c>
      <c r="D670" s="2">
        <v>9</v>
      </c>
      <c r="E670" s="3">
        <v>93989</v>
      </c>
      <c r="F670" s="2" t="s">
        <v>9</v>
      </c>
      <c r="G670" s="2" t="s">
        <v>26</v>
      </c>
    </row>
    <row r="671" spans="1:7">
      <c r="A671" s="2">
        <v>670</v>
      </c>
      <c r="B671" s="2" t="s">
        <v>35</v>
      </c>
      <c r="C671" s="2" t="s">
        <v>8</v>
      </c>
      <c r="D671" s="2">
        <v>50</v>
      </c>
      <c r="E671" s="3">
        <v>54864</v>
      </c>
      <c r="F671" s="2" t="s">
        <v>13</v>
      </c>
      <c r="G671" s="2" t="s">
        <v>26</v>
      </c>
    </row>
    <row r="672" spans="1:7">
      <c r="A672" s="2">
        <v>671</v>
      </c>
      <c r="B672" s="2" t="s">
        <v>70</v>
      </c>
      <c r="C672" s="2" t="s">
        <v>12</v>
      </c>
      <c r="D672" s="2">
        <v>50</v>
      </c>
      <c r="E672" s="3">
        <v>76992</v>
      </c>
      <c r="F672" s="2" t="s">
        <v>32</v>
      </c>
      <c r="G672" s="2" t="s">
        <v>18</v>
      </c>
    </row>
    <row r="673" spans="1:7">
      <c r="A673" s="2">
        <v>672</v>
      </c>
      <c r="B673" s="2" t="s">
        <v>54</v>
      </c>
      <c r="C673" s="2" t="s">
        <v>22</v>
      </c>
      <c r="D673" s="2">
        <v>38</v>
      </c>
      <c r="E673" s="3">
        <v>39073</v>
      </c>
      <c r="F673" s="2" t="s">
        <v>32</v>
      </c>
      <c r="G673" s="2" t="s">
        <v>18</v>
      </c>
    </row>
    <row r="674" spans="1:7">
      <c r="A674" s="2">
        <v>673</v>
      </c>
      <c r="B674" s="2" t="s">
        <v>74</v>
      </c>
      <c r="C674" s="2" t="s">
        <v>22</v>
      </c>
      <c r="D674" s="2">
        <v>7</v>
      </c>
      <c r="E674" s="3">
        <v>41348</v>
      </c>
      <c r="F674" s="2" t="s">
        <v>32</v>
      </c>
      <c r="G674" s="2" t="s">
        <v>29</v>
      </c>
    </row>
    <row r="675" spans="1:7">
      <c r="A675" s="2">
        <v>674</v>
      </c>
      <c r="B675" s="2" t="s">
        <v>47</v>
      </c>
      <c r="C675" s="2" t="s">
        <v>16</v>
      </c>
      <c r="D675" s="2">
        <v>10</v>
      </c>
      <c r="E675" s="3">
        <v>51867</v>
      </c>
      <c r="F675" s="2" t="s">
        <v>20</v>
      </c>
      <c r="G675" s="2" t="s">
        <v>14</v>
      </c>
    </row>
    <row r="676" spans="1:7">
      <c r="A676" s="2">
        <v>675</v>
      </c>
      <c r="B676" s="2" t="s">
        <v>37</v>
      </c>
      <c r="C676" s="2" t="s">
        <v>16</v>
      </c>
      <c r="D676" s="2">
        <v>7</v>
      </c>
      <c r="E676" s="3">
        <v>43988</v>
      </c>
      <c r="F676" s="2" t="s">
        <v>28</v>
      </c>
      <c r="G676" s="2" t="s">
        <v>18</v>
      </c>
    </row>
    <row r="677" spans="1:7">
      <c r="A677" s="2">
        <v>676</v>
      </c>
      <c r="B677" s="2" t="s">
        <v>65</v>
      </c>
      <c r="C677" s="2" t="s">
        <v>12</v>
      </c>
      <c r="D677" s="2">
        <v>11</v>
      </c>
      <c r="E677" s="3">
        <v>57380</v>
      </c>
      <c r="F677" s="2" t="s">
        <v>13</v>
      </c>
      <c r="G677" s="2" t="s">
        <v>14</v>
      </c>
    </row>
    <row r="678" spans="1:7">
      <c r="A678" s="2">
        <v>677</v>
      </c>
      <c r="B678" s="2" t="s">
        <v>71</v>
      </c>
      <c r="C678" s="2" t="s">
        <v>16</v>
      </c>
      <c r="D678" s="2">
        <v>29</v>
      </c>
      <c r="E678" s="3">
        <v>57829</v>
      </c>
      <c r="F678" s="2" t="s">
        <v>17</v>
      </c>
      <c r="G678" s="2" t="s">
        <v>10</v>
      </c>
    </row>
    <row r="679" spans="1:7">
      <c r="A679" s="2">
        <v>678</v>
      </c>
      <c r="B679" s="2" t="s">
        <v>19</v>
      </c>
      <c r="C679" s="2" t="s">
        <v>8</v>
      </c>
      <c r="D679" s="2">
        <v>30</v>
      </c>
      <c r="E679" s="3">
        <v>43265</v>
      </c>
      <c r="F679" s="2" t="s">
        <v>20</v>
      </c>
      <c r="G679" s="2" t="s">
        <v>10</v>
      </c>
    </row>
    <row r="680" spans="1:7">
      <c r="A680" s="2">
        <v>679</v>
      </c>
      <c r="B680" s="2" t="s">
        <v>27</v>
      </c>
      <c r="C680" s="2" t="s">
        <v>8</v>
      </c>
      <c r="D680" s="2">
        <v>21</v>
      </c>
      <c r="E680" s="3">
        <v>29018</v>
      </c>
      <c r="F680" s="2" t="s">
        <v>20</v>
      </c>
      <c r="G680" s="2" t="s">
        <v>18</v>
      </c>
    </row>
    <row r="681" spans="1:7">
      <c r="A681" s="2">
        <v>680</v>
      </c>
      <c r="B681" s="2" t="s">
        <v>49</v>
      </c>
      <c r="C681" s="2" t="s">
        <v>22</v>
      </c>
      <c r="D681" s="2">
        <v>27</v>
      </c>
      <c r="E681" s="3">
        <v>98816</v>
      </c>
      <c r="F681" s="2" t="s">
        <v>13</v>
      </c>
      <c r="G681" s="2" t="s">
        <v>14</v>
      </c>
    </row>
    <row r="682" spans="1:7">
      <c r="A682" s="2">
        <v>681</v>
      </c>
      <c r="B682" s="2" t="s">
        <v>71</v>
      </c>
      <c r="C682" s="2" t="s">
        <v>16</v>
      </c>
      <c r="D682" s="2">
        <v>8</v>
      </c>
      <c r="E682" s="3">
        <v>80290</v>
      </c>
      <c r="F682" s="2" t="s">
        <v>13</v>
      </c>
      <c r="G682" s="2" t="s">
        <v>18</v>
      </c>
    </row>
    <row r="683" spans="1:7">
      <c r="A683" s="2">
        <v>682</v>
      </c>
      <c r="B683" s="2" t="s">
        <v>65</v>
      </c>
      <c r="C683" s="2" t="s">
        <v>16</v>
      </c>
      <c r="D683" s="2">
        <v>35</v>
      </c>
      <c r="E683" s="3">
        <v>58306</v>
      </c>
      <c r="F683" s="2" t="s">
        <v>17</v>
      </c>
      <c r="G683" s="2" t="s">
        <v>18</v>
      </c>
    </row>
    <row r="684" spans="1:7">
      <c r="A684" s="2">
        <v>683</v>
      </c>
      <c r="B684" s="2" t="s">
        <v>71</v>
      </c>
      <c r="C684" s="2" t="s">
        <v>22</v>
      </c>
      <c r="D684" s="2">
        <v>23</v>
      </c>
      <c r="E684" s="3">
        <v>55615</v>
      </c>
      <c r="F684" s="2" t="s">
        <v>17</v>
      </c>
      <c r="G684" s="2" t="s">
        <v>29</v>
      </c>
    </row>
    <row r="685" spans="1:7">
      <c r="A685" s="2">
        <v>684</v>
      </c>
      <c r="B685" s="2" t="s">
        <v>85</v>
      </c>
      <c r="C685" s="2" t="s">
        <v>12</v>
      </c>
      <c r="D685" s="2">
        <v>50</v>
      </c>
      <c r="E685" s="3">
        <v>62013</v>
      </c>
      <c r="F685" s="2" t="s">
        <v>32</v>
      </c>
      <c r="G685" s="2" t="s">
        <v>10</v>
      </c>
    </row>
    <row r="686" spans="1:7">
      <c r="A686" s="2">
        <v>685</v>
      </c>
      <c r="B686" s="2" t="s">
        <v>53</v>
      </c>
      <c r="C686" s="2" t="s">
        <v>16</v>
      </c>
      <c r="D686" s="2">
        <v>14</v>
      </c>
      <c r="E686" s="3">
        <v>67872</v>
      </c>
      <c r="F686" s="2" t="s">
        <v>17</v>
      </c>
      <c r="G686" s="2" t="s">
        <v>14</v>
      </c>
    </row>
    <row r="687" spans="1:7">
      <c r="A687" s="2">
        <v>686</v>
      </c>
      <c r="B687" s="2" t="s">
        <v>61</v>
      </c>
      <c r="C687" s="2" t="s">
        <v>16</v>
      </c>
      <c r="D687" s="2">
        <v>29</v>
      </c>
      <c r="E687" s="3">
        <v>40096</v>
      </c>
      <c r="F687" s="2" t="s">
        <v>17</v>
      </c>
      <c r="G687" s="2" t="s">
        <v>10</v>
      </c>
    </row>
    <row r="688" spans="1:7">
      <c r="A688" s="2">
        <v>687</v>
      </c>
      <c r="B688" s="2" t="s">
        <v>59</v>
      </c>
      <c r="C688" s="2" t="s">
        <v>12</v>
      </c>
      <c r="D688" s="2">
        <v>20</v>
      </c>
      <c r="E688" s="3">
        <v>27708</v>
      </c>
      <c r="F688" s="2" t="s">
        <v>38</v>
      </c>
      <c r="G688" s="2" t="s">
        <v>29</v>
      </c>
    </row>
    <row r="689" spans="1:7">
      <c r="A689" s="2">
        <v>688</v>
      </c>
      <c r="B689" s="2" t="s">
        <v>48</v>
      </c>
      <c r="C689" s="2" t="s">
        <v>16</v>
      </c>
      <c r="D689" s="2">
        <v>30</v>
      </c>
      <c r="E689" s="3">
        <v>87283</v>
      </c>
      <c r="F689" s="2" t="s">
        <v>28</v>
      </c>
      <c r="G689" s="2" t="s">
        <v>23</v>
      </c>
    </row>
    <row r="690" spans="1:7">
      <c r="A690" s="2">
        <v>689</v>
      </c>
      <c r="B690" s="2" t="s">
        <v>60</v>
      </c>
      <c r="C690" s="2" t="s">
        <v>8</v>
      </c>
      <c r="D690" s="2">
        <v>17</v>
      </c>
      <c r="E690" s="3">
        <v>54764</v>
      </c>
      <c r="F690" s="2" t="s">
        <v>25</v>
      </c>
      <c r="G690" s="2" t="s">
        <v>10</v>
      </c>
    </row>
    <row r="691" spans="1:7">
      <c r="A691" s="2">
        <v>690</v>
      </c>
      <c r="B691" s="2" t="s">
        <v>30</v>
      </c>
      <c r="C691" s="2" t="s">
        <v>8</v>
      </c>
      <c r="D691" s="2">
        <v>8</v>
      </c>
      <c r="E691" s="3">
        <v>26048</v>
      </c>
      <c r="F691" s="2" t="s">
        <v>17</v>
      </c>
      <c r="G691" s="2" t="s">
        <v>29</v>
      </c>
    </row>
    <row r="692" spans="1:7">
      <c r="A692" s="2">
        <v>691</v>
      </c>
      <c r="B692" s="2" t="s">
        <v>52</v>
      </c>
      <c r="C692" s="2" t="s">
        <v>12</v>
      </c>
      <c r="D692" s="2">
        <v>6</v>
      </c>
      <c r="E692" s="3">
        <v>61933</v>
      </c>
      <c r="F692" s="2" t="s">
        <v>9</v>
      </c>
      <c r="G692" s="2" t="s">
        <v>26</v>
      </c>
    </row>
    <row r="693" spans="1:7">
      <c r="A693" s="2">
        <v>692</v>
      </c>
      <c r="B693" s="2" t="s">
        <v>11</v>
      </c>
      <c r="C693" s="2" t="s">
        <v>12</v>
      </c>
      <c r="D693" s="2">
        <v>11</v>
      </c>
      <c r="E693" s="3">
        <v>94774</v>
      </c>
      <c r="F693" s="2" t="s">
        <v>25</v>
      </c>
      <c r="G693" s="2" t="s">
        <v>10</v>
      </c>
    </row>
    <row r="694" spans="1:7">
      <c r="A694" s="2">
        <v>693</v>
      </c>
      <c r="B694" s="2" t="s">
        <v>34</v>
      </c>
      <c r="C694" s="2" t="s">
        <v>8</v>
      </c>
      <c r="D694" s="2">
        <v>44</v>
      </c>
      <c r="E694" s="3">
        <v>68674</v>
      </c>
      <c r="F694" s="2" t="s">
        <v>9</v>
      </c>
      <c r="G694" s="2" t="s">
        <v>14</v>
      </c>
    </row>
    <row r="695" spans="1:7">
      <c r="A695" s="2">
        <v>694</v>
      </c>
      <c r="B695" s="2" t="s">
        <v>84</v>
      </c>
      <c r="C695" s="2" t="s">
        <v>8</v>
      </c>
      <c r="D695" s="2">
        <v>20</v>
      </c>
      <c r="E695" s="3">
        <v>67227</v>
      </c>
      <c r="F695" s="2" t="s">
        <v>38</v>
      </c>
      <c r="G695" s="2" t="s">
        <v>29</v>
      </c>
    </row>
    <row r="696" spans="1:7">
      <c r="A696" s="2">
        <v>695</v>
      </c>
      <c r="B696" s="2" t="s">
        <v>65</v>
      </c>
      <c r="C696" s="2" t="s">
        <v>8</v>
      </c>
      <c r="D696" s="2">
        <v>46</v>
      </c>
      <c r="E696" s="3">
        <v>68037</v>
      </c>
      <c r="F696" s="2" t="s">
        <v>32</v>
      </c>
      <c r="G696" s="2" t="s">
        <v>23</v>
      </c>
    </row>
    <row r="697" spans="1:7">
      <c r="A697" s="2">
        <v>696</v>
      </c>
      <c r="B697" s="2" t="s">
        <v>34</v>
      </c>
      <c r="C697" s="2" t="s">
        <v>8</v>
      </c>
      <c r="D697" s="2">
        <v>45</v>
      </c>
      <c r="E697" s="3">
        <v>58113</v>
      </c>
      <c r="F697" s="2" t="s">
        <v>32</v>
      </c>
      <c r="G697" s="2" t="s">
        <v>10</v>
      </c>
    </row>
    <row r="698" spans="1:7">
      <c r="A698" s="2">
        <v>697</v>
      </c>
      <c r="B698" s="2" t="s">
        <v>67</v>
      </c>
      <c r="C698" s="2" t="s">
        <v>12</v>
      </c>
      <c r="D698" s="2">
        <v>39</v>
      </c>
      <c r="E698" s="3">
        <v>40966</v>
      </c>
      <c r="F698" s="2" t="s">
        <v>17</v>
      </c>
      <c r="G698" s="2" t="s">
        <v>29</v>
      </c>
    </row>
    <row r="699" spans="1:7">
      <c r="A699" s="2">
        <v>698</v>
      </c>
      <c r="B699" s="2" t="s">
        <v>84</v>
      </c>
      <c r="C699" s="2" t="s">
        <v>12</v>
      </c>
      <c r="D699" s="2">
        <v>3</v>
      </c>
      <c r="E699" s="3">
        <v>36899</v>
      </c>
      <c r="F699" s="2" t="s">
        <v>25</v>
      </c>
      <c r="G699" s="2" t="s">
        <v>23</v>
      </c>
    </row>
    <row r="700" spans="1:7">
      <c r="A700" s="2">
        <v>699</v>
      </c>
      <c r="B700" s="2" t="s">
        <v>91</v>
      </c>
      <c r="C700" s="2" t="s">
        <v>22</v>
      </c>
      <c r="D700" s="2">
        <v>14</v>
      </c>
      <c r="E700" s="3">
        <v>71117</v>
      </c>
      <c r="F700" s="2" t="s">
        <v>20</v>
      </c>
      <c r="G700" s="2" t="s">
        <v>26</v>
      </c>
    </row>
    <row r="701" spans="1:7">
      <c r="A701" s="2">
        <v>700</v>
      </c>
      <c r="B701" s="2" t="s">
        <v>47</v>
      </c>
      <c r="C701" s="2" t="s">
        <v>12</v>
      </c>
      <c r="D701" s="2">
        <v>21</v>
      </c>
      <c r="E701" s="3">
        <v>46269</v>
      </c>
      <c r="F701" s="2" t="s">
        <v>20</v>
      </c>
      <c r="G701" s="2" t="s">
        <v>14</v>
      </c>
    </row>
    <row r="702" spans="1:7">
      <c r="A702" s="2">
        <v>701</v>
      </c>
      <c r="B702" s="2" t="s">
        <v>24</v>
      </c>
      <c r="C702" s="2" t="s">
        <v>8</v>
      </c>
      <c r="D702" s="2">
        <v>10</v>
      </c>
      <c r="E702" s="3">
        <v>33320</v>
      </c>
      <c r="F702" s="2" t="s">
        <v>38</v>
      </c>
      <c r="G702" s="2" t="s">
        <v>10</v>
      </c>
    </row>
    <row r="703" spans="1:7">
      <c r="A703" s="2">
        <v>702</v>
      </c>
      <c r="B703" s="2" t="s">
        <v>30</v>
      </c>
      <c r="C703" s="2" t="s">
        <v>16</v>
      </c>
      <c r="D703" s="2">
        <v>6</v>
      </c>
      <c r="E703" s="3">
        <v>64977</v>
      </c>
      <c r="F703" s="2" t="s">
        <v>32</v>
      </c>
      <c r="G703" s="2" t="s">
        <v>26</v>
      </c>
    </row>
    <row r="704" spans="1:7">
      <c r="A704" s="2">
        <v>703</v>
      </c>
      <c r="B704" s="2" t="s">
        <v>62</v>
      </c>
      <c r="C704" s="2" t="s">
        <v>8</v>
      </c>
      <c r="D704" s="2">
        <v>46</v>
      </c>
      <c r="E704" s="3">
        <v>33685</v>
      </c>
      <c r="F704" s="2" t="s">
        <v>25</v>
      </c>
      <c r="G704" s="2" t="s">
        <v>18</v>
      </c>
    </row>
    <row r="705" spans="1:7">
      <c r="A705" s="2">
        <v>704</v>
      </c>
      <c r="B705" s="2" t="s">
        <v>93</v>
      </c>
      <c r="C705" s="2" t="s">
        <v>8</v>
      </c>
      <c r="D705" s="2">
        <v>16</v>
      </c>
      <c r="E705" s="3">
        <v>47510</v>
      </c>
      <c r="F705" s="2" t="s">
        <v>28</v>
      </c>
      <c r="G705" s="2" t="s">
        <v>14</v>
      </c>
    </row>
    <row r="706" spans="1:7">
      <c r="A706" s="2">
        <v>705</v>
      </c>
      <c r="B706" s="2" t="s">
        <v>61</v>
      </c>
      <c r="C706" s="2" t="s">
        <v>12</v>
      </c>
      <c r="D706" s="2">
        <v>23</v>
      </c>
      <c r="E706" s="3">
        <v>60667</v>
      </c>
      <c r="F706" s="2" t="s">
        <v>38</v>
      </c>
      <c r="G706" s="2" t="s">
        <v>14</v>
      </c>
    </row>
    <row r="707" spans="1:7">
      <c r="A707" s="2">
        <v>706</v>
      </c>
      <c r="B707" s="2" t="s">
        <v>94</v>
      </c>
      <c r="C707" s="2" t="s">
        <v>22</v>
      </c>
      <c r="D707" s="2">
        <v>26</v>
      </c>
      <c r="E707" s="3">
        <v>25142</v>
      </c>
      <c r="F707" s="2" t="s">
        <v>17</v>
      </c>
      <c r="G707" s="2" t="s">
        <v>14</v>
      </c>
    </row>
    <row r="708" spans="1:7">
      <c r="A708" s="2">
        <v>707</v>
      </c>
      <c r="B708" s="2" t="s">
        <v>56</v>
      </c>
      <c r="C708" s="2" t="s">
        <v>16</v>
      </c>
      <c r="D708" s="2">
        <v>33</v>
      </c>
      <c r="E708" s="3">
        <v>86382</v>
      </c>
      <c r="F708" s="2" t="s">
        <v>20</v>
      </c>
      <c r="G708" s="2" t="s">
        <v>14</v>
      </c>
    </row>
    <row r="709" spans="1:7">
      <c r="A709" s="2">
        <v>708</v>
      </c>
      <c r="B709" s="2" t="s">
        <v>47</v>
      </c>
      <c r="C709" s="2" t="s">
        <v>16</v>
      </c>
      <c r="D709" s="2">
        <v>4</v>
      </c>
      <c r="E709" s="3">
        <v>39574</v>
      </c>
      <c r="F709" s="2" t="s">
        <v>28</v>
      </c>
      <c r="G709" s="2" t="s">
        <v>23</v>
      </c>
    </row>
    <row r="710" spans="1:7">
      <c r="A710" s="2">
        <v>709</v>
      </c>
      <c r="B710" s="2" t="s">
        <v>63</v>
      </c>
      <c r="C710" s="2" t="s">
        <v>22</v>
      </c>
      <c r="D710" s="2">
        <v>44</v>
      </c>
      <c r="E710" s="3">
        <v>35981</v>
      </c>
      <c r="F710" s="2" t="s">
        <v>9</v>
      </c>
      <c r="G710" s="2" t="s">
        <v>26</v>
      </c>
    </row>
    <row r="711" spans="1:7">
      <c r="A711" s="2">
        <v>710</v>
      </c>
      <c r="B711" s="2" t="s">
        <v>86</v>
      </c>
      <c r="C711" s="2" t="s">
        <v>8</v>
      </c>
      <c r="D711" s="2">
        <v>20</v>
      </c>
      <c r="E711" s="3">
        <v>60846</v>
      </c>
      <c r="F711" s="2" t="s">
        <v>9</v>
      </c>
      <c r="G711" s="2" t="s">
        <v>18</v>
      </c>
    </row>
    <row r="712" spans="1:7">
      <c r="A712" s="2">
        <v>711</v>
      </c>
      <c r="B712" s="2" t="s">
        <v>48</v>
      </c>
      <c r="C712" s="2" t="s">
        <v>12</v>
      </c>
      <c r="D712" s="2">
        <v>17</v>
      </c>
      <c r="E712" s="3">
        <v>97067</v>
      </c>
      <c r="F712" s="2" t="s">
        <v>38</v>
      </c>
      <c r="G712" s="2" t="s">
        <v>10</v>
      </c>
    </row>
    <row r="713" spans="1:7">
      <c r="A713" s="2">
        <v>712</v>
      </c>
      <c r="B713" s="2" t="s">
        <v>21</v>
      </c>
      <c r="C713" s="2" t="s">
        <v>8</v>
      </c>
      <c r="D713" s="2">
        <v>12</v>
      </c>
      <c r="E713" s="3">
        <v>72575</v>
      </c>
      <c r="F713" s="2" t="s">
        <v>17</v>
      </c>
      <c r="G713" s="2" t="s">
        <v>14</v>
      </c>
    </row>
    <row r="714" spans="1:7">
      <c r="A714" s="2">
        <v>713</v>
      </c>
      <c r="B714" s="2" t="s">
        <v>51</v>
      </c>
      <c r="C714" s="2" t="s">
        <v>16</v>
      </c>
      <c r="D714" s="2">
        <v>2</v>
      </c>
      <c r="E714" s="3">
        <v>53446</v>
      </c>
      <c r="F714" s="2" t="s">
        <v>32</v>
      </c>
      <c r="G714" s="2" t="s">
        <v>10</v>
      </c>
    </row>
    <row r="715" spans="1:7">
      <c r="A715" s="2">
        <v>714</v>
      </c>
      <c r="B715" s="2" t="s">
        <v>70</v>
      </c>
      <c r="C715" s="2" t="s">
        <v>16</v>
      </c>
      <c r="D715" s="2">
        <v>26</v>
      </c>
      <c r="E715" s="3">
        <v>73658</v>
      </c>
      <c r="F715" s="2" t="s">
        <v>32</v>
      </c>
      <c r="G715" s="2" t="s">
        <v>29</v>
      </c>
    </row>
    <row r="716" spans="1:7">
      <c r="A716" s="2">
        <v>715</v>
      </c>
      <c r="B716" s="2" t="s">
        <v>94</v>
      </c>
      <c r="C716" s="2" t="s">
        <v>8</v>
      </c>
      <c r="D716" s="2">
        <v>29</v>
      </c>
      <c r="E716" s="3">
        <v>67188</v>
      </c>
      <c r="F716" s="2" t="s">
        <v>32</v>
      </c>
      <c r="G716" s="2" t="s">
        <v>26</v>
      </c>
    </row>
    <row r="717" spans="1:7">
      <c r="A717" s="2">
        <v>716</v>
      </c>
      <c r="B717" s="2" t="s">
        <v>64</v>
      </c>
      <c r="C717" s="2" t="s">
        <v>16</v>
      </c>
      <c r="D717" s="2">
        <v>36</v>
      </c>
      <c r="E717" s="3">
        <v>52939</v>
      </c>
      <c r="F717" s="2" t="s">
        <v>28</v>
      </c>
      <c r="G717" s="2" t="s">
        <v>26</v>
      </c>
    </row>
    <row r="718" spans="1:7">
      <c r="A718" s="2">
        <v>717</v>
      </c>
      <c r="B718" s="2" t="s">
        <v>73</v>
      </c>
      <c r="C718" s="2" t="s">
        <v>12</v>
      </c>
      <c r="D718" s="2">
        <v>48</v>
      </c>
      <c r="E718" s="3">
        <v>45150</v>
      </c>
      <c r="F718" s="2" t="s">
        <v>9</v>
      </c>
      <c r="G718" s="2" t="s">
        <v>14</v>
      </c>
    </row>
    <row r="719" spans="1:7">
      <c r="A719" s="2">
        <v>718</v>
      </c>
      <c r="B719" s="2" t="s">
        <v>90</v>
      </c>
      <c r="C719" s="2" t="s">
        <v>16</v>
      </c>
      <c r="D719" s="2">
        <v>36</v>
      </c>
      <c r="E719" s="3">
        <v>99948</v>
      </c>
      <c r="F719" s="2" t="s">
        <v>25</v>
      </c>
      <c r="G719" s="2" t="s">
        <v>14</v>
      </c>
    </row>
    <row r="720" spans="1:7">
      <c r="A720" s="2">
        <v>719</v>
      </c>
      <c r="B720" s="2" t="s">
        <v>93</v>
      </c>
      <c r="C720" s="2" t="s">
        <v>12</v>
      </c>
      <c r="D720" s="2">
        <v>16</v>
      </c>
      <c r="E720" s="3">
        <v>29467</v>
      </c>
      <c r="F720" s="2" t="s">
        <v>38</v>
      </c>
      <c r="G720" s="2" t="s">
        <v>26</v>
      </c>
    </row>
    <row r="721" spans="1:7">
      <c r="A721" s="2">
        <v>720</v>
      </c>
      <c r="B721" s="2" t="s">
        <v>79</v>
      </c>
      <c r="C721" s="2" t="s">
        <v>8</v>
      </c>
      <c r="D721" s="2">
        <v>7</v>
      </c>
      <c r="E721" s="3">
        <v>45959</v>
      </c>
      <c r="F721" s="2" t="s">
        <v>13</v>
      </c>
      <c r="G721" s="2" t="s">
        <v>10</v>
      </c>
    </row>
    <row r="722" spans="1:7">
      <c r="A722" s="2">
        <v>721</v>
      </c>
      <c r="B722" s="2" t="s">
        <v>77</v>
      </c>
      <c r="C722" s="2" t="s">
        <v>8</v>
      </c>
      <c r="D722" s="2">
        <v>30</v>
      </c>
      <c r="E722" s="3">
        <v>91618</v>
      </c>
      <c r="F722" s="2" t="s">
        <v>38</v>
      </c>
      <c r="G722" s="2" t="s">
        <v>18</v>
      </c>
    </row>
    <row r="723" spans="1:7">
      <c r="A723" s="2">
        <v>722</v>
      </c>
      <c r="B723" s="2" t="s">
        <v>89</v>
      </c>
      <c r="C723" s="2" t="s">
        <v>12</v>
      </c>
      <c r="D723" s="2">
        <v>7</v>
      </c>
      <c r="E723" s="3">
        <v>75196</v>
      </c>
      <c r="F723" s="2" t="s">
        <v>28</v>
      </c>
      <c r="G723" s="2" t="s">
        <v>29</v>
      </c>
    </row>
    <row r="724" spans="1:7">
      <c r="A724" s="2">
        <v>723</v>
      </c>
      <c r="B724" s="2" t="s">
        <v>73</v>
      </c>
      <c r="C724" s="2" t="s">
        <v>12</v>
      </c>
      <c r="D724" s="2">
        <v>9</v>
      </c>
      <c r="E724" s="3">
        <v>88321</v>
      </c>
      <c r="F724" s="2" t="s">
        <v>25</v>
      </c>
      <c r="G724" s="2" t="s">
        <v>26</v>
      </c>
    </row>
    <row r="725" spans="1:7">
      <c r="A725" s="2">
        <v>724</v>
      </c>
      <c r="B725" s="2" t="s">
        <v>77</v>
      </c>
      <c r="C725" s="2" t="s">
        <v>12</v>
      </c>
      <c r="D725" s="2">
        <v>8</v>
      </c>
      <c r="E725" s="3">
        <v>44166</v>
      </c>
      <c r="F725" s="2" t="s">
        <v>38</v>
      </c>
      <c r="G725" s="2" t="s">
        <v>18</v>
      </c>
    </row>
    <row r="726" spans="1:7">
      <c r="A726" s="2">
        <v>725</v>
      </c>
      <c r="B726" s="2" t="s">
        <v>83</v>
      </c>
      <c r="C726" s="2" t="s">
        <v>16</v>
      </c>
      <c r="D726" s="2">
        <v>1</v>
      </c>
      <c r="E726" s="3">
        <v>33462</v>
      </c>
      <c r="F726" s="2" t="s">
        <v>28</v>
      </c>
      <c r="G726" s="2" t="s">
        <v>10</v>
      </c>
    </row>
    <row r="727" spans="1:7">
      <c r="A727" s="2">
        <v>726</v>
      </c>
      <c r="B727" s="2" t="s">
        <v>88</v>
      </c>
      <c r="C727" s="2" t="s">
        <v>8</v>
      </c>
      <c r="D727" s="2">
        <v>4</v>
      </c>
      <c r="E727" s="3">
        <v>37436</v>
      </c>
      <c r="F727" s="2" t="s">
        <v>32</v>
      </c>
      <c r="G727" s="2" t="s">
        <v>23</v>
      </c>
    </row>
    <row r="728" spans="1:7">
      <c r="A728" s="2">
        <v>727</v>
      </c>
      <c r="B728" s="2" t="s">
        <v>42</v>
      </c>
      <c r="C728" s="2" t="s">
        <v>16</v>
      </c>
      <c r="D728" s="2">
        <v>50</v>
      </c>
      <c r="E728" s="3">
        <v>57618</v>
      </c>
      <c r="F728" s="2" t="s">
        <v>28</v>
      </c>
      <c r="G728" s="2" t="s">
        <v>14</v>
      </c>
    </row>
    <row r="729" spans="1:7">
      <c r="A729" s="2">
        <v>728</v>
      </c>
      <c r="B729" s="2" t="s">
        <v>67</v>
      </c>
      <c r="C729" s="2" t="s">
        <v>16</v>
      </c>
      <c r="D729" s="2">
        <v>15</v>
      </c>
      <c r="E729" s="3">
        <v>71659</v>
      </c>
      <c r="F729" s="2" t="s">
        <v>38</v>
      </c>
      <c r="G729" s="2" t="s">
        <v>23</v>
      </c>
    </row>
    <row r="730" spans="1:7">
      <c r="A730" s="2">
        <v>729</v>
      </c>
      <c r="B730" s="2" t="s">
        <v>70</v>
      </c>
      <c r="C730" s="2" t="s">
        <v>12</v>
      </c>
      <c r="D730" s="2">
        <v>9</v>
      </c>
      <c r="E730" s="3">
        <v>28355</v>
      </c>
      <c r="F730" s="2" t="s">
        <v>9</v>
      </c>
      <c r="G730" s="2" t="s">
        <v>26</v>
      </c>
    </row>
    <row r="731" spans="1:7">
      <c r="A731" s="2">
        <v>730</v>
      </c>
      <c r="B731" s="2" t="s">
        <v>92</v>
      </c>
      <c r="C731" s="2" t="s">
        <v>16</v>
      </c>
      <c r="D731" s="2">
        <v>13</v>
      </c>
      <c r="E731" s="3">
        <v>26655</v>
      </c>
      <c r="F731" s="2" t="s">
        <v>38</v>
      </c>
      <c r="G731" s="2" t="s">
        <v>10</v>
      </c>
    </row>
    <row r="732" spans="1:7">
      <c r="A732" s="2">
        <v>731</v>
      </c>
      <c r="B732" s="2" t="s">
        <v>86</v>
      </c>
      <c r="C732" s="2" t="s">
        <v>22</v>
      </c>
      <c r="D732" s="2">
        <v>26</v>
      </c>
      <c r="E732" s="3">
        <v>75072</v>
      </c>
      <c r="F732" s="2" t="s">
        <v>20</v>
      </c>
      <c r="G732" s="2" t="s">
        <v>10</v>
      </c>
    </row>
    <row r="733" spans="1:7">
      <c r="A733" s="2">
        <v>732</v>
      </c>
      <c r="B733" s="2" t="s">
        <v>54</v>
      </c>
      <c r="C733" s="2" t="s">
        <v>22</v>
      </c>
      <c r="D733" s="2">
        <v>24</v>
      </c>
      <c r="E733" s="3">
        <v>80603</v>
      </c>
      <c r="F733" s="2" t="s">
        <v>13</v>
      </c>
      <c r="G733" s="2" t="s">
        <v>10</v>
      </c>
    </row>
    <row r="734" spans="1:7">
      <c r="A734" s="2">
        <v>733</v>
      </c>
      <c r="B734" s="2" t="s">
        <v>15</v>
      </c>
      <c r="C734" s="2" t="s">
        <v>22</v>
      </c>
      <c r="D734" s="2">
        <v>44</v>
      </c>
      <c r="E734" s="3">
        <v>87206</v>
      </c>
      <c r="F734" s="2" t="s">
        <v>28</v>
      </c>
      <c r="G734" s="2" t="s">
        <v>10</v>
      </c>
    </row>
    <row r="735" spans="1:7">
      <c r="A735" s="2">
        <v>734</v>
      </c>
      <c r="B735" s="2" t="s">
        <v>61</v>
      </c>
      <c r="C735" s="2" t="s">
        <v>22</v>
      </c>
      <c r="D735" s="2">
        <v>41</v>
      </c>
      <c r="E735" s="3">
        <v>33067</v>
      </c>
      <c r="F735" s="2" t="s">
        <v>17</v>
      </c>
      <c r="G735" s="2" t="s">
        <v>26</v>
      </c>
    </row>
    <row r="736" spans="1:7">
      <c r="A736" s="2">
        <v>735</v>
      </c>
      <c r="B736" s="2" t="s">
        <v>11</v>
      </c>
      <c r="C736" s="2" t="s">
        <v>22</v>
      </c>
      <c r="D736" s="2">
        <v>42</v>
      </c>
      <c r="E736" s="3">
        <v>39973</v>
      </c>
      <c r="F736" s="2" t="s">
        <v>20</v>
      </c>
      <c r="G736" s="2" t="s">
        <v>14</v>
      </c>
    </row>
    <row r="737" spans="1:7">
      <c r="A737" s="2">
        <v>736</v>
      </c>
      <c r="B737" s="2" t="s">
        <v>39</v>
      </c>
      <c r="C737" s="2" t="s">
        <v>12</v>
      </c>
      <c r="D737" s="2">
        <v>6</v>
      </c>
      <c r="E737" s="3">
        <v>56984</v>
      </c>
      <c r="F737" s="2" t="s">
        <v>38</v>
      </c>
      <c r="G737" s="2" t="s">
        <v>23</v>
      </c>
    </row>
    <row r="738" spans="1:7">
      <c r="A738" s="2">
        <v>737</v>
      </c>
      <c r="B738" s="2" t="s">
        <v>42</v>
      </c>
      <c r="C738" s="2" t="s">
        <v>16</v>
      </c>
      <c r="D738" s="2">
        <v>38</v>
      </c>
      <c r="E738" s="3">
        <v>55043</v>
      </c>
      <c r="F738" s="2" t="s">
        <v>28</v>
      </c>
      <c r="G738" s="2" t="s">
        <v>29</v>
      </c>
    </row>
    <row r="739" spans="1:7">
      <c r="A739" s="2">
        <v>738</v>
      </c>
      <c r="B739" s="2" t="s">
        <v>31</v>
      </c>
      <c r="C739" s="2" t="s">
        <v>16</v>
      </c>
      <c r="D739" s="2">
        <v>38</v>
      </c>
      <c r="E739" s="3">
        <v>92323</v>
      </c>
      <c r="F739" s="2" t="s">
        <v>13</v>
      </c>
      <c r="G739" s="2" t="s">
        <v>14</v>
      </c>
    </row>
    <row r="740" spans="1:7">
      <c r="A740" s="2">
        <v>739</v>
      </c>
      <c r="B740" s="2" t="s">
        <v>66</v>
      </c>
      <c r="C740" s="2" t="s">
        <v>22</v>
      </c>
      <c r="D740" s="2">
        <v>17</v>
      </c>
      <c r="E740" s="3">
        <v>50443</v>
      </c>
      <c r="F740" s="2" t="s">
        <v>32</v>
      </c>
      <c r="G740" s="2" t="s">
        <v>10</v>
      </c>
    </row>
    <row r="741" spans="1:7">
      <c r="A741" s="2">
        <v>740</v>
      </c>
      <c r="B741" s="2" t="s">
        <v>41</v>
      </c>
      <c r="C741" s="2" t="s">
        <v>16</v>
      </c>
      <c r="D741" s="2">
        <v>5</v>
      </c>
      <c r="E741" s="3">
        <v>36790</v>
      </c>
      <c r="F741" s="2" t="s">
        <v>13</v>
      </c>
      <c r="G741" s="2" t="s">
        <v>26</v>
      </c>
    </row>
    <row r="742" spans="1:7">
      <c r="A742" s="2">
        <v>741</v>
      </c>
      <c r="B742" s="2" t="s">
        <v>94</v>
      </c>
      <c r="C742" s="2" t="s">
        <v>22</v>
      </c>
      <c r="D742" s="2">
        <v>2</v>
      </c>
      <c r="E742" s="3">
        <v>53377</v>
      </c>
      <c r="F742" s="2" t="s">
        <v>20</v>
      </c>
      <c r="G742" s="2" t="s">
        <v>10</v>
      </c>
    </row>
    <row r="743" spans="1:7">
      <c r="A743" s="2">
        <v>742</v>
      </c>
      <c r="B743" s="2" t="s">
        <v>87</v>
      </c>
      <c r="C743" s="2" t="s">
        <v>16</v>
      </c>
      <c r="D743" s="2">
        <v>5</v>
      </c>
      <c r="E743" s="3">
        <v>79403</v>
      </c>
      <c r="F743" s="2" t="s">
        <v>17</v>
      </c>
      <c r="G743" s="2" t="s">
        <v>14</v>
      </c>
    </row>
    <row r="744" spans="1:7">
      <c r="A744" s="2">
        <v>743</v>
      </c>
      <c r="B744" s="2" t="s">
        <v>37</v>
      </c>
      <c r="C744" s="2" t="s">
        <v>12</v>
      </c>
      <c r="D744" s="2">
        <v>13</v>
      </c>
      <c r="E744" s="3">
        <v>75684</v>
      </c>
      <c r="F744" s="2" t="s">
        <v>9</v>
      </c>
      <c r="G744" s="2" t="s">
        <v>23</v>
      </c>
    </row>
    <row r="745" spans="1:7">
      <c r="A745" s="2">
        <v>744</v>
      </c>
      <c r="B745" s="2" t="s">
        <v>43</v>
      </c>
      <c r="C745" s="2" t="s">
        <v>8</v>
      </c>
      <c r="D745" s="2">
        <v>42</v>
      </c>
      <c r="E745" s="3">
        <v>49608</v>
      </c>
      <c r="F745" s="2" t="s">
        <v>20</v>
      </c>
      <c r="G745" s="2" t="s">
        <v>23</v>
      </c>
    </row>
    <row r="746" spans="1:7">
      <c r="A746" s="2">
        <v>745</v>
      </c>
      <c r="B746" s="2" t="s">
        <v>43</v>
      </c>
      <c r="C746" s="2" t="s">
        <v>22</v>
      </c>
      <c r="D746" s="2">
        <v>29</v>
      </c>
      <c r="E746" s="3">
        <v>31609</v>
      </c>
      <c r="F746" s="2" t="s">
        <v>25</v>
      </c>
      <c r="G746" s="2" t="s">
        <v>18</v>
      </c>
    </row>
    <row r="747" spans="1:7">
      <c r="A747" s="2">
        <v>746</v>
      </c>
      <c r="B747" s="2" t="s">
        <v>88</v>
      </c>
      <c r="C747" s="2" t="s">
        <v>12</v>
      </c>
      <c r="D747" s="2">
        <v>9</v>
      </c>
      <c r="E747" s="3">
        <v>77229</v>
      </c>
      <c r="F747" s="2" t="s">
        <v>32</v>
      </c>
      <c r="G747" s="2" t="s">
        <v>18</v>
      </c>
    </row>
    <row r="748" spans="1:7">
      <c r="A748" s="2">
        <v>747</v>
      </c>
      <c r="B748" s="2" t="s">
        <v>45</v>
      </c>
      <c r="C748" s="2" t="s">
        <v>12</v>
      </c>
      <c r="D748" s="2">
        <v>6</v>
      </c>
      <c r="E748" s="3">
        <v>78859</v>
      </c>
      <c r="F748" s="2" t="s">
        <v>9</v>
      </c>
      <c r="G748" s="2" t="s">
        <v>26</v>
      </c>
    </row>
    <row r="749" spans="1:7">
      <c r="A749" s="2">
        <v>748</v>
      </c>
      <c r="B749" s="2" t="s">
        <v>31</v>
      </c>
      <c r="C749" s="2" t="s">
        <v>22</v>
      </c>
      <c r="D749" s="2">
        <v>22</v>
      </c>
      <c r="E749" s="3">
        <v>30846</v>
      </c>
      <c r="F749" s="2" t="s">
        <v>38</v>
      </c>
      <c r="G749" s="2" t="s">
        <v>18</v>
      </c>
    </row>
    <row r="750" spans="1:7">
      <c r="A750" s="2">
        <v>749</v>
      </c>
      <c r="B750" s="2" t="s">
        <v>62</v>
      </c>
      <c r="C750" s="2" t="s">
        <v>22</v>
      </c>
      <c r="D750" s="2">
        <v>8</v>
      </c>
      <c r="E750" s="3">
        <v>44187</v>
      </c>
      <c r="F750" s="2" t="s">
        <v>38</v>
      </c>
      <c r="G750" s="2" t="s">
        <v>10</v>
      </c>
    </row>
    <row r="751" spans="1:7">
      <c r="A751" s="2">
        <v>750</v>
      </c>
      <c r="B751" s="2" t="s">
        <v>42</v>
      </c>
      <c r="C751" s="2" t="s">
        <v>12</v>
      </c>
      <c r="D751" s="2">
        <v>3</v>
      </c>
      <c r="E751" s="3">
        <v>34896</v>
      </c>
      <c r="F751" s="2" t="s">
        <v>32</v>
      </c>
      <c r="G751" s="2" t="s">
        <v>14</v>
      </c>
    </row>
    <row r="752" spans="1:7">
      <c r="A752" s="2">
        <v>751</v>
      </c>
      <c r="B752" s="2" t="s">
        <v>82</v>
      </c>
      <c r="C752" s="2" t="s">
        <v>22</v>
      </c>
      <c r="D752" s="2">
        <v>30</v>
      </c>
      <c r="E752" s="3">
        <v>80209</v>
      </c>
      <c r="F752" s="2" t="s">
        <v>28</v>
      </c>
      <c r="G752" s="2" t="s">
        <v>26</v>
      </c>
    </row>
    <row r="753" spans="1:7">
      <c r="A753" s="2">
        <v>752</v>
      </c>
      <c r="B753" s="2" t="s">
        <v>66</v>
      </c>
      <c r="C753" s="2" t="s">
        <v>22</v>
      </c>
      <c r="D753" s="2">
        <v>4</v>
      </c>
      <c r="E753" s="3">
        <v>84582</v>
      </c>
      <c r="F753" s="2" t="s">
        <v>17</v>
      </c>
      <c r="G753" s="2" t="s">
        <v>26</v>
      </c>
    </row>
    <row r="754" spans="1:7">
      <c r="A754" s="2">
        <v>753</v>
      </c>
      <c r="B754" s="2" t="s">
        <v>62</v>
      </c>
      <c r="C754" s="2" t="s">
        <v>8</v>
      </c>
      <c r="D754" s="2">
        <v>11</v>
      </c>
      <c r="E754" s="3">
        <v>87310</v>
      </c>
      <c r="F754" s="2" t="s">
        <v>9</v>
      </c>
      <c r="G754" s="2" t="s">
        <v>14</v>
      </c>
    </row>
    <row r="755" spans="1:7">
      <c r="A755" s="2">
        <v>754</v>
      </c>
      <c r="B755" s="2" t="s">
        <v>93</v>
      </c>
      <c r="C755" s="2" t="s">
        <v>8</v>
      </c>
      <c r="D755" s="2">
        <v>37</v>
      </c>
      <c r="E755" s="3">
        <v>92277</v>
      </c>
      <c r="F755" s="2" t="s">
        <v>13</v>
      </c>
      <c r="G755" s="2" t="s">
        <v>18</v>
      </c>
    </row>
    <row r="756" spans="1:7">
      <c r="A756" s="2">
        <v>755</v>
      </c>
      <c r="B756" s="2" t="s">
        <v>48</v>
      </c>
      <c r="C756" s="2" t="s">
        <v>22</v>
      </c>
      <c r="D756" s="2">
        <v>28</v>
      </c>
      <c r="E756" s="3">
        <v>85145</v>
      </c>
      <c r="F756" s="2" t="s">
        <v>25</v>
      </c>
      <c r="G756" s="2" t="s">
        <v>23</v>
      </c>
    </row>
    <row r="757" spans="1:7">
      <c r="A757" s="2">
        <v>756</v>
      </c>
      <c r="B757" s="2" t="s">
        <v>56</v>
      </c>
      <c r="C757" s="2" t="s">
        <v>12</v>
      </c>
      <c r="D757" s="2">
        <v>47</v>
      </c>
      <c r="E757" s="3">
        <v>25410</v>
      </c>
      <c r="F757" s="2" t="s">
        <v>38</v>
      </c>
      <c r="G757" s="2" t="s">
        <v>18</v>
      </c>
    </row>
    <row r="758" spans="1:7">
      <c r="A758" s="2">
        <v>757</v>
      </c>
      <c r="B758" s="2" t="s">
        <v>39</v>
      </c>
      <c r="C758" s="2" t="s">
        <v>16</v>
      </c>
      <c r="D758" s="2">
        <v>26</v>
      </c>
      <c r="E758" s="3">
        <v>99518</v>
      </c>
      <c r="F758" s="2" t="s">
        <v>17</v>
      </c>
      <c r="G758" s="2" t="s">
        <v>14</v>
      </c>
    </row>
    <row r="759" spans="1:7">
      <c r="A759" s="2">
        <v>758</v>
      </c>
      <c r="B759" s="2" t="s">
        <v>75</v>
      </c>
      <c r="C759" s="2" t="s">
        <v>22</v>
      </c>
      <c r="D759" s="2">
        <v>32</v>
      </c>
      <c r="E759" s="3">
        <v>98532</v>
      </c>
      <c r="F759" s="2" t="s">
        <v>17</v>
      </c>
      <c r="G759" s="2" t="s">
        <v>10</v>
      </c>
    </row>
    <row r="760" spans="1:7">
      <c r="A760" s="2">
        <v>759</v>
      </c>
      <c r="B760" s="2" t="s">
        <v>53</v>
      </c>
      <c r="C760" s="2" t="s">
        <v>22</v>
      </c>
      <c r="D760" s="2">
        <v>2</v>
      </c>
      <c r="E760" s="3">
        <v>35731</v>
      </c>
      <c r="F760" s="2" t="s">
        <v>17</v>
      </c>
      <c r="G760" s="2" t="s">
        <v>18</v>
      </c>
    </row>
    <row r="761" spans="1:7">
      <c r="A761" s="2">
        <v>760</v>
      </c>
      <c r="B761" s="2" t="s">
        <v>59</v>
      </c>
      <c r="C761" s="2" t="s">
        <v>16</v>
      </c>
      <c r="D761" s="2">
        <v>25</v>
      </c>
      <c r="E761" s="3">
        <v>56729</v>
      </c>
      <c r="F761" s="2" t="s">
        <v>28</v>
      </c>
      <c r="G761" s="2" t="s">
        <v>26</v>
      </c>
    </row>
    <row r="762" spans="1:7">
      <c r="A762" s="2">
        <v>761</v>
      </c>
      <c r="B762" s="2" t="s">
        <v>30</v>
      </c>
      <c r="C762" s="2" t="s">
        <v>16</v>
      </c>
      <c r="D762" s="2">
        <v>44</v>
      </c>
      <c r="E762" s="3">
        <v>41642</v>
      </c>
      <c r="F762" s="2" t="s">
        <v>32</v>
      </c>
      <c r="G762" s="2" t="s">
        <v>29</v>
      </c>
    </row>
    <row r="763" spans="1:7">
      <c r="A763" s="2">
        <v>762</v>
      </c>
      <c r="B763" s="2" t="s">
        <v>52</v>
      </c>
      <c r="C763" s="2" t="s">
        <v>16</v>
      </c>
      <c r="D763" s="2">
        <v>28</v>
      </c>
      <c r="E763" s="3">
        <v>32277</v>
      </c>
      <c r="F763" s="2" t="s">
        <v>28</v>
      </c>
      <c r="G763" s="2" t="s">
        <v>29</v>
      </c>
    </row>
    <row r="764" spans="1:7">
      <c r="A764" s="2">
        <v>763</v>
      </c>
      <c r="B764" s="2" t="s">
        <v>92</v>
      </c>
      <c r="C764" s="2" t="s">
        <v>8</v>
      </c>
      <c r="D764" s="2">
        <v>12</v>
      </c>
      <c r="E764" s="3">
        <v>54389</v>
      </c>
      <c r="F764" s="2" t="s">
        <v>38</v>
      </c>
      <c r="G764" s="2" t="s">
        <v>23</v>
      </c>
    </row>
    <row r="765" spans="1:7">
      <c r="A765" s="2">
        <v>764</v>
      </c>
      <c r="B765" s="2" t="s">
        <v>78</v>
      </c>
      <c r="C765" s="2" t="s">
        <v>8</v>
      </c>
      <c r="D765" s="2">
        <v>23</v>
      </c>
      <c r="E765" s="3">
        <v>50704</v>
      </c>
      <c r="F765" s="2" t="s">
        <v>28</v>
      </c>
      <c r="G765" s="2" t="s">
        <v>14</v>
      </c>
    </row>
    <row r="766" spans="1:7">
      <c r="A766" s="2">
        <v>765</v>
      </c>
      <c r="B766" s="2" t="s">
        <v>55</v>
      </c>
      <c r="C766" s="2" t="s">
        <v>8</v>
      </c>
      <c r="D766" s="2">
        <v>14</v>
      </c>
      <c r="E766" s="3">
        <v>59903</v>
      </c>
      <c r="F766" s="2" t="s">
        <v>13</v>
      </c>
      <c r="G766" s="2" t="s">
        <v>10</v>
      </c>
    </row>
    <row r="767" spans="1:7">
      <c r="A767" s="2">
        <v>766</v>
      </c>
      <c r="B767" s="2" t="s">
        <v>70</v>
      </c>
      <c r="C767" s="2" t="s">
        <v>12</v>
      </c>
      <c r="D767" s="2">
        <v>12</v>
      </c>
      <c r="E767" s="3">
        <v>67192</v>
      </c>
      <c r="F767" s="2" t="s">
        <v>38</v>
      </c>
      <c r="G767" s="2" t="s">
        <v>26</v>
      </c>
    </row>
    <row r="768" spans="1:7">
      <c r="A768" s="2">
        <v>767</v>
      </c>
      <c r="B768" s="2" t="s">
        <v>15</v>
      </c>
      <c r="C768" s="2" t="s">
        <v>22</v>
      </c>
      <c r="D768" s="2">
        <v>18</v>
      </c>
      <c r="E768" s="3">
        <v>87999</v>
      </c>
      <c r="F768" s="2" t="s">
        <v>28</v>
      </c>
      <c r="G768" s="2" t="s">
        <v>29</v>
      </c>
    </row>
    <row r="769" spans="1:7">
      <c r="A769" s="2">
        <v>768</v>
      </c>
      <c r="B769" s="2" t="s">
        <v>19</v>
      </c>
      <c r="C769" s="2" t="s">
        <v>8</v>
      </c>
      <c r="D769" s="2">
        <v>18</v>
      </c>
      <c r="E769" s="3">
        <v>96123</v>
      </c>
      <c r="F769" s="2" t="s">
        <v>32</v>
      </c>
      <c r="G769" s="2" t="s">
        <v>18</v>
      </c>
    </row>
    <row r="770" spans="1:7">
      <c r="A770" s="2">
        <v>769</v>
      </c>
      <c r="B770" s="2" t="s">
        <v>27</v>
      </c>
      <c r="C770" s="2" t="s">
        <v>12</v>
      </c>
      <c r="D770" s="2">
        <v>29</v>
      </c>
      <c r="E770" s="3">
        <v>99164</v>
      </c>
      <c r="F770" s="2" t="s">
        <v>25</v>
      </c>
      <c r="G770" s="2" t="s">
        <v>26</v>
      </c>
    </row>
    <row r="771" spans="1:7">
      <c r="A771" s="2">
        <v>770</v>
      </c>
      <c r="B771" s="2" t="s">
        <v>37</v>
      </c>
      <c r="C771" s="2" t="s">
        <v>12</v>
      </c>
      <c r="D771" s="2">
        <v>10</v>
      </c>
      <c r="E771" s="3">
        <v>50200</v>
      </c>
      <c r="F771" s="2" t="s">
        <v>17</v>
      </c>
      <c r="G771" s="2" t="s">
        <v>10</v>
      </c>
    </row>
    <row r="772" spans="1:7">
      <c r="A772" s="2">
        <v>771</v>
      </c>
      <c r="B772" s="2" t="s">
        <v>77</v>
      </c>
      <c r="C772" s="2" t="s">
        <v>16</v>
      </c>
      <c r="D772" s="2">
        <v>3</v>
      </c>
      <c r="E772" s="3">
        <v>88511</v>
      </c>
      <c r="F772" s="2" t="s">
        <v>13</v>
      </c>
      <c r="G772" s="2" t="s">
        <v>14</v>
      </c>
    </row>
    <row r="773" spans="1:7">
      <c r="A773" s="2">
        <v>772</v>
      </c>
      <c r="B773" s="2" t="s">
        <v>51</v>
      </c>
      <c r="C773" s="2" t="s">
        <v>16</v>
      </c>
      <c r="D773" s="2">
        <v>40</v>
      </c>
      <c r="E773" s="3">
        <v>90910</v>
      </c>
      <c r="F773" s="2" t="s">
        <v>25</v>
      </c>
      <c r="G773" s="2" t="s">
        <v>26</v>
      </c>
    </row>
    <row r="774" spans="1:7">
      <c r="A774" s="2">
        <v>773</v>
      </c>
      <c r="B774" s="2" t="s">
        <v>57</v>
      </c>
      <c r="C774" s="2" t="s">
        <v>8</v>
      </c>
      <c r="D774" s="2">
        <v>40</v>
      </c>
      <c r="E774" s="3">
        <v>46021</v>
      </c>
      <c r="F774" s="2" t="s">
        <v>20</v>
      </c>
      <c r="G774" s="2" t="s">
        <v>26</v>
      </c>
    </row>
    <row r="775" spans="1:7">
      <c r="A775" s="2">
        <v>774</v>
      </c>
      <c r="B775" s="2" t="s">
        <v>68</v>
      </c>
      <c r="C775" s="2" t="s">
        <v>22</v>
      </c>
      <c r="D775" s="2">
        <v>40</v>
      </c>
      <c r="E775" s="3">
        <v>84997</v>
      </c>
      <c r="F775" s="2" t="s">
        <v>13</v>
      </c>
      <c r="G775" s="2" t="s">
        <v>18</v>
      </c>
    </row>
    <row r="776" spans="1:7">
      <c r="A776" s="2">
        <v>775</v>
      </c>
      <c r="B776" s="2" t="s">
        <v>64</v>
      </c>
      <c r="C776" s="2" t="s">
        <v>22</v>
      </c>
      <c r="D776" s="2">
        <v>16</v>
      </c>
      <c r="E776" s="3">
        <v>86754</v>
      </c>
      <c r="F776" s="2" t="s">
        <v>32</v>
      </c>
      <c r="G776" s="2" t="s">
        <v>10</v>
      </c>
    </row>
    <row r="777" spans="1:7">
      <c r="A777" s="2">
        <v>776</v>
      </c>
      <c r="B777" s="2" t="s">
        <v>42</v>
      </c>
      <c r="C777" s="2" t="s">
        <v>22</v>
      </c>
      <c r="D777" s="2">
        <v>42</v>
      </c>
      <c r="E777" s="3">
        <v>44478</v>
      </c>
      <c r="F777" s="2" t="s">
        <v>13</v>
      </c>
      <c r="G777" s="2" t="s">
        <v>14</v>
      </c>
    </row>
    <row r="778" spans="1:7">
      <c r="A778" s="2">
        <v>777</v>
      </c>
      <c r="B778" s="2" t="s">
        <v>84</v>
      </c>
      <c r="C778" s="2" t="s">
        <v>12</v>
      </c>
      <c r="D778" s="2">
        <v>19</v>
      </c>
      <c r="E778" s="3">
        <v>35609</v>
      </c>
      <c r="F778" s="2" t="s">
        <v>32</v>
      </c>
      <c r="G778" s="2" t="s">
        <v>26</v>
      </c>
    </row>
    <row r="779" spans="1:7">
      <c r="A779" s="2">
        <v>778</v>
      </c>
      <c r="B779" s="2" t="s">
        <v>62</v>
      </c>
      <c r="C779" s="2" t="s">
        <v>12</v>
      </c>
      <c r="D779" s="2">
        <v>32</v>
      </c>
      <c r="E779" s="3">
        <v>96930</v>
      </c>
      <c r="F779" s="2" t="s">
        <v>25</v>
      </c>
      <c r="G779" s="2" t="s">
        <v>10</v>
      </c>
    </row>
    <row r="780" spans="1:7">
      <c r="A780" s="2">
        <v>779</v>
      </c>
      <c r="B780" s="2" t="s">
        <v>90</v>
      </c>
      <c r="C780" s="2" t="s">
        <v>12</v>
      </c>
      <c r="D780" s="2">
        <v>27</v>
      </c>
      <c r="E780" s="3">
        <v>61213</v>
      </c>
      <c r="F780" s="2" t="s">
        <v>13</v>
      </c>
      <c r="G780" s="2" t="s">
        <v>26</v>
      </c>
    </row>
    <row r="781" spans="1:7">
      <c r="A781" s="2">
        <v>780</v>
      </c>
      <c r="B781" s="2" t="s">
        <v>75</v>
      </c>
      <c r="C781" s="2" t="s">
        <v>12</v>
      </c>
      <c r="D781" s="2">
        <v>36</v>
      </c>
      <c r="E781" s="3">
        <v>65961</v>
      </c>
      <c r="F781" s="2" t="s">
        <v>28</v>
      </c>
      <c r="G781" s="2" t="s">
        <v>29</v>
      </c>
    </row>
    <row r="782" spans="1:7">
      <c r="A782" s="2">
        <v>781</v>
      </c>
      <c r="B782" s="2" t="s">
        <v>63</v>
      </c>
      <c r="C782" s="2" t="s">
        <v>22</v>
      </c>
      <c r="D782" s="2">
        <v>31</v>
      </c>
      <c r="E782" s="3">
        <v>77289</v>
      </c>
      <c r="F782" s="2" t="s">
        <v>17</v>
      </c>
      <c r="G782" s="2" t="s">
        <v>29</v>
      </c>
    </row>
    <row r="783" spans="1:7">
      <c r="A783" s="2">
        <v>782</v>
      </c>
      <c r="B783" s="2" t="s">
        <v>15</v>
      </c>
      <c r="C783" s="2" t="s">
        <v>22</v>
      </c>
      <c r="D783" s="2">
        <v>4</v>
      </c>
      <c r="E783" s="3">
        <v>68813</v>
      </c>
      <c r="F783" s="2" t="s">
        <v>9</v>
      </c>
      <c r="G783" s="2" t="s">
        <v>14</v>
      </c>
    </row>
    <row r="784" spans="1:7">
      <c r="A784" s="2">
        <v>783</v>
      </c>
      <c r="B784" s="2" t="s">
        <v>60</v>
      </c>
      <c r="C784" s="2" t="s">
        <v>16</v>
      </c>
      <c r="D784" s="2">
        <v>6</v>
      </c>
      <c r="E784" s="3">
        <v>38907</v>
      </c>
      <c r="F784" s="2" t="s">
        <v>25</v>
      </c>
      <c r="G784" s="2" t="s">
        <v>29</v>
      </c>
    </row>
    <row r="785" spans="1:7">
      <c r="A785" s="2">
        <v>784</v>
      </c>
      <c r="B785" s="2" t="s">
        <v>80</v>
      </c>
      <c r="C785" s="2" t="s">
        <v>22</v>
      </c>
      <c r="D785" s="2">
        <v>18</v>
      </c>
      <c r="E785" s="3">
        <v>90778</v>
      </c>
      <c r="F785" s="2" t="s">
        <v>32</v>
      </c>
      <c r="G785" s="2" t="s">
        <v>14</v>
      </c>
    </row>
    <row r="786" spans="1:7">
      <c r="A786" s="2">
        <v>785</v>
      </c>
      <c r="B786" s="2" t="s">
        <v>15</v>
      </c>
      <c r="C786" s="2" t="s">
        <v>12</v>
      </c>
      <c r="D786" s="2">
        <v>25</v>
      </c>
      <c r="E786" s="3">
        <v>59575</v>
      </c>
      <c r="F786" s="2" t="s">
        <v>25</v>
      </c>
      <c r="G786" s="2" t="s">
        <v>26</v>
      </c>
    </row>
    <row r="787" spans="1:7">
      <c r="A787" s="2">
        <v>786</v>
      </c>
      <c r="B787" s="2" t="s">
        <v>64</v>
      </c>
      <c r="C787" s="2" t="s">
        <v>12</v>
      </c>
      <c r="D787" s="2">
        <v>9</v>
      </c>
      <c r="E787" s="3">
        <v>35052</v>
      </c>
      <c r="F787" s="2" t="s">
        <v>32</v>
      </c>
      <c r="G787" s="2" t="s">
        <v>23</v>
      </c>
    </row>
    <row r="788" spans="1:7">
      <c r="A788" s="2">
        <v>787</v>
      </c>
      <c r="B788" s="2" t="s">
        <v>48</v>
      </c>
      <c r="C788" s="2" t="s">
        <v>8</v>
      </c>
      <c r="D788" s="2">
        <v>27</v>
      </c>
      <c r="E788" s="3">
        <v>75899</v>
      </c>
      <c r="F788" s="2" t="s">
        <v>25</v>
      </c>
      <c r="G788" s="2" t="s">
        <v>29</v>
      </c>
    </row>
    <row r="789" spans="1:7">
      <c r="A789" s="2">
        <v>788</v>
      </c>
      <c r="B789" s="2" t="s">
        <v>83</v>
      </c>
      <c r="C789" s="2" t="s">
        <v>22</v>
      </c>
      <c r="D789" s="2">
        <v>13</v>
      </c>
      <c r="E789" s="3">
        <v>72061</v>
      </c>
      <c r="F789" s="2" t="s">
        <v>28</v>
      </c>
      <c r="G789" s="2" t="s">
        <v>10</v>
      </c>
    </row>
    <row r="790" spans="1:7">
      <c r="A790" s="2">
        <v>789</v>
      </c>
      <c r="B790" s="2" t="s">
        <v>49</v>
      </c>
      <c r="C790" s="2" t="s">
        <v>22</v>
      </c>
      <c r="D790" s="2">
        <v>42</v>
      </c>
      <c r="E790" s="3">
        <v>82701</v>
      </c>
      <c r="F790" s="2" t="s">
        <v>25</v>
      </c>
      <c r="G790" s="2" t="s">
        <v>10</v>
      </c>
    </row>
    <row r="791" spans="1:7">
      <c r="A791" s="2">
        <v>790</v>
      </c>
      <c r="B791" s="2" t="s">
        <v>89</v>
      </c>
      <c r="C791" s="2" t="s">
        <v>16</v>
      </c>
      <c r="D791" s="2">
        <v>34</v>
      </c>
      <c r="E791" s="3">
        <v>55374</v>
      </c>
      <c r="F791" s="2" t="s">
        <v>13</v>
      </c>
      <c r="G791" s="2" t="s">
        <v>14</v>
      </c>
    </row>
    <row r="792" spans="1:7">
      <c r="A792" s="2">
        <v>791</v>
      </c>
      <c r="B792" s="2" t="s">
        <v>39</v>
      </c>
      <c r="C792" s="2" t="s">
        <v>16</v>
      </c>
      <c r="D792" s="2">
        <v>16</v>
      </c>
      <c r="E792" s="3">
        <v>63101</v>
      </c>
      <c r="F792" s="2" t="s">
        <v>25</v>
      </c>
      <c r="G792" s="2" t="s">
        <v>23</v>
      </c>
    </row>
    <row r="793" spans="1:7">
      <c r="A793" s="2">
        <v>792</v>
      </c>
      <c r="B793" s="2" t="s">
        <v>50</v>
      </c>
      <c r="C793" s="2" t="s">
        <v>12</v>
      </c>
      <c r="D793" s="2">
        <v>41</v>
      </c>
      <c r="E793" s="3">
        <v>65929</v>
      </c>
      <c r="F793" s="2" t="s">
        <v>25</v>
      </c>
      <c r="G793" s="2" t="s">
        <v>26</v>
      </c>
    </row>
    <row r="794" spans="1:7">
      <c r="A794" s="2">
        <v>793</v>
      </c>
      <c r="B794" s="2" t="s">
        <v>49</v>
      </c>
      <c r="C794" s="2" t="s">
        <v>8</v>
      </c>
      <c r="D794" s="2">
        <v>35</v>
      </c>
      <c r="E794" s="3">
        <v>31619</v>
      </c>
      <c r="F794" s="2" t="s">
        <v>17</v>
      </c>
      <c r="G794" s="2" t="s">
        <v>18</v>
      </c>
    </row>
    <row r="795" spans="1:7">
      <c r="A795" s="2">
        <v>794</v>
      </c>
      <c r="B795" s="2" t="s">
        <v>11</v>
      </c>
      <c r="C795" s="2" t="s">
        <v>22</v>
      </c>
      <c r="D795" s="2">
        <v>2</v>
      </c>
      <c r="E795" s="3">
        <v>49425</v>
      </c>
      <c r="F795" s="2" t="s">
        <v>20</v>
      </c>
      <c r="G795" s="2" t="s">
        <v>10</v>
      </c>
    </row>
    <row r="796" spans="1:7">
      <c r="A796" s="2">
        <v>795</v>
      </c>
      <c r="B796" s="2" t="s">
        <v>76</v>
      </c>
      <c r="C796" s="2" t="s">
        <v>22</v>
      </c>
      <c r="D796" s="2">
        <v>25</v>
      </c>
      <c r="E796" s="3">
        <v>49290</v>
      </c>
      <c r="F796" s="2" t="s">
        <v>20</v>
      </c>
      <c r="G796" s="2" t="s">
        <v>23</v>
      </c>
    </row>
    <row r="797" spans="1:7">
      <c r="A797" s="2">
        <v>796</v>
      </c>
      <c r="B797" s="2" t="s">
        <v>39</v>
      </c>
      <c r="C797" s="2" t="s">
        <v>8</v>
      </c>
      <c r="D797" s="2">
        <v>46</v>
      </c>
      <c r="E797" s="3">
        <v>86096</v>
      </c>
      <c r="F797" s="2" t="s">
        <v>25</v>
      </c>
      <c r="G797" s="2" t="s">
        <v>10</v>
      </c>
    </row>
    <row r="798" spans="1:7">
      <c r="A798" s="2">
        <v>797</v>
      </c>
      <c r="B798" s="2" t="s">
        <v>49</v>
      </c>
      <c r="C798" s="2" t="s">
        <v>22</v>
      </c>
      <c r="D798" s="2">
        <v>23</v>
      </c>
      <c r="E798" s="3">
        <v>62268</v>
      </c>
      <c r="F798" s="2" t="s">
        <v>17</v>
      </c>
      <c r="G798" s="2" t="s">
        <v>14</v>
      </c>
    </row>
    <row r="799" spans="1:7">
      <c r="A799" s="2">
        <v>798</v>
      </c>
      <c r="B799" s="2" t="s">
        <v>24</v>
      </c>
      <c r="C799" s="2" t="s">
        <v>16</v>
      </c>
      <c r="D799" s="2">
        <v>31</v>
      </c>
      <c r="E799" s="3">
        <v>74197</v>
      </c>
      <c r="F799" s="2" t="s">
        <v>25</v>
      </c>
      <c r="G799" s="2" t="s">
        <v>14</v>
      </c>
    </row>
    <row r="800" spans="1:7">
      <c r="A800" s="2">
        <v>799</v>
      </c>
      <c r="B800" s="2" t="s">
        <v>88</v>
      </c>
      <c r="C800" s="2" t="s">
        <v>8</v>
      </c>
      <c r="D800" s="2">
        <v>35</v>
      </c>
      <c r="E800" s="3">
        <v>30403</v>
      </c>
      <c r="F800" s="2" t="s">
        <v>38</v>
      </c>
      <c r="G800" s="2" t="s">
        <v>18</v>
      </c>
    </row>
    <row r="801" spans="1:7">
      <c r="A801" s="2">
        <v>800</v>
      </c>
      <c r="B801" s="2" t="s">
        <v>60</v>
      </c>
      <c r="C801" s="2" t="s">
        <v>22</v>
      </c>
      <c r="D801" s="2">
        <v>32</v>
      </c>
      <c r="E801" s="3">
        <v>29073</v>
      </c>
      <c r="F801" s="2" t="s">
        <v>17</v>
      </c>
      <c r="G801" s="2" t="s">
        <v>14</v>
      </c>
    </row>
    <row r="802" spans="1:7">
      <c r="A802" s="2">
        <v>801</v>
      </c>
      <c r="B802" s="2" t="s">
        <v>36</v>
      </c>
      <c r="C802" s="2" t="s">
        <v>16</v>
      </c>
      <c r="D802" s="2">
        <v>23</v>
      </c>
      <c r="E802" s="3">
        <v>44905</v>
      </c>
      <c r="F802" s="2" t="s">
        <v>13</v>
      </c>
      <c r="G802" s="2" t="s">
        <v>18</v>
      </c>
    </row>
    <row r="803" spans="1:7">
      <c r="A803" s="2">
        <v>802</v>
      </c>
      <c r="B803" s="2" t="s">
        <v>71</v>
      </c>
      <c r="C803" s="2" t="s">
        <v>16</v>
      </c>
      <c r="D803" s="2">
        <v>37</v>
      </c>
      <c r="E803" s="3">
        <v>28832</v>
      </c>
      <c r="F803" s="2" t="s">
        <v>13</v>
      </c>
      <c r="G803" s="2" t="s">
        <v>26</v>
      </c>
    </row>
    <row r="804" spans="1:7">
      <c r="A804" s="2">
        <v>803</v>
      </c>
      <c r="B804" s="2" t="s">
        <v>70</v>
      </c>
      <c r="C804" s="2" t="s">
        <v>12</v>
      </c>
      <c r="D804" s="2">
        <v>33</v>
      </c>
      <c r="E804" s="3">
        <v>40615</v>
      </c>
      <c r="F804" s="2" t="s">
        <v>28</v>
      </c>
      <c r="G804" s="2" t="s">
        <v>14</v>
      </c>
    </row>
    <row r="805" spans="1:7">
      <c r="A805" s="2">
        <v>804</v>
      </c>
      <c r="B805" s="2" t="s">
        <v>88</v>
      </c>
      <c r="C805" s="2" t="s">
        <v>22</v>
      </c>
      <c r="D805" s="2">
        <v>21</v>
      </c>
      <c r="E805" s="3">
        <v>63664</v>
      </c>
      <c r="F805" s="2" t="s">
        <v>9</v>
      </c>
      <c r="G805" s="2" t="s">
        <v>10</v>
      </c>
    </row>
    <row r="806" spans="1:7">
      <c r="A806" s="2">
        <v>805</v>
      </c>
      <c r="B806" s="2" t="s">
        <v>73</v>
      </c>
      <c r="C806" s="2" t="s">
        <v>8</v>
      </c>
      <c r="D806" s="2">
        <v>25</v>
      </c>
      <c r="E806" s="3">
        <v>78287</v>
      </c>
      <c r="F806" s="2" t="s">
        <v>28</v>
      </c>
      <c r="G806" s="2" t="s">
        <v>14</v>
      </c>
    </row>
    <row r="807" spans="1:7">
      <c r="A807" s="2">
        <v>806</v>
      </c>
      <c r="B807" s="2" t="s">
        <v>78</v>
      </c>
      <c r="C807" s="2" t="s">
        <v>16</v>
      </c>
      <c r="D807" s="2">
        <v>18</v>
      </c>
      <c r="E807" s="3">
        <v>43613</v>
      </c>
      <c r="F807" s="2" t="s">
        <v>25</v>
      </c>
      <c r="G807" s="2" t="s">
        <v>29</v>
      </c>
    </row>
    <row r="808" spans="1:7">
      <c r="A808" s="2">
        <v>807</v>
      </c>
      <c r="B808" s="2" t="s">
        <v>67</v>
      </c>
      <c r="C808" s="2" t="s">
        <v>16</v>
      </c>
      <c r="D808" s="2">
        <v>12</v>
      </c>
      <c r="E808" s="3">
        <v>82035</v>
      </c>
      <c r="F808" s="2" t="s">
        <v>32</v>
      </c>
      <c r="G808" s="2" t="s">
        <v>26</v>
      </c>
    </row>
    <row r="809" spans="1:7">
      <c r="A809" s="2">
        <v>808</v>
      </c>
      <c r="B809" s="2" t="s">
        <v>68</v>
      </c>
      <c r="C809" s="2" t="s">
        <v>12</v>
      </c>
      <c r="D809" s="2">
        <v>2</v>
      </c>
      <c r="E809" s="3">
        <v>82337</v>
      </c>
      <c r="F809" s="2" t="s">
        <v>20</v>
      </c>
      <c r="G809" s="2" t="s">
        <v>26</v>
      </c>
    </row>
    <row r="810" spans="1:7">
      <c r="A810" s="2">
        <v>809</v>
      </c>
      <c r="B810" s="2" t="s">
        <v>76</v>
      </c>
      <c r="C810" s="2" t="s">
        <v>8</v>
      </c>
      <c r="D810" s="2">
        <v>21</v>
      </c>
      <c r="E810" s="3">
        <v>46921</v>
      </c>
      <c r="F810" s="2" t="s">
        <v>25</v>
      </c>
      <c r="G810" s="2" t="s">
        <v>23</v>
      </c>
    </row>
    <row r="811" spans="1:7">
      <c r="A811" s="2">
        <v>810</v>
      </c>
      <c r="B811" s="2" t="s">
        <v>70</v>
      </c>
      <c r="C811" s="2" t="s">
        <v>12</v>
      </c>
      <c r="D811" s="2">
        <v>39</v>
      </c>
      <c r="E811" s="3">
        <v>49551</v>
      </c>
      <c r="F811" s="2" t="s">
        <v>25</v>
      </c>
      <c r="G811" s="2" t="s">
        <v>10</v>
      </c>
    </row>
    <row r="812" spans="1:7">
      <c r="A812" s="2">
        <v>811</v>
      </c>
      <c r="B812" s="2" t="s">
        <v>78</v>
      </c>
      <c r="C812" s="2" t="s">
        <v>16</v>
      </c>
      <c r="D812" s="2">
        <v>15</v>
      </c>
      <c r="E812" s="3">
        <v>90782</v>
      </c>
      <c r="F812" s="2" t="s">
        <v>38</v>
      </c>
      <c r="G812" s="2" t="s">
        <v>26</v>
      </c>
    </row>
    <row r="813" spans="1:7">
      <c r="A813" s="2">
        <v>812</v>
      </c>
      <c r="B813" s="2" t="s">
        <v>58</v>
      </c>
      <c r="C813" s="2" t="s">
        <v>22</v>
      </c>
      <c r="D813" s="2">
        <v>2</v>
      </c>
      <c r="E813" s="3">
        <v>78256</v>
      </c>
      <c r="F813" s="2" t="s">
        <v>28</v>
      </c>
      <c r="G813" s="2" t="s">
        <v>23</v>
      </c>
    </row>
    <row r="814" spans="1:7">
      <c r="A814" s="2">
        <v>813</v>
      </c>
      <c r="B814" s="2" t="s">
        <v>7</v>
      </c>
      <c r="C814" s="2" t="s">
        <v>8</v>
      </c>
      <c r="D814" s="2">
        <v>50</v>
      </c>
      <c r="E814" s="3">
        <v>52545</v>
      </c>
      <c r="F814" s="2" t="s">
        <v>32</v>
      </c>
      <c r="G814" s="2" t="s">
        <v>29</v>
      </c>
    </row>
    <row r="815" spans="1:7">
      <c r="A815" s="2">
        <v>814</v>
      </c>
      <c r="B815" s="2" t="s">
        <v>59</v>
      </c>
      <c r="C815" s="2" t="s">
        <v>22</v>
      </c>
      <c r="D815" s="2">
        <v>18</v>
      </c>
      <c r="E815" s="3">
        <v>39124</v>
      </c>
      <c r="F815" s="2" t="s">
        <v>32</v>
      </c>
      <c r="G815" s="2" t="s">
        <v>26</v>
      </c>
    </row>
    <row r="816" spans="1:7">
      <c r="A816" s="2">
        <v>815</v>
      </c>
      <c r="B816" s="2" t="s">
        <v>56</v>
      </c>
      <c r="C816" s="2" t="s">
        <v>22</v>
      </c>
      <c r="D816" s="2">
        <v>4</v>
      </c>
      <c r="E816" s="3">
        <v>61756</v>
      </c>
      <c r="F816" s="2" t="s">
        <v>32</v>
      </c>
      <c r="G816" s="2" t="s">
        <v>23</v>
      </c>
    </row>
    <row r="817" spans="1:7">
      <c r="A817" s="2">
        <v>816</v>
      </c>
      <c r="B817" s="2" t="s">
        <v>60</v>
      </c>
      <c r="C817" s="2" t="s">
        <v>12</v>
      </c>
      <c r="D817" s="2">
        <v>31</v>
      </c>
      <c r="E817" s="3">
        <v>91466</v>
      </c>
      <c r="F817" s="2" t="s">
        <v>38</v>
      </c>
      <c r="G817" s="2" t="s">
        <v>29</v>
      </c>
    </row>
    <row r="818" spans="1:7">
      <c r="A818" s="2">
        <v>817</v>
      </c>
      <c r="B818" s="2" t="s">
        <v>33</v>
      </c>
      <c r="C818" s="2" t="s">
        <v>16</v>
      </c>
      <c r="D818" s="2">
        <v>34</v>
      </c>
      <c r="E818" s="3">
        <v>45030</v>
      </c>
      <c r="F818" s="2" t="s">
        <v>17</v>
      </c>
      <c r="G818" s="2" t="s">
        <v>14</v>
      </c>
    </row>
    <row r="819" spans="1:7">
      <c r="A819" s="2">
        <v>818</v>
      </c>
      <c r="B819" s="2" t="s">
        <v>85</v>
      </c>
      <c r="C819" s="2" t="s">
        <v>22</v>
      </c>
      <c r="D819" s="2">
        <v>23</v>
      </c>
      <c r="E819" s="3">
        <v>71010</v>
      </c>
      <c r="F819" s="2" t="s">
        <v>20</v>
      </c>
      <c r="G819" s="2" t="s">
        <v>14</v>
      </c>
    </row>
    <row r="820" spans="1:7">
      <c r="A820" s="2">
        <v>819</v>
      </c>
      <c r="B820" s="2" t="s">
        <v>68</v>
      </c>
      <c r="C820" s="2" t="s">
        <v>8</v>
      </c>
      <c r="D820" s="2">
        <v>50</v>
      </c>
      <c r="E820" s="3">
        <v>83941</v>
      </c>
      <c r="F820" s="2" t="s">
        <v>9</v>
      </c>
      <c r="G820" s="2" t="s">
        <v>26</v>
      </c>
    </row>
    <row r="821" spans="1:7">
      <c r="A821" s="2">
        <v>820</v>
      </c>
      <c r="B821" s="2" t="s">
        <v>83</v>
      </c>
      <c r="C821" s="2" t="s">
        <v>12</v>
      </c>
      <c r="D821" s="2">
        <v>38</v>
      </c>
      <c r="E821" s="3">
        <v>51857</v>
      </c>
      <c r="F821" s="2" t="s">
        <v>25</v>
      </c>
      <c r="G821" s="2" t="s">
        <v>29</v>
      </c>
    </row>
    <row r="822" spans="1:7">
      <c r="A822" s="2">
        <v>821</v>
      </c>
      <c r="B822" s="2" t="s">
        <v>54</v>
      </c>
      <c r="C822" s="2" t="s">
        <v>8</v>
      </c>
      <c r="D822" s="2">
        <v>15</v>
      </c>
      <c r="E822" s="3">
        <v>61464</v>
      </c>
      <c r="F822" s="2" t="s">
        <v>9</v>
      </c>
      <c r="G822" s="2" t="s">
        <v>10</v>
      </c>
    </row>
    <row r="823" spans="1:7">
      <c r="A823" s="2">
        <v>822</v>
      </c>
      <c r="B823" s="2" t="s">
        <v>62</v>
      </c>
      <c r="C823" s="2" t="s">
        <v>22</v>
      </c>
      <c r="D823" s="2">
        <v>11</v>
      </c>
      <c r="E823" s="3">
        <v>70215</v>
      </c>
      <c r="F823" s="2" t="s">
        <v>17</v>
      </c>
      <c r="G823" s="2" t="s">
        <v>26</v>
      </c>
    </row>
    <row r="824" spans="1:7">
      <c r="A824" s="2">
        <v>823</v>
      </c>
      <c r="B824" s="2" t="s">
        <v>7</v>
      </c>
      <c r="C824" s="2" t="s">
        <v>8</v>
      </c>
      <c r="D824" s="2">
        <v>7</v>
      </c>
      <c r="E824" s="3">
        <v>64931</v>
      </c>
      <c r="F824" s="2" t="s">
        <v>25</v>
      </c>
      <c r="G824" s="2" t="s">
        <v>14</v>
      </c>
    </row>
    <row r="825" spans="1:7">
      <c r="A825" s="2">
        <v>824</v>
      </c>
      <c r="B825" s="2" t="s">
        <v>42</v>
      </c>
      <c r="C825" s="2" t="s">
        <v>12</v>
      </c>
      <c r="D825" s="2">
        <v>16</v>
      </c>
      <c r="E825" s="3">
        <v>55840</v>
      </c>
      <c r="F825" s="2" t="s">
        <v>13</v>
      </c>
      <c r="G825" s="2" t="s">
        <v>10</v>
      </c>
    </row>
    <row r="826" spans="1:7">
      <c r="A826" s="2">
        <v>825</v>
      </c>
      <c r="B826" s="2" t="s">
        <v>65</v>
      </c>
      <c r="C826" s="2" t="s">
        <v>12</v>
      </c>
      <c r="D826" s="2">
        <v>43</v>
      </c>
      <c r="E826" s="3">
        <v>35956</v>
      </c>
      <c r="F826" s="2" t="s">
        <v>9</v>
      </c>
      <c r="G826" s="2" t="s">
        <v>23</v>
      </c>
    </row>
    <row r="827" spans="1:7">
      <c r="A827" s="2">
        <v>826</v>
      </c>
      <c r="B827" s="2" t="s">
        <v>75</v>
      </c>
      <c r="C827" s="2" t="s">
        <v>16</v>
      </c>
      <c r="D827" s="2">
        <v>16</v>
      </c>
      <c r="E827" s="3">
        <v>71884</v>
      </c>
      <c r="F827" s="2" t="s">
        <v>9</v>
      </c>
      <c r="G827" s="2" t="s">
        <v>14</v>
      </c>
    </row>
    <row r="828" spans="1:7">
      <c r="A828" s="2">
        <v>827</v>
      </c>
      <c r="B828" s="2" t="s">
        <v>74</v>
      </c>
      <c r="C828" s="2" t="s">
        <v>8</v>
      </c>
      <c r="D828" s="2">
        <v>18</v>
      </c>
      <c r="E828" s="3">
        <v>42087</v>
      </c>
      <c r="F828" s="2" t="s">
        <v>25</v>
      </c>
      <c r="G828" s="2" t="s">
        <v>29</v>
      </c>
    </row>
    <row r="829" spans="1:7">
      <c r="A829" s="2">
        <v>828</v>
      </c>
      <c r="B829" s="2" t="s">
        <v>33</v>
      </c>
      <c r="C829" s="2" t="s">
        <v>12</v>
      </c>
      <c r="D829" s="2">
        <v>35</v>
      </c>
      <c r="E829" s="3">
        <v>34601</v>
      </c>
      <c r="F829" s="2" t="s">
        <v>25</v>
      </c>
      <c r="G829" s="2" t="s">
        <v>26</v>
      </c>
    </row>
    <row r="830" spans="1:7">
      <c r="A830" s="2">
        <v>829</v>
      </c>
      <c r="B830" s="2" t="s">
        <v>63</v>
      </c>
      <c r="C830" s="2" t="s">
        <v>12</v>
      </c>
      <c r="D830" s="2">
        <v>48</v>
      </c>
      <c r="E830" s="3">
        <v>33400</v>
      </c>
      <c r="F830" s="2" t="s">
        <v>32</v>
      </c>
      <c r="G830" s="2" t="s">
        <v>26</v>
      </c>
    </row>
    <row r="831" spans="1:7">
      <c r="A831" s="2">
        <v>830</v>
      </c>
      <c r="B831" s="2" t="s">
        <v>33</v>
      </c>
      <c r="C831" s="2" t="s">
        <v>16</v>
      </c>
      <c r="D831" s="2">
        <v>4</v>
      </c>
      <c r="E831" s="3">
        <v>76499</v>
      </c>
      <c r="F831" s="2" t="s">
        <v>32</v>
      </c>
      <c r="G831" s="2" t="s">
        <v>29</v>
      </c>
    </row>
    <row r="832" spans="1:7">
      <c r="A832" s="2">
        <v>831</v>
      </c>
      <c r="B832" s="2" t="s">
        <v>42</v>
      </c>
      <c r="C832" s="2" t="s">
        <v>12</v>
      </c>
      <c r="D832" s="2">
        <v>49</v>
      </c>
      <c r="E832" s="3">
        <v>40602</v>
      </c>
      <c r="F832" s="2" t="s">
        <v>38</v>
      </c>
      <c r="G832" s="2" t="s">
        <v>14</v>
      </c>
    </row>
    <row r="833" spans="1:7">
      <c r="A833" s="2">
        <v>832</v>
      </c>
      <c r="B833" s="2" t="s">
        <v>30</v>
      </c>
      <c r="C833" s="2" t="s">
        <v>22</v>
      </c>
      <c r="D833" s="2">
        <v>15</v>
      </c>
      <c r="E833" s="3">
        <v>72557</v>
      </c>
      <c r="F833" s="2" t="s">
        <v>13</v>
      </c>
      <c r="G833" s="2" t="s">
        <v>29</v>
      </c>
    </row>
    <row r="834" spans="1:7">
      <c r="A834" s="2">
        <v>833</v>
      </c>
      <c r="B834" s="2" t="s">
        <v>34</v>
      </c>
      <c r="C834" s="2" t="s">
        <v>8</v>
      </c>
      <c r="D834" s="2">
        <v>37</v>
      </c>
      <c r="E834" s="3">
        <v>56658</v>
      </c>
      <c r="F834" s="2" t="s">
        <v>38</v>
      </c>
      <c r="G834" s="2" t="s">
        <v>26</v>
      </c>
    </row>
    <row r="835" spans="1:7">
      <c r="A835" s="2">
        <v>834</v>
      </c>
      <c r="B835" s="2" t="s">
        <v>88</v>
      </c>
      <c r="C835" s="2" t="s">
        <v>16</v>
      </c>
      <c r="D835" s="2">
        <v>25</v>
      </c>
      <c r="E835" s="3">
        <v>82009</v>
      </c>
      <c r="F835" s="2" t="s">
        <v>28</v>
      </c>
      <c r="G835" s="2" t="s">
        <v>14</v>
      </c>
    </row>
    <row r="836" spans="1:7">
      <c r="A836" s="2">
        <v>835</v>
      </c>
      <c r="B836" s="2" t="s">
        <v>88</v>
      </c>
      <c r="C836" s="2" t="s">
        <v>22</v>
      </c>
      <c r="D836" s="2">
        <v>23</v>
      </c>
      <c r="E836" s="3">
        <v>41515</v>
      </c>
      <c r="F836" s="2" t="s">
        <v>13</v>
      </c>
      <c r="G836" s="2" t="s">
        <v>18</v>
      </c>
    </row>
    <row r="837" spans="1:7">
      <c r="A837" s="2">
        <v>836</v>
      </c>
      <c r="B837" s="2" t="s">
        <v>70</v>
      </c>
      <c r="C837" s="2" t="s">
        <v>22</v>
      </c>
      <c r="D837" s="2">
        <v>12</v>
      </c>
      <c r="E837" s="3">
        <v>61309</v>
      </c>
      <c r="F837" s="2" t="s">
        <v>32</v>
      </c>
      <c r="G837" s="2" t="s">
        <v>14</v>
      </c>
    </row>
    <row r="838" spans="1:7">
      <c r="A838" s="2">
        <v>837</v>
      </c>
      <c r="B838" s="2" t="s">
        <v>33</v>
      </c>
      <c r="C838" s="2" t="s">
        <v>8</v>
      </c>
      <c r="D838" s="2">
        <v>12</v>
      </c>
      <c r="E838" s="3">
        <v>69282</v>
      </c>
      <c r="F838" s="2" t="s">
        <v>32</v>
      </c>
      <c r="G838" s="2" t="s">
        <v>10</v>
      </c>
    </row>
    <row r="839" spans="1:7">
      <c r="A839" s="2">
        <v>838</v>
      </c>
      <c r="B839" s="2" t="s">
        <v>79</v>
      </c>
      <c r="C839" s="2" t="s">
        <v>16</v>
      </c>
      <c r="D839" s="2">
        <v>16</v>
      </c>
      <c r="E839" s="3">
        <v>94534</v>
      </c>
      <c r="F839" s="2" t="s">
        <v>32</v>
      </c>
      <c r="G839" s="2" t="s">
        <v>23</v>
      </c>
    </row>
    <row r="840" spans="1:7">
      <c r="A840" s="2">
        <v>839</v>
      </c>
      <c r="B840" s="2" t="s">
        <v>15</v>
      </c>
      <c r="C840" s="2" t="s">
        <v>12</v>
      </c>
      <c r="D840" s="2">
        <v>38</v>
      </c>
      <c r="E840" s="3">
        <v>97526</v>
      </c>
      <c r="F840" s="2" t="s">
        <v>20</v>
      </c>
      <c r="G840" s="2" t="s">
        <v>29</v>
      </c>
    </row>
    <row r="841" spans="1:7">
      <c r="A841" s="2">
        <v>840</v>
      </c>
      <c r="B841" s="2" t="s">
        <v>90</v>
      </c>
      <c r="C841" s="2" t="s">
        <v>16</v>
      </c>
      <c r="D841" s="2">
        <v>21</v>
      </c>
      <c r="E841" s="3">
        <v>36028</v>
      </c>
      <c r="F841" s="2" t="s">
        <v>25</v>
      </c>
      <c r="G841" s="2" t="s">
        <v>23</v>
      </c>
    </row>
    <row r="842" spans="1:7">
      <c r="A842" s="2">
        <v>841</v>
      </c>
      <c r="B842" s="2" t="s">
        <v>71</v>
      </c>
      <c r="C842" s="2" t="s">
        <v>12</v>
      </c>
      <c r="D842" s="2">
        <v>48</v>
      </c>
      <c r="E842" s="3">
        <v>84645</v>
      </c>
      <c r="F842" s="2" t="s">
        <v>9</v>
      </c>
      <c r="G842" s="2" t="s">
        <v>14</v>
      </c>
    </row>
    <row r="843" spans="1:7">
      <c r="A843" s="2">
        <v>842</v>
      </c>
      <c r="B843" s="2" t="s">
        <v>36</v>
      </c>
      <c r="C843" s="2" t="s">
        <v>8</v>
      </c>
      <c r="D843" s="2">
        <v>45</v>
      </c>
      <c r="E843" s="3">
        <v>27846</v>
      </c>
      <c r="F843" s="2" t="s">
        <v>9</v>
      </c>
      <c r="G843" s="2" t="s">
        <v>14</v>
      </c>
    </row>
    <row r="844" spans="1:7">
      <c r="A844" s="2">
        <v>843</v>
      </c>
      <c r="B844" s="2" t="s">
        <v>54</v>
      </c>
      <c r="C844" s="2" t="s">
        <v>8</v>
      </c>
      <c r="D844" s="2">
        <v>23</v>
      </c>
      <c r="E844" s="3">
        <v>33076</v>
      </c>
      <c r="F844" s="2" t="s">
        <v>17</v>
      </c>
      <c r="G844" s="2" t="s">
        <v>14</v>
      </c>
    </row>
    <row r="845" spans="1:7">
      <c r="A845" s="2">
        <v>844</v>
      </c>
      <c r="B845" s="2" t="s">
        <v>7</v>
      </c>
      <c r="C845" s="2" t="s">
        <v>22</v>
      </c>
      <c r="D845" s="2">
        <v>38</v>
      </c>
      <c r="E845" s="3">
        <v>87993</v>
      </c>
      <c r="F845" s="2" t="s">
        <v>9</v>
      </c>
      <c r="G845" s="2" t="s">
        <v>10</v>
      </c>
    </row>
    <row r="846" spans="1:7">
      <c r="A846" s="2">
        <v>845</v>
      </c>
      <c r="B846" s="2" t="s">
        <v>42</v>
      </c>
      <c r="C846" s="2" t="s">
        <v>22</v>
      </c>
      <c r="D846" s="2">
        <v>2</v>
      </c>
      <c r="E846" s="3">
        <v>65998</v>
      </c>
      <c r="F846" s="2" t="s">
        <v>32</v>
      </c>
      <c r="G846" s="2" t="s">
        <v>23</v>
      </c>
    </row>
    <row r="847" spans="1:7">
      <c r="A847" s="2">
        <v>846</v>
      </c>
      <c r="B847" s="2" t="s">
        <v>21</v>
      </c>
      <c r="C847" s="2" t="s">
        <v>22</v>
      </c>
      <c r="D847" s="2">
        <v>46</v>
      </c>
      <c r="E847" s="3">
        <v>31641</v>
      </c>
      <c r="F847" s="2" t="s">
        <v>13</v>
      </c>
      <c r="G847" s="2" t="s">
        <v>23</v>
      </c>
    </row>
    <row r="848" spans="1:7">
      <c r="A848" s="2">
        <v>847</v>
      </c>
      <c r="B848" s="2" t="s">
        <v>49</v>
      </c>
      <c r="C848" s="2" t="s">
        <v>8</v>
      </c>
      <c r="D848" s="2">
        <v>45</v>
      </c>
      <c r="E848" s="3">
        <v>50629</v>
      </c>
      <c r="F848" s="2" t="s">
        <v>13</v>
      </c>
      <c r="G848" s="2" t="s">
        <v>29</v>
      </c>
    </row>
    <row r="849" spans="1:7">
      <c r="A849" s="2">
        <v>848</v>
      </c>
      <c r="B849" s="2" t="s">
        <v>31</v>
      </c>
      <c r="C849" s="2" t="s">
        <v>12</v>
      </c>
      <c r="D849" s="2">
        <v>23</v>
      </c>
      <c r="E849" s="3">
        <v>97702</v>
      </c>
      <c r="F849" s="2" t="s">
        <v>38</v>
      </c>
      <c r="G849" s="2" t="s">
        <v>14</v>
      </c>
    </row>
    <row r="850" spans="1:7">
      <c r="A850" s="2">
        <v>849</v>
      </c>
      <c r="B850" s="2" t="s">
        <v>72</v>
      </c>
      <c r="C850" s="2" t="s">
        <v>8</v>
      </c>
      <c r="D850" s="2">
        <v>37</v>
      </c>
      <c r="E850" s="3">
        <v>30605</v>
      </c>
      <c r="F850" s="2" t="s">
        <v>13</v>
      </c>
      <c r="G850" s="2" t="s">
        <v>29</v>
      </c>
    </row>
    <row r="851" spans="1:7">
      <c r="A851" s="2">
        <v>850</v>
      </c>
      <c r="B851" s="2" t="s">
        <v>42</v>
      </c>
      <c r="C851" s="2" t="s">
        <v>8</v>
      </c>
      <c r="D851" s="2">
        <v>37</v>
      </c>
      <c r="E851" s="3">
        <v>71706</v>
      </c>
      <c r="F851" s="2" t="s">
        <v>17</v>
      </c>
      <c r="G851" s="2" t="s">
        <v>10</v>
      </c>
    </row>
    <row r="852" spans="1:7">
      <c r="A852" s="2">
        <v>851</v>
      </c>
      <c r="B852" s="2" t="s">
        <v>50</v>
      </c>
      <c r="C852" s="2" t="s">
        <v>22</v>
      </c>
      <c r="D852" s="2">
        <v>10</v>
      </c>
      <c r="E852" s="3">
        <v>86134</v>
      </c>
      <c r="F852" s="2" t="s">
        <v>13</v>
      </c>
      <c r="G852" s="2" t="s">
        <v>18</v>
      </c>
    </row>
    <row r="853" spans="1:7">
      <c r="A853" s="2">
        <v>852</v>
      </c>
      <c r="B853" s="2" t="s">
        <v>57</v>
      </c>
      <c r="C853" s="2" t="s">
        <v>16</v>
      </c>
      <c r="D853" s="2">
        <v>37</v>
      </c>
      <c r="E853" s="3">
        <v>42692</v>
      </c>
      <c r="F853" s="2" t="s">
        <v>38</v>
      </c>
      <c r="G853" s="2" t="s">
        <v>26</v>
      </c>
    </row>
    <row r="854" spans="1:7">
      <c r="A854" s="2">
        <v>853</v>
      </c>
      <c r="B854" s="2" t="s">
        <v>7</v>
      </c>
      <c r="C854" s="2" t="s">
        <v>22</v>
      </c>
      <c r="D854" s="2">
        <v>13</v>
      </c>
      <c r="E854" s="3">
        <v>95613</v>
      </c>
      <c r="F854" s="2" t="s">
        <v>20</v>
      </c>
      <c r="G854" s="2" t="s">
        <v>26</v>
      </c>
    </row>
    <row r="855" spans="1:7">
      <c r="A855" s="2">
        <v>854</v>
      </c>
      <c r="B855" s="2" t="s">
        <v>83</v>
      </c>
      <c r="C855" s="2" t="s">
        <v>16</v>
      </c>
      <c r="D855" s="2">
        <v>32</v>
      </c>
      <c r="E855" s="3">
        <v>26167</v>
      </c>
      <c r="F855" s="2" t="s">
        <v>9</v>
      </c>
      <c r="G855" s="2" t="s">
        <v>10</v>
      </c>
    </row>
    <row r="856" spans="1:7">
      <c r="A856" s="2">
        <v>855</v>
      </c>
      <c r="B856" s="2" t="s">
        <v>35</v>
      </c>
      <c r="C856" s="2" t="s">
        <v>12</v>
      </c>
      <c r="D856" s="2">
        <v>35</v>
      </c>
      <c r="E856" s="3">
        <v>43670</v>
      </c>
      <c r="F856" s="2" t="s">
        <v>9</v>
      </c>
      <c r="G856" s="2" t="s">
        <v>18</v>
      </c>
    </row>
    <row r="857" spans="1:7">
      <c r="A857" s="2">
        <v>856</v>
      </c>
      <c r="B857" s="2" t="s">
        <v>74</v>
      </c>
      <c r="C857" s="2" t="s">
        <v>12</v>
      </c>
      <c r="D857" s="2">
        <v>20</v>
      </c>
      <c r="E857" s="3">
        <v>96717</v>
      </c>
      <c r="F857" s="2" t="s">
        <v>38</v>
      </c>
      <c r="G857" s="2" t="s">
        <v>14</v>
      </c>
    </row>
    <row r="858" spans="1:7">
      <c r="A858" s="2">
        <v>857</v>
      </c>
      <c r="B858" s="2" t="s">
        <v>56</v>
      </c>
      <c r="C858" s="2" t="s">
        <v>12</v>
      </c>
      <c r="D858" s="2">
        <v>12</v>
      </c>
      <c r="E858" s="3">
        <v>52258</v>
      </c>
      <c r="F858" s="2" t="s">
        <v>32</v>
      </c>
      <c r="G858" s="2" t="s">
        <v>26</v>
      </c>
    </row>
    <row r="859" spans="1:7">
      <c r="A859" s="2">
        <v>858</v>
      </c>
      <c r="B859" s="2" t="s">
        <v>90</v>
      </c>
      <c r="C859" s="2" t="s">
        <v>22</v>
      </c>
      <c r="D859" s="2">
        <v>32</v>
      </c>
      <c r="E859" s="3">
        <v>83772</v>
      </c>
      <c r="F859" s="2" t="s">
        <v>13</v>
      </c>
      <c r="G859" s="2" t="s">
        <v>23</v>
      </c>
    </row>
    <row r="860" spans="1:7">
      <c r="A860" s="2">
        <v>859</v>
      </c>
      <c r="B860" s="2" t="s">
        <v>84</v>
      </c>
      <c r="C860" s="2" t="s">
        <v>22</v>
      </c>
      <c r="D860" s="2">
        <v>3</v>
      </c>
      <c r="E860" s="3">
        <v>27710</v>
      </c>
      <c r="F860" s="2" t="s">
        <v>38</v>
      </c>
      <c r="G860" s="2" t="s">
        <v>23</v>
      </c>
    </row>
    <row r="861" spans="1:7">
      <c r="A861" s="2">
        <v>860</v>
      </c>
      <c r="B861" s="2" t="s">
        <v>55</v>
      </c>
      <c r="C861" s="2" t="s">
        <v>22</v>
      </c>
      <c r="D861" s="2">
        <v>6</v>
      </c>
      <c r="E861" s="3">
        <v>65375</v>
      </c>
      <c r="F861" s="2" t="s">
        <v>13</v>
      </c>
      <c r="G861" s="2" t="s">
        <v>29</v>
      </c>
    </row>
    <row r="862" spans="1:7">
      <c r="A862" s="2">
        <v>861</v>
      </c>
      <c r="B862" s="2" t="s">
        <v>76</v>
      </c>
      <c r="C862" s="2" t="s">
        <v>8</v>
      </c>
      <c r="D862" s="2">
        <v>4</v>
      </c>
      <c r="E862" s="3">
        <v>79634</v>
      </c>
      <c r="F862" s="2" t="s">
        <v>38</v>
      </c>
      <c r="G862" s="2" t="s">
        <v>18</v>
      </c>
    </row>
    <row r="863" spans="1:7">
      <c r="A863" s="2">
        <v>862</v>
      </c>
      <c r="B863" s="2" t="s">
        <v>42</v>
      </c>
      <c r="C863" s="2" t="s">
        <v>22</v>
      </c>
      <c r="D863" s="2">
        <v>15</v>
      </c>
      <c r="E863" s="3">
        <v>57786</v>
      </c>
      <c r="F863" s="2" t="s">
        <v>32</v>
      </c>
      <c r="G863" s="2" t="s">
        <v>29</v>
      </c>
    </row>
    <row r="864" spans="1:7">
      <c r="A864" s="2">
        <v>863</v>
      </c>
      <c r="B864" s="2" t="s">
        <v>70</v>
      </c>
      <c r="C864" s="2" t="s">
        <v>8</v>
      </c>
      <c r="D864" s="2">
        <v>39</v>
      </c>
      <c r="E864" s="3">
        <v>82534</v>
      </c>
      <c r="F864" s="2" t="s">
        <v>28</v>
      </c>
      <c r="G864" s="2" t="s">
        <v>14</v>
      </c>
    </row>
    <row r="865" spans="1:7">
      <c r="A865" s="2">
        <v>864</v>
      </c>
      <c r="B865" s="2" t="s">
        <v>62</v>
      </c>
      <c r="C865" s="2" t="s">
        <v>12</v>
      </c>
      <c r="D865" s="2">
        <v>15</v>
      </c>
      <c r="E865" s="3">
        <v>77575</v>
      </c>
      <c r="F865" s="2" t="s">
        <v>9</v>
      </c>
      <c r="G865" s="2" t="s">
        <v>23</v>
      </c>
    </row>
    <row r="866" spans="1:7">
      <c r="A866" s="2">
        <v>865</v>
      </c>
      <c r="B866" s="2" t="s">
        <v>43</v>
      </c>
      <c r="C866" s="2" t="s">
        <v>22</v>
      </c>
      <c r="D866" s="2">
        <v>2</v>
      </c>
      <c r="E866" s="3">
        <v>94671</v>
      </c>
      <c r="F866" s="2" t="s">
        <v>13</v>
      </c>
      <c r="G866" s="2" t="s">
        <v>29</v>
      </c>
    </row>
    <row r="867" spans="1:7">
      <c r="A867" s="2">
        <v>866</v>
      </c>
      <c r="B867" s="2" t="s">
        <v>7</v>
      </c>
      <c r="C867" s="2" t="s">
        <v>8</v>
      </c>
      <c r="D867" s="2">
        <v>34</v>
      </c>
      <c r="E867" s="3">
        <v>48137</v>
      </c>
      <c r="F867" s="2" t="s">
        <v>28</v>
      </c>
      <c r="G867" s="2" t="s">
        <v>18</v>
      </c>
    </row>
    <row r="868" spans="1:7">
      <c r="A868" s="2">
        <v>867</v>
      </c>
      <c r="B868" s="2" t="s">
        <v>80</v>
      </c>
      <c r="C868" s="2" t="s">
        <v>12</v>
      </c>
      <c r="D868" s="2">
        <v>31</v>
      </c>
      <c r="E868" s="3">
        <v>28199</v>
      </c>
      <c r="F868" s="2" t="s">
        <v>28</v>
      </c>
      <c r="G868" s="2" t="s">
        <v>14</v>
      </c>
    </row>
    <row r="869" spans="1:7">
      <c r="A869" s="2">
        <v>868</v>
      </c>
      <c r="B869" s="2" t="s">
        <v>70</v>
      </c>
      <c r="C869" s="2" t="s">
        <v>12</v>
      </c>
      <c r="D869" s="2">
        <v>1</v>
      </c>
      <c r="E869" s="3">
        <v>65557</v>
      </c>
      <c r="F869" s="2" t="s">
        <v>9</v>
      </c>
      <c r="G869" s="2" t="s">
        <v>14</v>
      </c>
    </row>
    <row r="870" spans="1:7">
      <c r="A870" s="2">
        <v>869</v>
      </c>
      <c r="B870" s="2" t="s">
        <v>93</v>
      </c>
      <c r="C870" s="2" t="s">
        <v>22</v>
      </c>
      <c r="D870" s="2">
        <v>22</v>
      </c>
      <c r="E870" s="3">
        <v>84528</v>
      </c>
      <c r="F870" s="2" t="s">
        <v>25</v>
      </c>
      <c r="G870" s="2" t="s">
        <v>18</v>
      </c>
    </row>
    <row r="871" spans="1:7">
      <c r="A871" s="2">
        <v>870</v>
      </c>
      <c r="B871" s="2" t="s">
        <v>66</v>
      </c>
      <c r="C871" s="2" t="s">
        <v>16</v>
      </c>
      <c r="D871" s="2">
        <v>40</v>
      </c>
      <c r="E871" s="3">
        <v>72159</v>
      </c>
      <c r="F871" s="2" t="s">
        <v>13</v>
      </c>
      <c r="G871" s="2" t="s">
        <v>29</v>
      </c>
    </row>
    <row r="872" spans="1:7">
      <c r="A872" s="2">
        <v>871</v>
      </c>
      <c r="B872" s="2" t="s">
        <v>79</v>
      </c>
      <c r="C872" s="2" t="s">
        <v>16</v>
      </c>
      <c r="D872" s="2">
        <v>13</v>
      </c>
      <c r="E872" s="3">
        <v>77908</v>
      </c>
      <c r="F872" s="2" t="s">
        <v>28</v>
      </c>
      <c r="G872" s="2" t="s">
        <v>10</v>
      </c>
    </row>
    <row r="873" spans="1:7">
      <c r="A873" s="2">
        <v>872</v>
      </c>
      <c r="B873" s="2" t="s">
        <v>7</v>
      </c>
      <c r="C873" s="2" t="s">
        <v>12</v>
      </c>
      <c r="D873" s="2">
        <v>9</v>
      </c>
      <c r="E873" s="3">
        <v>93756</v>
      </c>
      <c r="F873" s="2" t="s">
        <v>38</v>
      </c>
      <c r="G873" s="2" t="s">
        <v>29</v>
      </c>
    </row>
    <row r="874" spans="1:7">
      <c r="A874" s="2">
        <v>873</v>
      </c>
      <c r="B874" s="2" t="s">
        <v>81</v>
      </c>
      <c r="C874" s="2" t="s">
        <v>16</v>
      </c>
      <c r="D874" s="2">
        <v>22</v>
      </c>
      <c r="E874" s="3">
        <v>25260</v>
      </c>
      <c r="F874" s="2" t="s">
        <v>25</v>
      </c>
      <c r="G874" s="2" t="s">
        <v>26</v>
      </c>
    </row>
    <row r="875" spans="1:7">
      <c r="A875" s="2">
        <v>874</v>
      </c>
      <c r="B875" s="2" t="s">
        <v>42</v>
      </c>
      <c r="C875" s="2" t="s">
        <v>16</v>
      </c>
      <c r="D875" s="2">
        <v>46</v>
      </c>
      <c r="E875" s="3">
        <v>89726</v>
      </c>
      <c r="F875" s="2" t="s">
        <v>9</v>
      </c>
      <c r="G875" s="2" t="s">
        <v>18</v>
      </c>
    </row>
    <row r="876" spans="1:7">
      <c r="A876" s="2">
        <v>875</v>
      </c>
      <c r="B876" s="2" t="s">
        <v>72</v>
      </c>
      <c r="C876" s="2" t="s">
        <v>8</v>
      </c>
      <c r="D876" s="2">
        <v>12</v>
      </c>
      <c r="E876" s="3">
        <v>27062</v>
      </c>
      <c r="F876" s="2" t="s">
        <v>9</v>
      </c>
      <c r="G876" s="2" t="s">
        <v>23</v>
      </c>
    </row>
    <row r="877" spans="1:7">
      <c r="A877" s="2">
        <v>876</v>
      </c>
      <c r="B877" s="2" t="s">
        <v>44</v>
      </c>
      <c r="C877" s="2" t="s">
        <v>8</v>
      </c>
      <c r="D877" s="2">
        <v>21</v>
      </c>
      <c r="E877" s="3">
        <v>86202</v>
      </c>
      <c r="F877" s="2" t="s">
        <v>20</v>
      </c>
      <c r="G877" s="2" t="s">
        <v>29</v>
      </c>
    </row>
    <row r="878" spans="1:7">
      <c r="A878" s="2">
        <v>877</v>
      </c>
      <c r="B878" s="2" t="s">
        <v>91</v>
      </c>
      <c r="C878" s="2" t="s">
        <v>8</v>
      </c>
      <c r="D878" s="2">
        <v>4</v>
      </c>
      <c r="E878" s="3">
        <v>57244</v>
      </c>
      <c r="F878" s="2" t="s">
        <v>20</v>
      </c>
      <c r="G878" s="2" t="s">
        <v>10</v>
      </c>
    </row>
    <row r="879" spans="1:7">
      <c r="A879" s="2">
        <v>878</v>
      </c>
      <c r="B879" s="2" t="s">
        <v>60</v>
      </c>
      <c r="C879" s="2" t="s">
        <v>12</v>
      </c>
      <c r="D879" s="2">
        <v>2</v>
      </c>
      <c r="E879" s="3">
        <v>49256</v>
      </c>
      <c r="F879" s="2" t="s">
        <v>25</v>
      </c>
      <c r="G879" s="2" t="s">
        <v>29</v>
      </c>
    </row>
    <row r="880" spans="1:7">
      <c r="A880" s="2">
        <v>879</v>
      </c>
      <c r="B880" s="2" t="s">
        <v>11</v>
      </c>
      <c r="C880" s="2" t="s">
        <v>16</v>
      </c>
      <c r="D880" s="2">
        <v>10</v>
      </c>
      <c r="E880" s="3">
        <v>99465</v>
      </c>
      <c r="F880" s="2" t="s">
        <v>25</v>
      </c>
      <c r="G880" s="2" t="s">
        <v>23</v>
      </c>
    </row>
    <row r="881" spans="1:7">
      <c r="A881" s="2">
        <v>880</v>
      </c>
      <c r="B881" s="2" t="s">
        <v>83</v>
      </c>
      <c r="C881" s="2" t="s">
        <v>22</v>
      </c>
      <c r="D881" s="2">
        <v>38</v>
      </c>
      <c r="E881" s="3">
        <v>43756</v>
      </c>
      <c r="F881" s="2" t="s">
        <v>13</v>
      </c>
      <c r="G881" s="2" t="s">
        <v>14</v>
      </c>
    </row>
    <row r="882" spans="1:7">
      <c r="A882" s="2">
        <v>881</v>
      </c>
      <c r="B882" s="2" t="s">
        <v>15</v>
      </c>
      <c r="C882" s="2" t="s">
        <v>16</v>
      </c>
      <c r="D882" s="2">
        <v>46</v>
      </c>
      <c r="E882" s="3">
        <v>83517</v>
      </c>
      <c r="F882" s="2" t="s">
        <v>13</v>
      </c>
      <c r="G882" s="2" t="s">
        <v>29</v>
      </c>
    </row>
    <row r="883" spans="1:7">
      <c r="A883" s="2">
        <v>882</v>
      </c>
      <c r="B883" s="2" t="s">
        <v>40</v>
      </c>
      <c r="C883" s="2" t="s">
        <v>12</v>
      </c>
      <c r="D883" s="2">
        <v>10</v>
      </c>
      <c r="E883" s="3">
        <v>55851</v>
      </c>
      <c r="F883" s="2" t="s">
        <v>17</v>
      </c>
      <c r="G883" s="2" t="s">
        <v>14</v>
      </c>
    </row>
    <row r="884" spans="1:7">
      <c r="A884" s="2">
        <v>883</v>
      </c>
      <c r="B884" s="2" t="s">
        <v>71</v>
      </c>
      <c r="C884" s="2" t="s">
        <v>8</v>
      </c>
      <c r="D884" s="2">
        <v>50</v>
      </c>
      <c r="E884" s="3">
        <v>69731</v>
      </c>
      <c r="F884" s="2" t="s">
        <v>9</v>
      </c>
      <c r="G884" s="2" t="s">
        <v>26</v>
      </c>
    </row>
    <row r="885" spans="1:7">
      <c r="A885" s="2">
        <v>884</v>
      </c>
      <c r="B885" s="2" t="s">
        <v>55</v>
      </c>
      <c r="C885" s="2" t="s">
        <v>12</v>
      </c>
      <c r="D885" s="2">
        <v>8</v>
      </c>
      <c r="E885" s="3">
        <v>79867</v>
      </c>
      <c r="F885" s="2" t="s">
        <v>38</v>
      </c>
      <c r="G885" s="2" t="s">
        <v>23</v>
      </c>
    </row>
    <row r="886" spans="1:7">
      <c r="A886" s="2">
        <v>885</v>
      </c>
      <c r="B886" s="2" t="s">
        <v>73</v>
      </c>
      <c r="C886" s="2" t="s">
        <v>8</v>
      </c>
      <c r="D886" s="2">
        <v>34</v>
      </c>
      <c r="E886" s="3">
        <v>68995</v>
      </c>
      <c r="F886" s="2" t="s">
        <v>25</v>
      </c>
      <c r="G886" s="2" t="s">
        <v>10</v>
      </c>
    </row>
    <row r="887" spans="1:7">
      <c r="A887" s="2">
        <v>886</v>
      </c>
      <c r="B887" s="2" t="s">
        <v>7</v>
      </c>
      <c r="C887" s="2" t="s">
        <v>12</v>
      </c>
      <c r="D887" s="2">
        <v>24</v>
      </c>
      <c r="E887" s="3">
        <v>41060</v>
      </c>
      <c r="F887" s="2" t="s">
        <v>9</v>
      </c>
      <c r="G887" s="2" t="s">
        <v>29</v>
      </c>
    </row>
    <row r="888" spans="1:7">
      <c r="A888" s="2">
        <v>887</v>
      </c>
      <c r="B888" s="2" t="s">
        <v>73</v>
      </c>
      <c r="C888" s="2" t="s">
        <v>22</v>
      </c>
      <c r="D888" s="2">
        <v>5</v>
      </c>
      <c r="E888" s="3">
        <v>76300</v>
      </c>
      <c r="F888" s="2" t="s">
        <v>32</v>
      </c>
      <c r="G888" s="2" t="s">
        <v>14</v>
      </c>
    </row>
    <row r="889" spans="1:7">
      <c r="A889" s="2">
        <v>888</v>
      </c>
      <c r="B889" s="2" t="s">
        <v>86</v>
      </c>
      <c r="C889" s="2" t="s">
        <v>8</v>
      </c>
      <c r="D889" s="2">
        <v>24</v>
      </c>
      <c r="E889" s="3">
        <v>98219</v>
      </c>
      <c r="F889" s="2" t="s">
        <v>9</v>
      </c>
      <c r="G889" s="2" t="s">
        <v>10</v>
      </c>
    </row>
    <row r="890" spans="1:7">
      <c r="A890" s="2">
        <v>889</v>
      </c>
      <c r="B890" s="2" t="s">
        <v>74</v>
      </c>
      <c r="C890" s="2" t="s">
        <v>8</v>
      </c>
      <c r="D890" s="2">
        <v>46</v>
      </c>
      <c r="E890" s="3">
        <v>84765</v>
      </c>
      <c r="F890" s="2" t="s">
        <v>20</v>
      </c>
      <c r="G890" s="2" t="s">
        <v>14</v>
      </c>
    </row>
    <row r="891" spans="1:7">
      <c r="A891" s="2">
        <v>890</v>
      </c>
      <c r="B891" s="2" t="s">
        <v>55</v>
      </c>
      <c r="C891" s="2" t="s">
        <v>16</v>
      </c>
      <c r="D891" s="2">
        <v>43</v>
      </c>
      <c r="E891" s="3">
        <v>99143</v>
      </c>
      <c r="F891" s="2" t="s">
        <v>28</v>
      </c>
      <c r="G891" s="2" t="s">
        <v>14</v>
      </c>
    </row>
    <row r="892" spans="1:7">
      <c r="A892" s="2">
        <v>891</v>
      </c>
      <c r="B892" s="2" t="s">
        <v>39</v>
      </c>
      <c r="C892" s="2" t="s">
        <v>12</v>
      </c>
      <c r="D892" s="2">
        <v>26</v>
      </c>
      <c r="E892" s="3">
        <v>58342</v>
      </c>
      <c r="F892" s="2" t="s">
        <v>17</v>
      </c>
      <c r="G892" s="2" t="s">
        <v>14</v>
      </c>
    </row>
    <row r="893" spans="1:7">
      <c r="A893" s="2">
        <v>892</v>
      </c>
      <c r="B893" s="2" t="s">
        <v>81</v>
      </c>
      <c r="C893" s="2" t="s">
        <v>16</v>
      </c>
      <c r="D893" s="2">
        <v>38</v>
      </c>
      <c r="E893" s="3">
        <v>65634</v>
      </c>
      <c r="F893" s="2" t="s">
        <v>25</v>
      </c>
      <c r="G893" s="2" t="s">
        <v>29</v>
      </c>
    </row>
    <row r="894" spans="1:7">
      <c r="A894" s="2">
        <v>893</v>
      </c>
      <c r="B894" s="2" t="s">
        <v>78</v>
      </c>
      <c r="C894" s="2" t="s">
        <v>12</v>
      </c>
      <c r="D894" s="2">
        <v>7</v>
      </c>
      <c r="E894" s="3">
        <v>39724</v>
      </c>
      <c r="F894" s="2" t="s">
        <v>20</v>
      </c>
      <c r="G894" s="2" t="s">
        <v>14</v>
      </c>
    </row>
    <row r="895" spans="1:7">
      <c r="A895" s="2">
        <v>894</v>
      </c>
      <c r="B895" s="2" t="s">
        <v>88</v>
      </c>
      <c r="C895" s="2" t="s">
        <v>22</v>
      </c>
      <c r="D895" s="2">
        <v>22</v>
      </c>
      <c r="E895" s="3">
        <v>99854</v>
      </c>
      <c r="F895" s="2" t="s">
        <v>20</v>
      </c>
      <c r="G895" s="2" t="s">
        <v>26</v>
      </c>
    </row>
    <row r="896" spans="1:7">
      <c r="A896" s="2">
        <v>895</v>
      </c>
      <c r="B896" s="2" t="s">
        <v>65</v>
      </c>
      <c r="C896" s="2" t="s">
        <v>16</v>
      </c>
      <c r="D896" s="2">
        <v>20</v>
      </c>
      <c r="E896" s="3">
        <v>93328</v>
      </c>
      <c r="F896" s="2" t="s">
        <v>20</v>
      </c>
      <c r="G896" s="2" t="s">
        <v>26</v>
      </c>
    </row>
    <row r="897" spans="1:7">
      <c r="A897" s="2">
        <v>896</v>
      </c>
      <c r="B897" s="2" t="s">
        <v>93</v>
      </c>
      <c r="C897" s="2" t="s">
        <v>8</v>
      </c>
      <c r="D897" s="2">
        <v>21</v>
      </c>
      <c r="E897" s="3">
        <v>73221</v>
      </c>
      <c r="F897" s="2" t="s">
        <v>9</v>
      </c>
      <c r="G897" s="2" t="s">
        <v>23</v>
      </c>
    </row>
    <row r="898" spans="1:7">
      <c r="A898" s="2">
        <v>897</v>
      </c>
      <c r="B898" s="2" t="s">
        <v>11</v>
      </c>
      <c r="C898" s="2" t="s">
        <v>22</v>
      </c>
      <c r="D898" s="2">
        <v>9</v>
      </c>
      <c r="E898" s="3">
        <v>74692</v>
      </c>
      <c r="F898" s="2" t="s">
        <v>17</v>
      </c>
      <c r="G898" s="2" t="s">
        <v>18</v>
      </c>
    </row>
    <row r="899" spans="1:7">
      <c r="A899" s="2">
        <v>898</v>
      </c>
      <c r="B899" s="2" t="s">
        <v>34</v>
      </c>
      <c r="C899" s="2" t="s">
        <v>12</v>
      </c>
      <c r="D899" s="2">
        <v>11</v>
      </c>
      <c r="E899" s="3">
        <v>99155</v>
      </c>
      <c r="F899" s="2" t="s">
        <v>20</v>
      </c>
      <c r="G899" s="2" t="s">
        <v>10</v>
      </c>
    </row>
    <row r="900" spans="1:7">
      <c r="A900" s="2">
        <v>899</v>
      </c>
      <c r="B900" s="2" t="s">
        <v>92</v>
      </c>
      <c r="C900" s="2" t="s">
        <v>8</v>
      </c>
      <c r="D900" s="2">
        <v>47</v>
      </c>
      <c r="E900" s="3">
        <v>98613</v>
      </c>
      <c r="F900" s="2" t="s">
        <v>13</v>
      </c>
      <c r="G900" s="2" t="s">
        <v>26</v>
      </c>
    </row>
    <row r="901" spans="1:7">
      <c r="A901" s="2">
        <v>900</v>
      </c>
      <c r="B901" s="2" t="s">
        <v>90</v>
      </c>
      <c r="C901" s="2" t="s">
        <v>12</v>
      </c>
      <c r="D901" s="2">
        <v>28</v>
      </c>
      <c r="E901" s="3">
        <v>41737</v>
      </c>
      <c r="F901" s="2" t="s">
        <v>25</v>
      </c>
      <c r="G901" s="2" t="s">
        <v>10</v>
      </c>
    </row>
    <row r="902" spans="1:7">
      <c r="A902" s="2">
        <v>901</v>
      </c>
      <c r="B902" s="2" t="s">
        <v>49</v>
      </c>
      <c r="C902" s="2" t="s">
        <v>8</v>
      </c>
      <c r="D902" s="2">
        <v>41</v>
      </c>
      <c r="E902" s="3">
        <v>41456</v>
      </c>
      <c r="F902" s="2" t="s">
        <v>13</v>
      </c>
      <c r="G902" s="2" t="s">
        <v>26</v>
      </c>
    </row>
    <row r="903" spans="1:7">
      <c r="A903" s="2">
        <v>902</v>
      </c>
      <c r="B903" s="2" t="s">
        <v>89</v>
      </c>
      <c r="C903" s="2" t="s">
        <v>12</v>
      </c>
      <c r="D903" s="2">
        <v>32</v>
      </c>
      <c r="E903" s="3">
        <v>72003</v>
      </c>
      <c r="F903" s="2" t="s">
        <v>13</v>
      </c>
      <c r="G903" s="2" t="s">
        <v>29</v>
      </c>
    </row>
    <row r="904" spans="1:7">
      <c r="A904" s="2">
        <v>903</v>
      </c>
      <c r="B904" s="2" t="s">
        <v>7</v>
      </c>
      <c r="C904" s="2" t="s">
        <v>8</v>
      </c>
      <c r="D904" s="2">
        <v>42</v>
      </c>
      <c r="E904" s="3">
        <v>94587</v>
      </c>
      <c r="F904" s="2" t="s">
        <v>38</v>
      </c>
      <c r="G904" s="2" t="s">
        <v>29</v>
      </c>
    </row>
    <row r="905" spans="1:7">
      <c r="A905" s="2">
        <v>904</v>
      </c>
      <c r="B905" s="2" t="s">
        <v>66</v>
      </c>
      <c r="C905" s="2" t="s">
        <v>12</v>
      </c>
      <c r="D905" s="2">
        <v>21</v>
      </c>
      <c r="E905" s="3">
        <v>45541</v>
      </c>
      <c r="F905" s="2" t="s">
        <v>25</v>
      </c>
      <c r="G905" s="2" t="s">
        <v>29</v>
      </c>
    </row>
    <row r="906" spans="1:7">
      <c r="A906" s="2">
        <v>905</v>
      </c>
      <c r="B906" s="2" t="s">
        <v>33</v>
      </c>
      <c r="C906" s="2" t="s">
        <v>16</v>
      </c>
      <c r="D906" s="2">
        <v>12</v>
      </c>
      <c r="E906" s="3">
        <v>33279</v>
      </c>
      <c r="F906" s="2" t="s">
        <v>17</v>
      </c>
      <c r="G906" s="2" t="s">
        <v>26</v>
      </c>
    </row>
    <row r="907" spans="1:7">
      <c r="A907" s="2">
        <v>906</v>
      </c>
      <c r="B907" s="2" t="s">
        <v>90</v>
      </c>
      <c r="C907" s="2" t="s">
        <v>8</v>
      </c>
      <c r="D907" s="2">
        <v>46</v>
      </c>
      <c r="E907" s="3">
        <v>49975</v>
      </c>
      <c r="F907" s="2" t="s">
        <v>25</v>
      </c>
      <c r="G907" s="2" t="s">
        <v>18</v>
      </c>
    </row>
    <row r="908" spans="1:7">
      <c r="A908" s="2">
        <v>907</v>
      </c>
      <c r="B908" s="2" t="s">
        <v>76</v>
      </c>
      <c r="C908" s="2" t="s">
        <v>8</v>
      </c>
      <c r="D908" s="2">
        <v>36</v>
      </c>
      <c r="E908" s="3">
        <v>61254</v>
      </c>
      <c r="F908" s="2" t="s">
        <v>25</v>
      </c>
      <c r="G908" s="2" t="s">
        <v>23</v>
      </c>
    </row>
    <row r="909" spans="1:7">
      <c r="A909" s="2">
        <v>908</v>
      </c>
      <c r="B909" s="2" t="s">
        <v>44</v>
      </c>
      <c r="C909" s="2" t="s">
        <v>16</v>
      </c>
      <c r="D909" s="2">
        <v>45</v>
      </c>
      <c r="E909" s="3">
        <v>47286</v>
      </c>
      <c r="F909" s="2" t="s">
        <v>25</v>
      </c>
      <c r="G909" s="2" t="s">
        <v>10</v>
      </c>
    </row>
    <row r="910" spans="1:7">
      <c r="A910" s="2">
        <v>909</v>
      </c>
      <c r="B910" s="2" t="s">
        <v>33</v>
      </c>
      <c r="C910" s="2" t="s">
        <v>12</v>
      </c>
      <c r="D910" s="2">
        <v>40</v>
      </c>
      <c r="E910" s="3">
        <v>80513</v>
      </c>
      <c r="F910" s="2" t="s">
        <v>25</v>
      </c>
      <c r="G910" s="2" t="s">
        <v>10</v>
      </c>
    </row>
    <row r="911" spans="1:7">
      <c r="A911" s="2">
        <v>910</v>
      </c>
      <c r="B911" s="2" t="s">
        <v>45</v>
      </c>
      <c r="C911" s="2" t="s">
        <v>8</v>
      </c>
      <c r="D911" s="2">
        <v>23</v>
      </c>
      <c r="E911" s="3">
        <v>55350</v>
      </c>
      <c r="F911" s="2" t="s">
        <v>38</v>
      </c>
      <c r="G911" s="2" t="s">
        <v>29</v>
      </c>
    </row>
    <row r="912" spans="1:7">
      <c r="A912" s="2">
        <v>911</v>
      </c>
      <c r="B912" s="2" t="s">
        <v>91</v>
      </c>
      <c r="C912" s="2" t="s">
        <v>16</v>
      </c>
      <c r="D912" s="2">
        <v>15</v>
      </c>
      <c r="E912" s="3">
        <v>31143</v>
      </c>
      <c r="F912" s="2" t="s">
        <v>13</v>
      </c>
      <c r="G912" s="2" t="s">
        <v>29</v>
      </c>
    </row>
    <row r="913" spans="1:7">
      <c r="A913" s="2">
        <v>912</v>
      </c>
      <c r="B913" s="2" t="s">
        <v>43</v>
      </c>
      <c r="C913" s="2" t="s">
        <v>12</v>
      </c>
      <c r="D913" s="2">
        <v>43</v>
      </c>
      <c r="E913" s="3">
        <v>72631</v>
      </c>
      <c r="F913" s="2" t="s">
        <v>28</v>
      </c>
      <c r="G913" s="2" t="s">
        <v>23</v>
      </c>
    </row>
    <row r="914" spans="1:7">
      <c r="A914" s="2">
        <v>913</v>
      </c>
      <c r="B914" s="2" t="s">
        <v>57</v>
      </c>
      <c r="C914" s="2" t="s">
        <v>8</v>
      </c>
      <c r="D914" s="2">
        <v>38</v>
      </c>
      <c r="E914" s="3">
        <v>95527</v>
      </c>
      <c r="F914" s="2" t="s">
        <v>28</v>
      </c>
      <c r="G914" s="2" t="s">
        <v>26</v>
      </c>
    </row>
    <row r="915" spans="1:7">
      <c r="A915" s="2">
        <v>914</v>
      </c>
      <c r="B915" s="2" t="s">
        <v>84</v>
      </c>
      <c r="C915" s="2" t="s">
        <v>8</v>
      </c>
      <c r="D915" s="2">
        <v>12</v>
      </c>
      <c r="E915" s="3">
        <v>94429</v>
      </c>
      <c r="F915" s="2" t="s">
        <v>9</v>
      </c>
      <c r="G915" s="2" t="s">
        <v>14</v>
      </c>
    </row>
    <row r="916" spans="1:7">
      <c r="A916" s="2">
        <v>915</v>
      </c>
      <c r="B916" s="2" t="s">
        <v>62</v>
      </c>
      <c r="C916" s="2" t="s">
        <v>12</v>
      </c>
      <c r="D916" s="2">
        <v>25</v>
      </c>
      <c r="E916" s="3">
        <v>97929</v>
      </c>
      <c r="F916" s="2" t="s">
        <v>28</v>
      </c>
      <c r="G916" s="2" t="s">
        <v>23</v>
      </c>
    </row>
    <row r="917" spans="1:7">
      <c r="A917" s="2">
        <v>916</v>
      </c>
      <c r="B917" s="2" t="s">
        <v>46</v>
      </c>
      <c r="C917" s="2" t="s">
        <v>16</v>
      </c>
      <c r="D917" s="2">
        <v>20</v>
      </c>
      <c r="E917" s="3">
        <v>25603</v>
      </c>
      <c r="F917" s="2" t="s">
        <v>25</v>
      </c>
      <c r="G917" s="2" t="s">
        <v>29</v>
      </c>
    </row>
    <row r="918" spans="1:7">
      <c r="A918" s="2">
        <v>917</v>
      </c>
      <c r="B918" s="2" t="s">
        <v>63</v>
      </c>
      <c r="C918" s="2" t="s">
        <v>8</v>
      </c>
      <c r="D918" s="2">
        <v>47</v>
      </c>
      <c r="E918" s="3">
        <v>70467</v>
      </c>
      <c r="F918" s="2" t="s">
        <v>20</v>
      </c>
      <c r="G918" s="2" t="s">
        <v>26</v>
      </c>
    </row>
    <row r="919" spans="1:7">
      <c r="A919" s="2">
        <v>918</v>
      </c>
      <c r="B919" s="2" t="s">
        <v>59</v>
      </c>
      <c r="C919" s="2" t="s">
        <v>12</v>
      </c>
      <c r="D919" s="2">
        <v>45</v>
      </c>
      <c r="E919" s="3">
        <v>74838</v>
      </c>
      <c r="F919" s="2" t="s">
        <v>25</v>
      </c>
      <c r="G919" s="2" t="s">
        <v>10</v>
      </c>
    </row>
    <row r="920" spans="1:7">
      <c r="A920" s="2">
        <v>919</v>
      </c>
      <c r="B920" s="2" t="s">
        <v>73</v>
      </c>
      <c r="C920" s="2" t="s">
        <v>8</v>
      </c>
      <c r="D920" s="2">
        <v>19</v>
      </c>
      <c r="E920" s="3">
        <v>29134</v>
      </c>
      <c r="F920" s="2" t="s">
        <v>32</v>
      </c>
      <c r="G920" s="2" t="s">
        <v>23</v>
      </c>
    </row>
    <row r="921" spans="1:7">
      <c r="A921" s="2">
        <v>920</v>
      </c>
      <c r="B921" s="2" t="s">
        <v>60</v>
      </c>
      <c r="C921" s="2" t="s">
        <v>12</v>
      </c>
      <c r="D921" s="2">
        <v>9</v>
      </c>
      <c r="E921" s="3">
        <v>47299</v>
      </c>
      <c r="F921" s="2" t="s">
        <v>38</v>
      </c>
      <c r="G921" s="2" t="s">
        <v>14</v>
      </c>
    </row>
    <row r="922" spans="1:7">
      <c r="A922" s="2">
        <v>921</v>
      </c>
      <c r="B922" s="2" t="s">
        <v>73</v>
      </c>
      <c r="C922" s="2" t="s">
        <v>8</v>
      </c>
      <c r="D922" s="2">
        <v>12</v>
      </c>
      <c r="E922" s="3">
        <v>58215</v>
      </c>
      <c r="F922" s="2" t="s">
        <v>28</v>
      </c>
      <c r="G922" s="2" t="s">
        <v>26</v>
      </c>
    </row>
    <row r="923" spans="1:7">
      <c r="A923" s="2">
        <v>922</v>
      </c>
      <c r="B923" s="2" t="s">
        <v>52</v>
      </c>
      <c r="C923" s="2" t="s">
        <v>22</v>
      </c>
      <c r="D923" s="2">
        <v>47</v>
      </c>
      <c r="E923" s="3">
        <v>77730</v>
      </c>
      <c r="F923" s="2" t="s">
        <v>38</v>
      </c>
      <c r="G923" s="2" t="s">
        <v>18</v>
      </c>
    </row>
    <row r="924" spans="1:7">
      <c r="A924" s="2">
        <v>923</v>
      </c>
      <c r="B924" s="2" t="s">
        <v>59</v>
      </c>
      <c r="C924" s="2" t="s">
        <v>16</v>
      </c>
      <c r="D924" s="2">
        <v>1</v>
      </c>
      <c r="E924" s="3">
        <v>87445</v>
      </c>
      <c r="F924" s="2" t="s">
        <v>9</v>
      </c>
      <c r="G924" s="2" t="s">
        <v>18</v>
      </c>
    </row>
    <row r="925" spans="1:7">
      <c r="A925" s="2">
        <v>924</v>
      </c>
      <c r="B925" s="2" t="s">
        <v>67</v>
      </c>
      <c r="C925" s="2" t="s">
        <v>16</v>
      </c>
      <c r="D925" s="2">
        <v>45</v>
      </c>
      <c r="E925" s="3">
        <v>34514</v>
      </c>
      <c r="F925" s="2" t="s">
        <v>9</v>
      </c>
      <c r="G925" s="2" t="s">
        <v>10</v>
      </c>
    </row>
    <row r="926" spans="1:7">
      <c r="A926" s="2">
        <v>925</v>
      </c>
      <c r="B926" s="2" t="s">
        <v>52</v>
      </c>
      <c r="C926" s="2" t="s">
        <v>22</v>
      </c>
      <c r="D926" s="2">
        <v>37</v>
      </c>
      <c r="E926" s="3">
        <v>82148</v>
      </c>
      <c r="F926" s="2" t="s">
        <v>9</v>
      </c>
      <c r="G926" s="2" t="s">
        <v>14</v>
      </c>
    </row>
    <row r="927" spans="1:7">
      <c r="A927" s="2">
        <v>926</v>
      </c>
      <c r="B927" s="2" t="s">
        <v>7</v>
      </c>
      <c r="C927" s="2" t="s">
        <v>12</v>
      </c>
      <c r="D927" s="2">
        <v>26</v>
      </c>
      <c r="E927" s="3">
        <v>49495</v>
      </c>
      <c r="F927" s="2" t="s">
        <v>38</v>
      </c>
      <c r="G927" s="2" t="s">
        <v>23</v>
      </c>
    </row>
    <row r="928" spans="1:7">
      <c r="A928" s="2">
        <v>927</v>
      </c>
      <c r="B928" s="2" t="s">
        <v>46</v>
      </c>
      <c r="C928" s="2" t="s">
        <v>16</v>
      </c>
      <c r="D928" s="2">
        <v>50</v>
      </c>
      <c r="E928" s="3">
        <v>51093</v>
      </c>
      <c r="F928" s="2" t="s">
        <v>9</v>
      </c>
      <c r="G928" s="2" t="s">
        <v>29</v>
      </c>
    </row>
    <row r="929" spans="1:7">
      <c r="A929" s="2">
        <v>928</v>
      </c>
      <c r="B929" s="2" t="s">
        <v>92</v>
      </c>
      <c r="C929" s="2" t="s">
        <v>12</v>
      </c>
      <c r="D929" s="2">
        <v>37</v>
      </c>
      <c r="E929" s="3">
        <v>90151</v>
      </c>
      <c r="F929" s="2" t="s">
        <v>32</v>
      </c>
      <c r="G929" s="2" t="s">
        <v>29</v>
      </c>
    </row>
    <row r="930" spans="1:7">
      <c r="A930" s="2">
        <v>929</v>
      </c>
      <c r="B930" s="2" t="s">
        <v>41</v>
      </c>
      <c r="C930" s="2" t="s">
        <v>8</v>
      </c>
      <c r="D930" s="2">
        <v>3</v>
      </c>
      <c r="E930" s="3">
        <v>75511</v>
      </c>
      <c r="F930" s="2" t="s">
        <v>32</v>
      </c>
      <c r="G930" s="2" t="s">
        <v>14</v>
      </c>
    </row>
    <row r="931" spans="1:7">
      <c r="A931" s="2">
        <v>930</v>
      </c>
      <c r="B931" s="2" t="s">
        <v>88</v>
      </c>
      <c r="C931" s="2" t="s">
        <v>22</v>
      </c>
      <c r="D931" s="2">
        <v>12</v>
      </c>
      <c r="E931" s="3">
        <v>96933</v>
      </c>
      <c r="F931" s="2" t="s">
        <v>9</v>
      </c>
      <c r="G931" s="2" t="s">
        <v>23</v>
      </c>
    </row>
    <row r="932" spans="1:7">
      <c r="A932" s="2">
        <v>931</v>
      </c>
      <c r="B932" s="2" t="s">
        <v>44</v>
      </c>
      <c r="C932" s="2" t="s">
        <v>12</v>
      </c>
      <c r="D932" s="2">
        <v>39</v>
      </c>
      <c r="E932" s="3">
        <v>54028</v>
      </c>
      <c r="F932" s="2" t="s">
        <v>9</v>
      </c>
      <c r="G932" s="2" t="s">
        <v>14</v>
      </c>
    </row>
    <row r="933" spans="1:7">
      <c r="A933" s="2">
        <v>932</v>
      </c>
      <c r="B933" s="2" t="s">
        <v>41</v>
      </c>
      <c r="C933" s="2" t="s">
        <v>12</v>
      </c>
      <c r="D933" s="2">
        <v>21</v>
      </c>
      <c r="E933" s="3">
        <v>61694</v>
      </c>
      <c r="F933" s="2" t="s">
        <v>13</v>
      </c>
      <c r="G933" s="2" t="s">
        <v>23</v>
      </c>
    </row>
    <row r="934" spans="1:7">
      <c r="A934" s="2">
        <v>933</v>
      </c>
      <c r="B934" s="2" t="s">
        <v>87</v>
      </c>
      <c r="C934" s="2" t="s">
        <v>16</v>
      </c>
      <c r="D934" s="2">
        <v>40</v>
      </c>
      <c r="E934" s="3">
        <v>65016</v>
      </c>
      <c r="F934" s="2" t="s">
        <v>9</v>
      </c>
      <c r="G934" s="2" t="s">
        <v>18</v>
      </c>
    </row>
    <row r="935" spans="1:7">
      <c r="A935" s="2">
        <v>934</v>
      </c>
      <c r="B935" s="2" t="s">
        <v>45</v>
      </c>
      <c r="C935" s="2" t="s">
        <v>8</v>
      </c>
      <c r="D935" s="2">
        <v>15</v>
      </c>
      <c r="E935" s="3">
        <v>75927</v>
      </c>
      <c r="F935" s="2" t="s">
        <v>20</v>
      </c>
      <c r="G935" s="2" t="s">
        <v>23</v>
      </c>
    </row>
    <row r="936" spans="1:7">
      <c r="A936" s="2">
        <v>935</v>
      </c>
      <c r="B936" s="2" t="s">
        <v>73</v>
      </c>
      <c r="C936" s="2" t="s">
        <v>16</v>
      </c>
      <c r="D936" s="2">
        <v>41</v>
      </c>
      <c r="E936" s="3">
        <v>31787</v>
      </c>
      <c r="F936" s="2" t="s">
        <v>38</v>
      </c>
      <c r="G936" s="2" t="s">
        <v>23</v>
      </c>
    </row>
    <row r="937" spans="1:7">
      <c r="A937" s="2">
        <v>936</v>
      </c>
      <c r="B937" s="2" t="s">
        <v>27</v>
      </c>
      <c r="C937" s="2" t="s">
        <v>8</v>
      </c>
      <c r="D937" s="2">
        <v>37</v>
      </c>
      <c r="E937" s="3">
        <v>61127</v>
      </c>
      <c r="F937" s="2" t="s">
        <v>32</v>
      </c>
      <c r="G937" s="2" t="s">
        <v>29</v>
      </c>
    </row>
    <row r="938" spans="1:7">
      <c r="A938" s="2">
        <v>937</v>
      </c>
      <c r="B938" s="2" t="s">
        <v>53</v>
      </c>
      <c r="C938" s="2" t="s">
        <v>16</v>
      </c>
      <c r="D938" s="2">
        <v>7</v>
      </c>
      <c r="E938" s="3">
        <v>36331</v>
      </c>
      <c r="F938" s="2" t="s">
        <v>28</v>
      </c>
      <c r="G938" s="2" t="s">
        <v>10</v>
      </c>
    </row>
    <row r="939" spans="1:7">
      <c r="A939" s="2">
        <v>938</v>
      </c>
      <c r="B939" s="2" t="s">
        <v>70</v>
      </c>
      <c r="C939" s="2" t="s">
        <v>12</v>
      </c>
      <c r="D939" s="2">
        <v>32</v>
      </c>
      <c r="E939" s="3">
        <v>36693</v>
      </c>
      <c r="F939" s="2" t="s">
        <v>32</v>
      </c>
      <c r="G939" s="2" t="s">
        <v>26</v>
      </c>
    </row>
    <row r="940" spans="1:7">
      <c r="A940" s="2">
        <v>939</v>
      </c>
      <c r="B940" s="2" t="s">
        <v>53</v>
      </c>
      <c r="C940" s="2" t="s">
        <v>12</v>
      </c>
      <c r="D940" s="2">
        <v>10</v>
      </c>
      <c r="E940" s="3">
        <v>71062</v>
      </c>
      <c r="F940" s="2" t="s">
        <v>38</v>
      </c>
      <c r="G940" s="2" t="s">
        <v>26</v>
      </c>
    </row>
    <row r="941" spans="1:7">
      <c r="A941" s="2">
        <v>940</v>
      </c>
      <c r="B941" s="2" t="s">
        <v>58</v>
      </c>
      <c r="C941" s="2" t="s">
        <v>22</v>
      </c>
      <c r="D941" s="2">
        <v>22</v>
      </c>
      <c r="E941" s="3">
        <v>95867</v>
      </c>
      <c r="F941" s="2" t="s">
        <v>25</v>
      </c>
      <c r="G941" s="2" t="s">
        <v>29</v>
      </c>
    </row>
    <row r="942" spans="1:7">
      <c r="A942" s="2">
        <v>941</v>
      </c>
      <c r="B942" s="2" t="s">
        <v>74</v>
      </c>
      <c r="C942" s="2" t="s">
        <v>12</v>
      </c>
      <c r="D942" s="2">
        <v>48</v>
      </c>
      <c r="E942" s="3">
        <v>80425</v>
      </c>
      <c r="F942" s="2" t="s">
        <v>25</v>
      </c>
      <c r="G942" s="2" t="s">
        <v>18</v>
      </c>
    </row>
    <row r="943" spans="1:7">
      <c r="A943" s="2">
        <v>942</v>
      </c>
      <c r="B943" s="2" t="s">
        <v>30</v>
      </c>
      <c r="C943" s="2" t="s">
        <v>12</v>
      </c>
      <c r="D943" s="2">
        <v>5</v>
      </c>
      <c r="E943" s="3">
        <v>30573</v>
      </c>
      <c r="F943" s="2" t="s">
        <v>38</v>
      </c>
      <c r="G943" s="2" t="s">
        <v>14</v>
      </c>
    </row>
    <row r="944" spans="1:7">
      <c r="A944" s="2">
        <v>943</v>
      </c>
      <c r="B944" s="2" t="s">
        <v>85</v>
      </c>
      <c r="C944" s="2" t="s">
        <v>12</v>
      </c>
      <c r="D944" s="2">
        <v>16</v>
      </c>
      <c r="E944" s="3">
        <v>76158</v>
      </c>
      <c r="F944" s="2" t="s">
        <v>17</v>
      </c>
      <c r="G944" s="2" t="s">
        <v>29</v>
      </c>
    </row>
    <row r="945" spans="1:7">
      <c r="A945" s="2">
        <v>944</v>
      </c>
      <c r="B945" s="2" t="s">
        <v>30</v>
      </c>
      <c r="C945" s="2" t="s">
        <v>12</v>
      </c>
      <c r="D945" s="2">
        <v>23</v>
      </c>
      <c r="E945" s="3">
        <v>29322</v>
      </c>
      <c r="F945" s="2" t="s">
        <v>38</v>
      </c>
      <c r="G945" s="2" t="s">
        <v>14</v>
      </c>
    </row>
    <row r="946" spans="1:7">
      <c r="A946" s="2">
        <v>945</v>
      </c>
      <c r="B946" s="2" t="s">
        <v>84</v>
      </c>
      <c r="C946" s="2" t="s">
        <v>22</v>
      </c>
      <c r="D946" s="2">
        <v>21</v>
      </c>
      <c r="E946" s="3">
        <v>99228</v>
      </c>
      <c r="F946" s="2" t="s">
        <v>25</v>
      </c>
      <c r="G946" s="2" t="s">
        <v>29</v>
      </c>
    </row>
    <row r="947" spans="1:7">
      <c r="A947" s="2">
        <v>946</v>
      </c>
      <c r="B947" s="2" t="s">
        <v>74</v>
      </c>
      <c r="C947" s="2" t="s">
        <v>8</v>
      </c>
      <c r="D947" s="2">
        <v>11</v>
      </c>
      <c r="E947" s="3">
        <v>46835</v>
      </c>
      <c r="F947" s="2" t="s">
        <v>38</v>
      </c>
      <c r="G947" s="2" t="s">
        <v>26</v>
      </c>
    </row>
    <row r="948" spans="1:7">
      <c r="A948" s="2">
        <v>947</v>
      </c>
      <c r="B948" s="2" t="s">
        <v>11</v>
      </c>
      <c r="C948" s="2" t="s">
        <v>22</v>
      </c>
      <c r="D948" s="2">
        <v>41</v>
      </c>
      <c r="E948" s="3">
        <v>80653</v>
      </c>
      <c r="F948" s="2" t="s">
        <v>28</v>
      </c>
      <c r="G948" s="2" t="s">
        <v>10</v>
      </c>
    </row>
    <row r="949" spans="1:7">
      <c r="A949" s="2">
        <v>948</v>
      </c>
      <c r="B949" s="2" t="s">
        <v>66</v>
      </c>
      <c r="C949" s="2" t="s">
        <v>22</v>
      </c>
      <c r="D949" s="2">
        <v>6</v>
      </c>
      <c r="E949" s="3">
        <v>91380</v>
      </c>
      <c r="F949" s="2" t="s">
        <v>17</v>
      </c>
      <c r="G949" s="2" t="s">
        <v>10</v>
      </c>
    </row>
    <row r="950" spans="1:7">
      <c r="A950" s="2">
        <v>949</v>
      </c>
      <c r="B950" s="2" t="s">
        <v>30</v>
      </c>
      <c r="C950" s="2" t="s">
        <v>16</v>
      </c>
      <c r="D950" s="2">
        <v>46</v>
      </c>
      <c r="E950" s="3">
        <v>36673</v>
      </c>
      <c r="F950" s="2" t="s">
        <v>20</v>
      </c>
      <c r="G950" s="2" t="s">
        <v>29</v>
      </c>
    </row>
    <row r="951" spans="1:7">
      <c r="A951" s="2">
        <v>950</v>
      </c>
      <c r="B951" s="2" t="s">
        <v>92</v>
      </c>
      <c r="C951" s="2" t="s">
        <v>8</v>
      </c>
      <c r="D951" s="2">
        <v>43</v>
      </c>
      <c r="E951" s="3">
        <v>58485</v>
      </c>
      <c r="F951" s="2" t="s">
        <v>38</v>
      </c>
      <c r="G951" s="2" t="s">
        <v>29</v>
      </c>
    </row>
    <row r="952" spans="1:7">
      <c r="A952" s="2">
        <v>951</v>
      </c>
      <c r="B952" s="2" t="s">
        <v>90</v>
      </c>
      <c r="C952" s="2" t="s">
        <v>16</v>
      </c>
      <c r="D952" s="2">
        <v>41</v>
      </c>
      <c r="E952" s="3">
        <v>82720</v>
      </c>
      <c r="F952" s="2" t="s">
        <v>20</v>
      </c>
      <c r="G952" s="2" t="s">
        <v>26</v>
      </c>
    </row>
    <row r="953" spans="1:7">
      <c r="A953" s="2">
        <v>952</v>
      </c>
      <c r="B953" s="2" t="s">
        <v>73</v>
      </c>
      <c r="C953" s="2" t="s">
        <v>22</v>
      </c>
      <c r="D953" s="2">
        <v>47</v>
      </c>
      <c r="E953" s="3">
        <v>25616</v>
      </c>
      <c r="F953" s="2" t="s">
        <v>13</v>
      </c>
      <c r="G953" s="2" t="s">
        <v>14</v>
      </c>
    </row>
    <row r="954" spans="1:7">
      <c r="A954" s="2">
        <v>953</v>
      </c>
      <c r="B954" s="2" t="s">
        <v>78</v>
      </c>
      <c r="C954" s="2" t="s">
        <v>12</v>
      </c>
      <c r="D954" s="2">
        <v>22</v>
      </c>
      <c r="E954" s="3">
        <v>72803</v>
      </c>
      <c r="F954" s="2" t="s">
        <v>25</v>
      </c>
      <c r="G954" s="2" t="s">
        <v>14</v>
      </c>
    </row>
    <row r="955" spans="1:7">
      <c r="A955" s="2">
        <v>954</v>
      </c>
      <c r="B955" s="2" t="s">
        <v>76</v>
      </c>
      <c r="C955" s="2" t="s">
        <v>8</v>
      </c>
      <c r="D955" s="2">
        <v>29</v>
      </c>
      <c r="E955" s="3">
        <v>62878</v>
      </c>
      <c r="F955" s="2" t="s">
        <v>25</v>
      </c>
      <c r="G955" s="2" t="s">
        <v>26</v>
      </c>
    </row>
    <row r="956" spans="1:7">
      <c r="A956" s="2">
        <v>955</v>
      </c>
      <c r="B956" s="2" t="s">
        <v>64</v>
      </c>
      <c r="C956" s="2" t="s">
        <v>12</v>
      </c>
      <c r="D956" s="2">
        <v>1</v>
      </c>
      <c r="E956" s="3">
        <v>65450</v>
      </c>
      <c r="F956" s="2" t="s">
        <v>28</v>
      </c>
      <c r="G956" s="2" t="s">
        <v>18</v>
      </c>
    </row>
    <row r="957" spans="1:7">
      <c r="A957" s="2">
        <v>956</v>
      </c>
      <c r="B957" s="2" t="s">
        <v>86</v>
      </c>
      <c r="C957" s="2" t="s">
        <v>22</v>
      </c>
      <c r="D957" s="2">
        <v>17</v>
      </c>
      <c r="E957" s="3">
        <v>84205</v>
      </c>
      <c r="F957" s="2" t="s">
        <v>25</v>
      </c>
      <c r="G957" s="2" t="s">
        <v>18</v>
      </c>
    </row>
    <row r="958" spans="1:7">
      <c r="A958" s="2">
        <v>957</v>
      </c>
      <c r="B958" s="2" t="s">
        <v>75</v>
      </c>
      <c r="C958" s="2" t="s">
        <v>22</v>
      </c>
      <c r="D958" s="2">
        <v>14</v>
      </c>
      <c r="E958" s="3">
        <v>95995</v>
      </c>
      <c r="F958" s="2" t="s">
        <v>9</v>
      </c>
      <c r="G958" s="2" t="s">
        <v>29</v>
      </c>
    </row>
    <row r="959" spans="1:7">
      <c r="A959" s="2">
        <v>958</v>
      </c>
      <c r="B959" s="2" t="s">
        <v>91</v>
      </c>
      <c r="C959" s="2" t="s">
        <v>22</v>
      </c>
      <c r="D959" s="2">
        <v>16</v>
      </c>
      <c r="E959" s="3">
        <v>61841</v>
      </c>
      <c r="F959" s="2" t="s">
        <v>17</v>
      </c>
      <c r="G959" s="2" t="s">
        <v>10</v>
      </c>
    </row>
    <row r="960" spans="1:7">
      <c r="A960" s="2">
        <v>959</v>
      </c>
      <c r="B960" s="2" t="s">
        <v>15</v>
      </c>
      <c r="C960" s="2" t="s">
        <v>8</v>
      </c>
      <c r="D960" s="2">
        <v>45</v>
      </c>
      <c r="E960" s="3">
        <v>46920</v>
      </c>
      <c r="F960" s="2" t="s">
        <v>38</v>
      </c>
      <c r="G960" s="2" t="s">
        <v>18</v>
      </c>
    </row>
    <row r="961" spans="1:7">
      <c r="A961" s="2">
        <v>960</v>
      </c>
      <c r="B961" s="2" t="s">
        <v>73</v>
      </c>
      <c r="C961" s="2" t="s">
        <v>16</v>
      </c>
      <c r="D961" s="2">
        <v>5</v>
      </c>
      <c r="E961" s="3">
        <v>96669</v>
      </c>
      <c r="F961" s="2" t="s">
        <v>20</v>
      </c>
      <c r="G961" s="2" t="s">
        <v>18</v>
      </c>
    </row>
    <row r="962" spans="1:7">
      <c r="A962" s="2">
        <v>961</v>
      </c>
      <c r="B962" s="2" t="s">
        <v>73</v>
      </c>
      <c r="C962" s="2" t="s">
        <v>16</v>
      </c>
      <c r="D962" s="2">
        <v>23</v>
      </c>
      <c r="E962" s="3">
        <v>77711</v>
      </c>
      <c r="F962" s="2" t="s">
        <v>28</v>
      </c>
      <c r="G962" s="2" t="s">
        <v>23</v>
      </c>
    </row>
    <row r="963" spans="1:7">
      <c r="A963" s="2">
        <v>962</v>
      </c>
      <c r="B963" s="2" t="s">
        <v>51</v>
      </c>
      <c r="C963" s="2" t="s">
        <v>12</v>
      </c>
      <c r="D963" s="2">
        <v>17</v>
      </c>
      <c r="E963" s="3">
        <v>94633</v>
      </c>
      <c r="F963" s="2" t="s">
        <v>17</v>
      </c>
      <c r="G963" s="2" t="s">
        <v>10</v>
      </c>
    </row>
    <row r="964" spans="1:7">
      <c r="A964" s="2">
        <v>963</v>
      </c>
      <c r="B964" s="2" t="s">
        <v>76</v>
      </c>
      <c r="C964" s="2" t="s">
        <v>8</v>
      </c>
      <c r="D964" s="2">
        <v>7</v>
      </c>
      <c r="E964" s="3">
        <v>75292</v>
      </c>
      <c r="F964" s="2" t="s">
        <v>17</v>
      </c>
      <c r="G964" s="2" t="s">
        <v>14</v>
      </c>
    </row>
    <row r="965" spans="1:7">
      <c r="A965" s="2">
        <v>964</v>
      </c>
      <c r="B965" s="2" t="s">
        <v>33</v>
      </c>
      <c r="C965" s="2" t="s">
        <v>12</v>
      </c>
      <c r="D965" s="2">
        <v>47</v>
      </c>
      <c r="E965" s="3">
        <v>62193</v>
      </c>
      <c r="F965" s="2" t="s">
        <v>13</v>
      </c>
      <c r="G965" s="2" t="s">
        <v>14</v>
      </c>
    </row>
    <row r="966" spans="1:7">
      <c r="A966" s="2">
        <v>965</v>
      </c>
      <c r="B966" s="2" t="s">
        <v>37</v>
      </c>
      <c r="C966" s="2" t="s">
        <v>12</v>
      </c>
      <c r="D966" s="2">
        <v>1</v>
      </c>
      <c r="E966" s="3">
        <v>54846</v>
      </c>
      <c r="F966" s="2" t="s">
        <v>20</v>
      </c>
      <c r="G966" s="2" t="s">
        <v>26</v>
      </c>
    </row>
    <row r="967" spans="1:7">
      <c r="A967" s="2">
        <v>966</v>
      </c>
      <c r="B967" s="2" t="s">
        <v>72</v>
      </c>
      <c r="C967" s="2" t="s">
        <v>16</v>
      </c>
      <c r="D967" s="2">
        <v>4</v>
      </c>
      <c r="E967" s="3">
        <v>33534</v>
      </c>
      <c r="F967" s="2" t="s">
        <v>13</v>
      </c>
      <c r="G967" s="2" t="s">
        <v>14</v>
      </c>
    </row>
    <row r="968" spans="1:7">
      <c r="A968" s="2">
        <v>967</v>
      </c>
      <c r="B968" s="2" t="s">
        <v>70</v>
      </c>
      <c r="C968" s="2" t="s">
        <v>8</v>
      </c>
      <c r="D968" s="2">
        <v>25</v>
      </c>
      <c r="E968" s="3">
        <v>80947</v>
      </c>
      <c r="F968" s="2" t="s">
        <v>20</v>
      </c>
      <c r="G968" s="2" t="s">
        <v>23</v>
      </c>
    </row>
    <row r="969" spans="1:7">
      <c r="A969" s="2">
        <v>968</v>
      </c>
      <c r="B969" s="2" t="s">
        <v>30</v>
      </c>
      <c r="C969" s="2" t="s">
        <v>22</v>
      </c>
      <c r="D969" s="2">
        <v>29</v>
      </c>
      <c r="E969" s="3">
        <v>98003</v>
      </c>
      <c r="F969" s="2" t="s">
        <v>28</v>
      </c>
      <c r="G969" s="2" t="s">
        <v>29</v>
      </c>
    </row>
    <row r="970" spans="1:7">
      <c r="A970" s="2">
        <v>969</v>
      </c>
      <c r="B970" s="2" t="s">
        <v>36</v>
      </c>
      <c r="C970" s="2" t="s">
        <v>12</v>
      </c>
      <c r="D970" s="2">
        <v>47</v>
      </c>
      <c r="E970" s="3">
        <v>97568</v>
      </c>
      <c r="F970" s="2" t="s">
        <v>9</v>
      </c>
      <c r="G970" s="2" t="s">
        <v>29</v>
      </c>
    </row>
    <row r="971" spans="1:7">
      <c r="A971" s="2">
        <v>970</v>
      </c>
      <c r="B971" s="2" t="s">
        <v>39</v>
      </c>
      <c r="C971" s="2" t="s">
        <v>22</v>
      </c>
      <c r="D971" s="2">
        <v>27</v>
      </c>
      <c r="E971" s="3">
        <v>74882</v>
      </c>
      <c r="F971" s="2" t="s">
        <v>25</v>
      </c>
      <c r="G971" s="2" t="s">
        <v>14</v>
      </c>
    </row>
    <row r="972" spans="1:7">
      <c r="A972" s="2">
        <v>971</v>
      </c>
      <c r="B972" s="2" t="s">
        <v>79</v>
      </c>
      <c r="C972" s="2" t="s">
        <v>8</v>
      </c>
      <c r="D972" s="2">
        <v>11</v>
      </c>
      <c r="E972" s="3">
        <v>29709</v>
      </c>
      <c r="F972" s="2" t="s">
        <v>20</v>
      </c>
      <c r="G972" s="2" t="s">
        <v>10</v>
      </c>
    </row>
    <row r="973" spans="1:7">
      <c r="A973" s="2">
        <v>972</v>
      </c>
      <c r="B973" s="2" t="s">
        <v>31</v>
      </c>
      <c r="C973" s="2" t="s">
        <v>12</v>
      </c>
      <c r="D973" s="2">
        <v>27</v>
      </c>
      <c r="E973" s="3">
        <v>42117</v>
      </c>
      <c r="F973" s="2" t="s">
        <v>28</v>
      </c>
      <c r="G973" s="2" t="s">
        <v>23</v>
      </c>
    </row>
    <row r="974" spans="1:7">
      <c r="A974" s="2">
        <v>973</v>
      </c>
      <c r="B974" s="2" t="s">
        <v>64</v>
      </c>
      <c r="C974" s="2" t="s">
        <v>22</v>
      </c>
      <c r="D974" s="2">
        <v>32</v>
      </c>
      <c r="E974" s="3">
        <v>93180</v>
      </c>
      <c r="F974" s="2" t="s">
        <v>17</v>
      </c>
      <c r="G974" s="2" t="s">
        <v>14</v>
      </c>
    </row>
    <row r="975" spans="1:7">
      <c r="A975" s="2">
        <v>974</v>
      </c>
      <c r="B975" s="2" t="s">
        <v>60</v>
      </c>
      <c r="C975" s="2" t="s">
        <v>22</v>
      </c>
      <c r="D975" s="2">
        <v>25</v>
      </c>
      <c r="E975" s="3">
        <v>36197</v>
      </c>
      <c r="F975" s="2" t="s">
        <v>13</v>
      </c>
      <c r="G975" s="2" t="s">
        <v>14</v>
      </c>
    </row>
    <row r="976" spans="1:7">
      <c r="A976" s="2">
        <v>975</v>
      </c>
      <c r="B976" s="2" t="s">
        <v>88</v>
      </c>
      <c r="C976" s="2" t="s">
        <v>16</v>
      </c>
      <c r="D976" s="2">
        <v>23</v>
      </c>
      <c r="E976" s="3">
        <v>38286</v>
      </c>
      <c r="F976" s="2" t="s">
        <v>32</v>
      </c>
      <c r="G976" s="2" t="s">
        <v>29</v>
      </c>
    </row>
    <row r="977" spans="1:7">
      <c r="A977" s="2">
        <v>976</v>
      </c>
      <c r="B977" s="2" t="s">
        <v>51</v>
      </c>
      <c r="C977" s="2" t="s">
        <v>8</v>
      </c>
      <c r="D977" s="2">
        <v>35</v>
      </c>
      <c r="E977" s="3">
        <v>55747</v>
      </c>
      <c r="F977" s="2" t="s">
        <v>32</v>
      </c>
      <c r="G977" s="2" t="s">
        <v>26</v>
      </c>
    </row>
    <row r="978" spans="1:7">
      <c r="A978" s="2">
        <v>977</v>
      </c>
      <c r="B978" s="2" t="s">
        <v>91</v>
      </c>
      <c r="C978" s="2" t="s">
        <v>8</v>
      </c>
      <c r="D978" s="2">
        <v>25</v>
      </c>
      <c r="E978" s="3">
        <v>87534</v>
      </c>
      <c r="F978" s="2" t="s">
        <v>38</v>
      </c>
      <c r="G978" s="2" t="s">
        <v>10</v>
      </c>
    </row>
    <row r="979" spans="1:7">
      <c r="A979" s="2">
        <v>978</v>
      </c>
      <c r="B979" s="2" t="s">
        <v>73</v>
      </c>
      <c r="C979" s="2" t="s">
        <v>8</v>
      </c>
      <c r="D979" s="2">
        <v>7</v>
      </c>
      <c r="E979" s="3">
        <v>69553</v>
      </c>
      <c r="F979" s="2" t="s">
        <v>20</v>
      </c>
      <c r="G979" s="2" t="s">
        <v>23</v>
      </c>
    </row>
    <row r="980" spans="1:7">
      <c r="A980" s="2">
        <v>979</v>
      </c>
      <c r="B980" s="2" t="s">
        <v>86</v>
      </c>
      <c r="C980" s="2" t="s">
        <v>12</v>
      </c>
      <c r="D980" s="2">
        <v>31</v>
      </c>
      <c r="E980" s="3">
        <v>81839</v>
      </c>
      <c r="F980" s="2" t="s">
        <v>20</v>
      </c>
      <c r="G980" s="2" t="s">
        <v>23</v>
      </c>
    </row>
    <row r="981" spans="1:7">
      <c r="A981" s="2">
        <v>980</v>
      </c>
      <c r="B981" s="2" t="s">
        <v>39</v>
      </c>
      <c r="C981" s="2" t="s">
        <v>16</v>
      </c>
      <c r="D981" s="2">
        <v>37</v>
      </c>
      <c r="E981" s="3">
        <v>44044</v>
      </c>
      <c r="F981" s="2" t="s">
        <v>9</v>
      </c>
      <c r="G981" s="2" t="s">
        <v>18</v>
      </c>
    </row>
    <row r="982" spans="1:7">
      <c r="A982" s="2">
        <v>981</v>
      </c>
      <c r="B982" s="2" t="s">
        <v>70</v>
      </c>
      <c r="C982" s="2" t="s">
        <v>12</v>
      </c>
      <c r="D982" s="2">
        <v>42</v>
      </c>
      <c r="E982" s="3">
        <v>87637</v>
      </c>
      <c r="F982" s="2" t="s">
        <v>28</v>
      </c>
      <c r="G982" s="2" t="s">
        <v>10</v>
      </c>
    </row>
    <row r="983" spans="1:7">
      <c r="A983" s="2">
        <v>982</v>
      </c>
      <c r="B983" s="2" t="s">
        <v>41</v>
      </c>
      <c r="C983" s="2" t="s">
        <v>8</v>
      </c>
      <c r="D983" s="2">
        <v>49</v>
      </c>
      <c r="E983" s="3">
        <v>32869</v>
      </c>
      <c r="F983" s="2" t="s">
        <v>13</v>
      </c>
      <c r="G983" s="2" t="s">
        <v>29</v>
      </c>
    </row>
    <row r="984" spans="1:7">
      <c r="A984" s="2">
        <v>983</v>
      </c>
      <c r="B984" s="2" t="s">
        <v>73</v>
      </c>
      <c r="C984" s="2" t="s">
        <v>12</v>
      </c>
      <c r="D984" s="2">
        <v>44</v>
      </c>
      <c r="E984" s="3">
        <v>81338</v>
      </c>
      <c r="F984" s="2" t="s">
        <v>17</v>
      </c>
      <c r="G984" s="2" t="s">
        <v>26</v>
      </c>
    </row>
    <row r="985" spans="1:7">
      <c r="A985" s="2">
        <v>984</v>
      </c>
      <c r="B985" s="2" t="s">
        <v>84</v>
      </c>
      <c r="C985" s="2" t="s">
        <v>22</v>
      </c>
      <c r="D985" s="2">
        <v>15</v>
      </c>
      <c r="E985" s="3">
        <v>29603</v>
      </c>
      <c r="F985" s="2" t="s">
        <v>28</v>
      </c>
      <c r="G985" s="2" t="s">
        <v>26</v>
      </c>
    </row>
    <row r="986" spans="1:7">
      <c r="A986" s="2">
        <v>985</v>
      </c>
      <c r="B986" s="2" t="s">
        <v>80</v>
      </c>
      <c r="C986" s="2" t="s">
        <v>12</v>
      </c>
      <c r="D986" s="2">
        <v>11</v>
      </c>
      <c r="E986" s="3">
        <v>33914</v>
      </c>
      <c r="F986" s="2" t="s">
        <v>17</v>
      </c>
      <c r="G986" s="2" t="s">
        <v>18</v>
      </c>
    </row>
    <row r="987" spans="1:7">
      <c r="A987" s="2">
        <v>986</v>
      </c>
      <c r="B987" s="2" t="s">
        <v>78</v>
      </c>
      <c r="C987" s="2" t="s">
        <v>12</v>
      </c>
      <c r="D987" s="2">
        <v>29</v>
      </c>
      <c r="E987" s="3">
        <v>74697</v>
      </c>
      <c r="F987" s="2" t="s">
        <v>25</v>
      </c>
      <c r="G987" s="2" t="s">
        <v>29</v>
      </c>
    </row>
    <row r="988" spans="1:7">
      <c r="A988" s="2">
        <v>987</v>
      </c>
      <c r="B988" s="2" t="s">
        <v>30</v>
      </c>
      <c r="C988" s="2" t="s">
        <v>8</v>
      </c>
      <c r="D988" s="2">
        <v>5</v>
      </c>
      <c r="E988" s="3">
        <v>81285</v>
      </c>
      <c r="F988" s="2" t="s">
        <v>9</v>
      </c>
      <c r="G988" s="2" t="s">
        <v>14</v>
      </c>
    </row>
    <row r="989" spans="1:7">
      <c r="A989" s="2">
        <v>988</v>
      </c>
      <c r="B989" s="2" t="s">
        <v>46</v>
      </c>
      <c r="C989" s="2" t="s">
        <v>22</v>
      </c>
      <c r="D989" s="2">
        <v>3</v>
      </c>
      <c r="E989" s="3">
        <v>52253</v>
      </c>
      <c r="F989" s="2" t="s">
        <v>9</v>
      </c>
      <c r="G989" s="2" t="s">
        <v>18</v>
      </c>
    </row>
    <row r="990" spans="1:7">
      <c r="A990" s="2">
        <v>989</v>
      </c>
      <c r="B990" s="2" t="s">
        <v>79</v>
      </c>
      <c r="C990" s="2" t="s">
        <v>8</v>
      </c>
      <c r="D990" s="2">
        <v>19</v>
      </c>
      <c r="E990" s="3">
        <v>54230</v>
      </c>
      <c r="F990" s="2" t="s">
        <v>9</v>
      </c>
      <c r="G990" s="2" t="s">
        <v>29</v>
      </c>
    </row>
    <row r="991" spans="1:7">
      <c r="A991" s="2">
        <v>990</v>
      </c>
      <c r="B991" s="2" t="s">
        <v>21</v>
      </c>
      <c r="C991" s="2" t="s">
        <v>22</v>
      </c>
      <c r="D991" s="2">
        <v>2</v>
      </c>
      <c r="E991" s="3">
        <v>70224</v>
      </c>
      <c r="F991" s="2" t="s">
        <v>25</v>
      </c>
      <c r="G991" s="2" t="s">
        <v>14</v>
      </c>
    </row>
    <row r="992" spans="1:7">
      <c r="A992" s="2">
        <v>991</v>
      </c>
      <c r="B992" s="2" t="s">
        <v>63</v>
      </c>
      <c r="C992" s="2" t="s">
        <v>22</v>
      </c>
      <c r="D992" s="2">
        <v>21</v>
      </c>
      <c r="E992" s="3">
        <v>43663</v>
      </c>
      <c r="F992" s="2" t="s">
        <v>32</v>
      </c>
      <c r="G992" s="2" t="s">
        <v>29</v>
      </c>
    </row>
    <row r="993" spans="1:7">
      <c r="A993" s="2">
        <v>992</v>
      </c>
      <c r="B993" s="2" t="s">
        <v>81</v>
      </c>
      <c r="C993" s="2" t="s">
        <v>22</v>
      </c>
      <c r="D993" s="2">
        <v>17</v>
      </c>
      <c r="E993" s="3">
        <v>81538</v>
      </c>
      <c r="F993" s="2" t="s">
        <v>28</v>
      </c>
      <c r="G993" s="2" t="s">
        <v>26</v>
      </c>
    </row>
    <row r="994" spans="1:7">
      <c r="A994" s="2">
        <v>993</v>
      </c>
      <c r="B994" s="2" t="s">
        <v>46</v>
      </c>
      <c r="C994" s="2" t="s">
        <v>8</v>
      </c>
      <c r="D994" s="2">
        <v>7</v>
      </c>
      <c r="E994" s="3">
        <v>91264</v>
      </c>
      <c r="F994" s="2" t="s">
        <v>32</v>
      </c>
      <c r="G994" s="2" t="s">
        <v>10</v>
      </c>
    </row>
    <row r="995" spans="1:7">
      <c r="A995" s="2">
        <v>994</v>
      </c>
      <c r="B995" s="2" t="s">
        <v>60</v>
      </c>
      <c r="C995" s="2" t="s">
        <v>22</v>
      </c>
      <c r="D995" s="2">
        <v>5</v>
      </c>
      <c r="E995" s="3">
        <v>37810</v>
      </c>
      <c r="F995" s="2" t="s">
        <v>38</v>
      </c>
      <c r="G995" s="2" t="s">
        <v>29</v>
      </c>
    </row>
    <row r="996" spans="1:7">
      <c r="A996" s="2">
        <v>995</v>
      </c>
      <c r="B996" s="2" t="s">
        <v>62</v>
      </c>
      <c r="C996" s="2" t="s">
        <v>16</v>
      </c>
      <c r="D996" s="2">
        <v>22</v>
      </c>
      <c r="E996" s="3">
        <v>98131</v>
      </c>
      <c r="F996" s="2" t="s">
        <v>20</v>
      </c>
      <c r="G996" s="2" t="s">
        <v>10</v>
      </c>
    </row>
    <row r="997" spans="1:7">
      <c r="A997" s="2">
        <v>996</v>
      </c>
      <c r="B997" s="2" t="s">
        <v>82</v>
      </c>
      <c r="C997" s="2" t="s">
        <v>16</v>
      </c>
      <c r="D997" s="2">
        <v>11</v>
      </c>
      <c r="E997" s="3">
        <v>89586</v>
      </c>
      <c r="F997" s="2" t="s">
        <v>38</v>
      </c>
      <c r="G997" s="2" t="s">
        <v>29</v>
      </c>
    </row>
    <row r="998" spans="1:7">
      <c r="A998" s="2">
        <v>997</v>
      </c>
      <c r="B998" s="2" t="s">
        <v>69</v>
      </c>
      <c r="C998" s="2" t="s">
        <v>16</v>
      </c>
      <c r="D998" s="2">
        <v>25</v>
      </c>
      <c r="E998" s="3">
        <v>38270</v>
      </c>
      <c r="F998" s="2" t="s">
        <v>9</v>
      </c>
      <c r="G998" s="2" t="s">
        <v>14</v>
      </c>
    </row>
    <row r="999" spans="1:7">
      <c r="A999" s="2">
        <v>998</v>
      </c>
      <c r="B999" s="2" t="s">
        <v>57</v>
      </c>
      <c r="C999" s="2" t="s">
        <v>16</v>
      </c>
      <c r="D999" s="2">
        <v>11</v>
      </c>
      <c r="E999" s="3">
        <v>32927</v>
      </c>
      <c r="F999" s="2" t="s">
        <v>20</v>
      </c>
      <c r="G999" s="2" t="s">
        <v>10</v>
      </c>
    </row>
    <row r="1000" spans="1:7">
      <c r="A1000" s="2">
        <v>999</v>
      </c>
      <c r="B1000" s="2" t="s">
        <v>62</v>
      </c>
      <c r="C1000" s="2" t="s">
        <v>8</v>
      </c>
      <c r="D1000" s="2">
        <v>47</v>
      </c>
      <c r="E1000" s="3">
        <v>41625</v>
      </c>
      <c r="F1000" s="2" t="s">
        <v>32</v>
      </c>
      <c r="G1000" s="2" t="s">
        <v>23</v>
      </c>
    </row>
    <row r="1001" spans="1:7">
      <c r="A1001" s="2">
        <v>1000</v>
      </c>
      <c r="B1001" s="2" t="s">
        <v>45</v>
      </c>
      <c r="C1001" s="2" t="s">
        <v>12</v>
      </c>
      <c r="D1001" s="2">
        <v>5</v>
      </c>
      <c r="E1001" s="3">
        <v>34442</v>
      </c>
      <c r="F1001" s="2" t="s">
        <v>13</v>
      </c>
      <c r="G1001" s="2" t="s">
        <v>10</v>
      </c>
    </row>
  </sheetData>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6B17-7EC5-474D-9798-6352340AB8C0}">
  <sheetPr>
    <tabColor rgb="FF0070C0"/>
  </sheetPr>
  <dimension ref="A1:K1001"/>
  <sheetViews>
    <sheetView topLeftCell="C1" workbookViewId="0">
      <selection activeCell="I19" sqref="I19"/>
    </sheetView>
  </sheetViews>
  <sheetFormatPr defaultRowHeight="15"/>
  <cols>
    <col min="2" max="2" width="23.42578125" customWidth="1"/>
    <col min="3" max="3" width="11.140625" customWidth="1"/>
    <col min="4" max="4" width="25.85546875" customWidth="1"/>
    <col min="5" max="5" width="17.28515625" customWidth="1"/>
    <col min="6" max="6" width="16.42578125" customWidth="1"/>
    <col min="7" max="7" width="10.28515625" customWidth="1"/>
    <col min="10" max="10" width="23.42578125" customWidth="1"/>
    <col min="11" max="11" width="14.85546875" customWidth="1"/>
  </cols>
  <sheetData>
    <row r="1" spans="1:11">
      <c r="A1" s="1" t="s">
        <v>0</v>
      </c>
      <c r="B1" s="1" t="s">
        <v>1</v>
      </c>
      <c r="C1" s="1" t="s">
        <v>2</v>
      </c>
      <c r="D1" s="1" t="s">
        <v>3</v>
      </c>
      <c r="E1" s="1" t="s">
        <v>4</v>
      </c>
      <c r="F1" s="1" t="s">
        <v>5</v>
      </c>
      <c r="G1" s="1" t="s">
        <v>6</v>
      </c>
    </row>
    <row r="2" spans="1:11">
      <c r="A2" s="2">
        <v>1</v>
      </c>
      <c r="B2" s="2" t="s">
        <v>7</v>
      </c>
      <c r="C2" s="2" t="s">
        <v>8</v>
      </c>
      <c r="D2" s="2">
        <v>30</v>
      </c>
      <c r="E2" s="3">
        <v>77024</v>
      </c>
      <c r="F2" s="2" t="s">
        <v>9</v>
      </c>
      <c r="G2" s="2" t="s">
        <v>10</v>
      </c>
    </row>
    <row r="3" spans="1:11">
      <c r="A3" s="2">
        <v>2</v>
      </c>
      <c r="B3" s="2" t="s">
        <v>11</v>
      </c>
      <c r="C3" s="2" t="s">
        <v>12</v>
      </c>
      <c r="D3" s="2">
        <v>15</v>
      </c>
      <c r="E3" s="3">
        <v>37515</v>
      </c>
      <c r="F3" s="2" t="s">
        <v>13</v>
      </c>
      <c r="G3" s="2" t="s">
        <v>14</v>
      </c>
    </row>
    <row r="4" spans="1:11">
      <c r="A4" s="2">
        <v>3</v>
      </c>
      <c r="B4" s="2" t="s">
        <v>15</v>
      </c>
      <c r="C4" s="2" t="s">
        <v>16</v>
      </c>
      <c r="D4" s="2">
        <v>26</v>
      </c>
      <c r="E4" s="3">
        <v>93173</v>
      </c>
      <c r="F4" s="2" t="s">
        <v>17</v>
      </c>
      <c r="G4" s="2" t="s">
        <v>18</v>
      </c>
      <c r="J4" t="s">
        <v>98</v>
      </c>
      <c r="K4" t="s">
        <v>99</v>
      </c>
    </row>
    <row r="5" spans="1:11">
      <c r="A5" s="2">
        <v>4</v>
      </c>
      <c r="B5" s="2" t="s">
        <v>19</v>
      </c>
      <c r="C5" s="2" t="s">
        <v>12</v>
      </c>
      <c r="D5" s="2">
        <v>41</v>
      </c>
      <c r="E5" s="3">
        <v>79996</v>
      </c>
      <c r="F5" s="2" t="s">
        <v>20</v>
      </c>
      <c r="G5" s="2" t="s">
        <v>18</v>
      </c>
      <c r="J5" t="s">
        <v>100</v>
      </c>
      <c r="K5">
        <f>COUNTIF(F:F,"Diana Ross")</f>
        <v>129</v>
      </c>
    </row>
    <row r="6" spans="1:11">
      <c r="A6" s="2">
        <v>5</v>
      </c>
      <c r="B6" s="2" t="s">
        <v>21</v>
      </c>
      <c r="C6" s="2" t="s">
        <v>22</v>
      </c>
      <c r="D6" s="2">
        <v>12</v>
      </c>
      <c r="E6" s="3">
        <v>31822</v>
      </c>
      <c r="F6" s="2" t="s">
        <v>13</v>
      </c>
      <c r="G6" s="2" t="s">
        <v>23</v>
      </c>
    </row>
    <row r="7" spans="1:11">
      <c r="A7" s="2">
        <v>6</v>
      </c>
      <c r="B7" s="2" t="s">
        <v>24</v>
      </c>
      <c r="C7" s="2" t="s">
        <v>16</v>
      </c>
      <c r="D7" s="2">
        <v>12</v>
      </c>
      <c r="E7" s="3">
        <v>75831</v>
      </c>
      <c r="F7" s="2" t="s">
        <v>25</v>
      </c>
      <c r="G7" s="2" t="s">
        <v>26</v>
      </c>
    </row>
    <row r="8" spans="1:11">
      <c r="A8" s="2">
        <v>7</v>
      </c>
      <c r="B8" s="2" t="s">
        <v>27</v>
      </c>
      <c r="C8" s="2" t="s">
        <v>12</v>
      </c>
      <c r="D8" s="2">
        <v>41</v>
      </c>
      <c r="E8" s="3">
        <v>96909</v>
      </c>
      <c r="F8" s="2" t="s">
        <v>28</v>
      </c>
      <c r="G8" s="2" t="s">
        <v>29</v>
      </c>
    </row>
    <row r="9" spans="1:11">
      <c r="A9" s="2">
        <v>8</v>
      </c>
      <c r="B9" s="2" t="s">
        <v>30</v>
      </c>
      <c r="C9" s="2" t="s">
        <v>8</v>
      </c>
      <c r="D9" s="2">
        <v>43</v>
      </c>
      <c r="E9" s="3">
        <v>98569</v>
      </c>
      <c r="F9" s="2" t="s">
        <v>9</v>
      </c>
      <c r="G9" s="2" t="s">
        <v>14</v>
      </c>
    </row>
    <row r="10" spans="1:11">
      <c r="A10" s="2">
        <v>9</v>
      </c>
      <c r="B10" s="2" t="s">
        <v>31</v>
      </c>
      <c r="C10" s="2" t="s">
        <v>22</v>
      </c>
      <c r="D10" s="2">
        <v>28</v>
      </c>
      <c r="E10" s="3">
        <v>78423</v>
      </c>
      <c r="F10" s="2" t="s">
        <v>32</v>
      </c>
      <c r="G10" s="2" t="s">
        <v>26</v>
      </c>
    </row>
    <row r="11" spans="1:11">
      <c r="A11" s="2">
        <v>10</v>
      </c>
      <c r="B11" s="2" t="s">
        <v>33</v>
      </c>
      <c r="C11" s="2" t="s">
        <v>12</v>
      </c>
      <c r="D11" s="2">
        <v>26</v>
      </c>
      <c r="E11" s="3">
        <v>29769</v>
      </c>
      <c r="F11" s="2" t="s">
        <v>20</v>
      </c>
      <c r="G11" s="2" t="s">
        <v>29</v>
      </c>
    </row>
    <row r="12" spans="1:11">
      <c r="A12" s="2">
        <v>11</v>
      </c>
      <c r="B12" s="2" t="s">
        <v>34</v>
      </c>
      <c r="C12" s="2" t="s">
        <v>22</v>
      </c>
      <c r="D12" s="2">
        <v>2</v>
      </c>
      <c r="E12" s="3">
        <v>59644</v>
      </c>
      <c r="F12" s="2" t="s">
        <v>28</v>
      </c>
      <c r="G12" s="2" t="s">
        <v>26</v>
      </c>
    </row>
    <row r="13" spans="1:11">
      <c r="A13" s="2">
        <v>12</v>
      </c>
      <c r="B13" s="2" t="s">
        <v>35</v>
      </c>
      <c r="C13" s="2" t="s">
        <v>12</v>
      </c>
      <c r="D13" s="2">
        <v>48</v>
      </c>
      <c r="E13" s="3">
        <v>84311</v>
      </c>
      <c r="F13" s="2" t="s">
        <v>13</v>
      </c>
      <c r="G13" s="2" t="s">
        <v>18</v>
      </c>
    </row>
    <row r="14" spans="1:11">
      <c r="A14" s="2">
        <v>13</v>
      </c>
      <c r="B14" s="2" t="s">
        <v>36</v>
      </c>
      <c r="C14" s="2" t="s">
        <v>8</v>
      </c>
      <c r="D14" s="2">
        <v>40</v>
      </c>
      <c r="E14" s="3">
        <v>65822</v>
      </c>
      <c r="F14" s="2" t="s">
        <v>28</v>
      </c>
      <c r="G14" s="2" t="s">
        <v>18</v>
      </c>
    </row>
    <row r="15" spans="1:11">
      <c r="A15" s="2">
        <v>14</v>
      </c>
      <c r="B15" s="2" t="s">
        <v>7</v>
      </c>
      <c r="C15" s="2" t="s">
        <v>16</v>
      </c>
      <c r="D15" s="2">
        <v>13</v>
      </c>
      <c r="E15" s="3">
        <v>41907</v>
      </c>
      <c r="F15" s="2" t="s">
        <v>32</v>
      </c>
      <c r="G15" s="2" t="s">
        <v>14</v>
      </c>
    </row>
    <row r="16" spans="1:11">
      <c r="A16" s="2">
        <v>15</v>
      </c>
      <c r="B16" s="2" t="s">
        <v>37</v>
      </c>
      <c r="C16" s="2" t="s">
        <v>12</v>
      </c>
      <c r="D16" s="2">
        <v>29</v>
      </c>
      <c r="E16" s="3">
        <v>32717</v>
      </c>
      <c r="F16" s="2" t="s">
        <v>38</v>
      </c>
      <c r="G16" s="2" t="s">
        <v>18</v>
      </c>
    </row>
    <row r="17" spans="1:7">
      <c r="A17" s="2">
        <v>16</v>
      </c>
      <c r="B17" s="2" t="s">
        <v>21</v>
      </c>
      <c r="C17" s="2" t="s">
        <v>22</v>
      </c>
      <c r="D17" s="2">
        <v>38</v>
      </c>
      <c r="E17" s="3">
        <v>70228</v>
      </c>
      <c r="F17" s="2" t="s">
        <v>38</v>
      </c>
      <c r="G17" s="2" t="s">
        <v>18</v>
      </c>
    </row>
    <row r="18" spans="1:7">
      <c r="A18" s="2">
        <v>17</v>
      </c>
      <c r="B18" s="2" t="s">
        <v>39</v>
      </c>
      <c r="C18" s="2" t="s">
        <v>8</v>
      </c>
      <c r="D18" s="2">
        <v>28</v>
      </c>
      <c r="E18" s="3">
        <v>63314</v>
      </c>
      <c r="F18" s="2" t="s">
        <v>20</v>
      </c>
      <c r="G18" s="2" t="s">
        <v>23</v>
      </c>
    </row>
    <row r="19" spans="1:7">
      <c r="A19" s="2">
        <v>18</v>
      </c>
      <c r="B19" s="2" t="s">
        <v>40</v>
      </c>
      <c r="C19" s="2" t="s">
        <v>16</v>
      </c>
      <c r="D19" s="2">
        <v>25</v>
      </c>
      <c r="E19" s="3">
        <v>58509</v>
      </c>
      <c r="F19" s="2" t="s">
        <v>38</v>
      </c>
      <c r="G19" s="2" t="s">
        <v>23</v>
      </c>
    </row>
    <row r="20" spans="1:7">
      <c r="A20" s="2">
        <v>19</v>
      </c>
      <c r="B20" s="2" t="s">
        <v>36</v>
      </c>
      <c r="C20" s="2" t="s">
        <v>22</v>
      </c>
      <c r="D20" s="2">
        <v>1</v>
      </c>
      <c r="E20" s="3">
        <v>46884</v>
      </c>
      <c r="F20" s="2" t="s">
        <v>13</v>
      </c>
      <c r="G20" s="2" t="s">
        <v>18</v>
      </c>
    </row>
    <row r="21" spans="1:7">
      <c r="A21" s="2">
        <v>20</v>
      </c>
      <c r="B21" s="2" t="s">
        <v>30</v>
      </c>
      <c r="C21" s="2" t="s">
        <v>8</v>
      </c>
      <c r="D21" s="2">
        <v>46</v>
      </c>
      <c r="E21" s="3">
        <v>49657</v>
      </c>
      <c r="F21" s="2" t="s">
        <v>32</v>
      </c>
      <c r="G21" s="2" t="s">
        <v>14</v>
      </c>
    </row>
    <row r="22" spans="1:7">
      <c r="A22" s="2">
        <v>21</v>
      </c>
      <c r="B22" s="2" t="s">
        <v>37</v>
      </c>
      <c r="C22" s="2" t="s">
        <v>22</v>
      </c>
      <c r="D22" s="2">
        <v>14</v>
      </c>
      <c r="E22" s="3">
        <v>78900</v>
      </c>
      <c r="F22" s="2" t="s">
        <v>17</v>
      </c>
      <c r="G22" s="2" t="s">
        <v>14</v>
      </c>
    </row>
    <row r="23" spans="1:7">
      <c r="A23" s="2">
        <v>22</v>
      </c>
      <c r="B23" s="2" t="s">
        <v>39</v>
      </c>
      <c r="C23" s="2" t="s">
        <v>8</v>
      </c>
      <c r="D23" s="2">
        <v>14</v>
      </c>
      <c r="E23" s="3">
        <v>72159</v>
      </c>
      <c r="F23" s="2" t="s">
        <v>13</v>
      </c>
      <c r="G23" s="2" t="s">
        <v>26</v>
      </c>
    </row>
    <row r="24" spans="1:7">
      <c r="A24" s="2">
        <v>23</v>
      </c>
      <c r="B24" s="2" t="s">
        <v>41</v>
      </c>
      <c r="C24" s="2" t="s">
        <v>16</v>
      </c>
      <c r="D24" s="2">
        <v>18</v>
      </c>
      <c r="E24" s="3">
        <v>55875</v>
      </c>
      <c r="F24" s="2" t="s">
        <v>17</v>
      </c>
      <c r="G24" s="2" t="s">
        <v>18</v>
      </c>
    </row>
    <row r="25" spans="1:7">
      <c r="A25" s="2">
        <v>24</v>
      </c>
      <c r="B25" s="2" t="s">
        <v>42</v>
      </c>
      <c r="C25" s="2" t="s">
        <v>16</v>
      </c>
      <c r="D25" s="2">
        <v>49</v>
      </c>
      <c r="E25" s="3">
        <v>40668</v>
      </c>
      <c r="F25" s="2" t="s">
        <v>20</v>
      </c>
      <c r="G25" s="2" t="s">
        <v>18</v>
      </c>
    </row>
    <row r="26" spans="1:7">
      <c r="A26" s="2">
        <v>25</v>
      </c>
      <c r="B26" s="2" t="s">
        <v>43</v>
      </c>
      <c r="C26" s="2" t="s">
        <v>22</v>
      </c>
      <c r="D26" s="2">
        <v>46</v>
      </c>
      <c r="E26" s="3">
        <v>29660</v>
      </c>
      <c r="F26" s="2" t="s">
        <v>25</v>
      </c>
      <c r="G26" s="2" t="s">
        <v>10</v>
      </c>
    </row>
    <row r="27" spans="1:7">
      <c r="A27" s="2">
        <v>26</v>
      </c>
      <c r="B27" s="2" t="s">
        <v>40</v>
      </c>
      <c r="C27" s="2" t="s">
        <v>8</v>
      </c>
      <c r="D27" s="2">
        <v>5</v>
      </c>
      <c r="E27" s="3">
        <v>40017</v>
      </c>
      <c r="F27" s="2" t="s">
        <v>13</v>
      </c>
      <c r="G27" s="2" t="s">
        <v>26</v>
      </c>
    </row>
    <row r="28" spans="1:7">
      <c r="A28" s="2">
        <v>27</v>
      </c>
      <c r="B28" s="2" t="s">
        <v>44</v>
      </c>
      <c r="C28" s="2" t="s">
        <v>12</v>
      </c>
      <c r="D28" s="2">
        <v>37</v>
      </c>
      <c r="E28" s="3">
        <v>67150</v>
      </c>
      <c r="F28" s="2" t="s">
        <v>28</v>
      </c>
      <c r="G28" s="2" t="s">
        <v>23</v>
      </c>
    </row>
    <row r="29" spans="1:7">
      <c r="A29" s="2">
        <v>28</v>
      </c>
      <c r="B29" s="2" t="s">
        <v>45</v>
      </c>
      <c r="C29" s="2" t="s">
        <v>16</v>
      </c>
      <c r="D29" s="2">
        <v>7</v>
      </c>
      <c r="E29" s="3">
        <v>60180</v>
      </c>
      <c r="F29" s="2" t="s">
        <v>28</v>
      </c>
      <c r="G29" s="2" t="s">
        <v>23</v>
      </c>
    </row>
    <row r="30" spans="1:7">
      <c r="A30" s="2">
        <v>29</v>
      </c>
      <c r="B30" s="2" t="s">
        <v>46</v>
      </c>
      <c r="C30" s="2" t="s">
        <v>12</v>
      </c>
      <c r="D30" s="2">
        <v>35</v>
      </c>
      <c r="E30" s="3">
        <v>96396</v>
      </c>
      <c r="F30" s="2" t="s">
        <v>13</v>
      </c>
      <c r="G30" s="2" t="s">
        <v>14</v>
      </c>
    </row>
    <row r="31" spans="1:7">
      <c r="A31" s="2">
        <v>30</v>
      </c>
      <c r="B31" s="2" t="s">
        <v>47</v>
      </c>
      <c r="C31" s="2" t="s">
        <v>12</v>
      </c>
      <c r="D31" s="2">
        <v>12</v>
      </c>
      <c r="E31" s="3">
        <v>96639</v>
      </c>
      <c r="F31" s="2" t="s">
        <v>17</v>
      </c>
      <c r="G31" s="2" t="s">
        <v>29</v>
      </c>
    </row>
    <row r="32" spans="1:7">
      <c r="A32" s="2">
        <v>31</v>
      </c>
      <c r="B32" s="2" t="s">
        <v>48</v>
      </c>
      <c r="C32" s="2" t="s">
        <v>22</v>
      </c>
      <c r="D32" s="2">
        <v>24</v>
      </c>
      <c r="E32" s="3">
        <v>67390</v>
      </c>
      <c r="F32" s="2" t="s">
        <v>28</v>
      </c>
      <c r="G32" s="2" t="s">
        <v>29</v>
      </c>
    </row>
    <row r="33" spans="1:7">
      <c r="A33" s="2">
        <v>32</v>
      </c>
      <c r="B33" s="2" t="s">
        <v>49</v>
      </c>
      <c r="C33" s="2" t="s">
        <v>22</v>
      </c>
      <c r="D33" s="2">
        <v>21</v>
      </c>
      <c r="E33" s="3">
        <v>34904</v>
      </c>
      <c r="F33" s="2" t="s">
        <v>13</v>
      </c>
      <c r="G33" s="2" t="s">
        <v>18</v>
      </c>
    </row>
    <row r="34" spans="1:7">
      <c r="A34" s="2">
        <v>33</v>
      </c>
      <c r="B34" s="2" t="s">
        <v>50</v>
      </c>
      <c r="C34" s="2" t="s">
        <v>22</v>
      </c>
      <c r="D34" s="2">
        <v>13</v>
      </c>
      <c r="E34" s="3">
        <v>96628</v>
      </c>
      <c r="F34" s="2" t="s">
        <v>32</v>
      </c>
      <c r="G34" s="2" t="s">
        <v>18</v>
      </c>
    </row>
    <row r="35" spans="1:7">
      <c r="A35" s="2">
        <v>34</v>
      </c>
      <c r="B35" s="2" t="s">
        <v>42</v>
      </c>
      <c r="C35" s="2" t="s">
        <v>8</v>
      </c>
      <c r="D35" s="2">
        <v>30</v>
      </c>
      <c r="E35" s="3">
        <v>75254</v>
      </c>
      <c r="F35" s="2" t="s">
        <v>13</v>
      </c>
      <c r="G35" s="2" t="s">
        <v>26</v>
      </c>
    </row>
    <row r="36" spans="1:7">
      <c r="A36" s="2">
        <v>35</v>
      </c>
      <c r="B36" s="2" t="s">
        <v>48</v>
      </c>
      <c r="C36" s="2" t="s">
        <v>16</v>
      </c>
      <c r="D36" s="2">
        <v>8</v>
      </c>
      <c r="E36" s="3">
        <v>80934</v>
      </c>
      <c r="F36" s="2" t="s">
        <v>9</v>
      </c>
      <c r="G36" s="2" t="s">
        <v>10</v>
      </c>
    </row>
    <row r="37" spans="1:7">
      <c r="A37" s="2">
        <v>36</v>
      </c>
      <c r="B37" s="2" t="s">
        <v>27</v>
      </c>
      <c r="C37" s="2" t="s">
        <v>16</v>
      </c>
      <c r="D37" s="2">
        <v>17</v>
      </c>
      <c r="E37" s="3">
        <v>65565</v>
      </c>
      <c r="F37" s="2" t="s">
        <v>25</v>
      </c>
      <c r="G37" s="2" t="s">
        <v>10</v>
      </c>
    </row>
    <row r="38" spans="1:7">
      <c r="A38" s="2">
        <v>37</v>
      </c>
      <c r="B38" s="2" t="s">
        <v>31</v>
      </c>
      <c r="C38" s="2" t="s">
        <v>12</v>
      </c>
      <c r="D38" s="2">
        <v>43</v>
      </c>
      <c r="E38" s="3">
        <v>84273</v>
      </c>
      <c r="F38" s="2" t="s">
        <v>17</v>
      </c>
      <c r="G38" s="2" t="s">
        <v>14</v>
      </c>
    </row>
    <row r="39" spans="1:7">
      <c r="A39" s="2">
        <v>38</v>
      </c>
      <c r="B39" s="2" t="s">
        <v>34</v>
      </c>
      <c r="C39" s="2" t="s">
        <v>22</v>
      </c>
      <c r="D39" s="2">
        <v>32</v>
      </c>
      <c r="E39" s="3">
        <v>37016</v>
      </c>
      <c r="F39" s="2" t="s">
        <v>9</v>
      </c>
      <c r="G39" s="2" t="s">
        <v>26</v>
      </c>
    </row>
    <row r="40" spans="1:7">
      <c r="A40" s="2">
        <v>39</v>
      </c>
      <c r="B40" s="2" t="s">
        <v>51</v>
      </c>
      <c r="C40" s="2" t="s">
        <v>8</v>
      </c>
      <c r="D40" s="2">
        <v>34</v>
      </c>
      <c r="E40" s="3">
        <v>54005</v>
      </c>
      <c r="F40" s="2" t="s">
        <v>28</v>
      </c>
      <c r="G40" s="2" t="s">
        <v>29</v>
      </c>
    </row>
    <row r="41" spans="1:7">
      <c r="A41" s="2">
        <v>40</v>
      </c>
      <c r="B41" s="2" t="s">
        <v>52</v>
      </c>
      <c r="C41" s="2" t="s">
        <v>16</v>
      </c>
      <c r="D41" s="2">
        <v>41</v>
      </c>
      <c r="E41" s="3">
        <v>86030</v>
      </c>
      <c r="F41" s="2" t="s">
        <v>28</v>
      </c>
      <c r="G41" s="2" t="s">
        <v>10</v>
      </c>
    </row>
    <row r="42" spans="1:7">
      <c r="A42" s="2">
        <v>41</v>
      </c>
      <c r="B42" s="2" t="s">
        <v>53</v>
      </c>
      <c r="C42" s="2" t="s">
        <v>8</v>
      </c>
      <c r="D42" s="2">
        <v>21</v>
      </c>
      <c r="E42" s="3">
        <v>93030</v>
      </c>
      <c r="F42" s="2" t="s">
        <v>17</v>
      </c>
      <c r="G42" s="2" t="s">
        <v>29</v>
      </c>
    </row>
    <row r="43" spans="1:7">
      <c r="A43" s="2">
        <v>42</v>
      </c>
      <c r="B43" s="2" t="s">
        <v>54</v>
      </c>
      <c r="C43" s="2" t="s">
        <v>22</v>
      </c>
      <c r="D43" s="2">
        <v>39</v>
      </c>
      <c r="E43" s="3">
        <v>52788</v>
      </c>
      <c r="F43" s="2" t="s">
        <v>13</v>
      </c>
      <c r="G43" s="2" t="s">
        <v>26</v>
      </c>
    </row>
    <row r="44" spans="1:7">
      <c r="A44" s="2">
        <v>43</v>
      </c>
      <c r="B44" s="2" t="s">
        <v>55</v>
      </c>
      <c r="C44" s="2" t="s">
        <v>22</v>
      </c>
      <c r="D44" s="2">
        <v>25</v>
      </c>
      <c r="E44" s="3">
        <v>81201</v>
      </c>
      <c r="F44" s="2" t="s">
        <v>25</v>
      </c>
      <c r="G44" s="2" t="s">
        <v>10</v>
      </c>
    </row>
    <row r="45" spans="1:7">
      <c r="A45" s="2">
        <v>44</v>
      </c>
      <c r="B45" s="2" t="s">
        <v>45</v>
      </c>
      <c r="C45" s="2" t="s">
        <v>16</v>
      </c>
      <c r="D45" s="2">
        <v>40</v>
      </c>
      <c r="E45" s="3">
        <v>83974</v>
      </c>
      <c r="F45" s="2" t="s">
        <v>20</v>
      </c>
      <c r="G45" s="2" t="s">
        <v>23</v>
      </c>
    </row>
    <row r="46" spans="1:7">
      <c r="A46" s="2">
        <v>45</v>
      </c>
      <c r="B46" s="2" t="s">
        <v>56</v>
      </c>
      <c r="C46" s="2" t="s">
        <v>12</v>
      </c>
      <c r="D46" s="2">
        <v>26</v>
      </c>
      <c r="E46" s="3">
        <v>67158</v>
      </c>
      <c r="F46" s="2" t="s">
        <v>32</v>
      </c>
      <c r="G46" s="2" t="s">
        <v>18</v>
      </c>
    </row>
    <row r="47" spans="1:7">
      <c r="A47" s="2">
        <v>46</v>
      </c>
      <c r="B47" s="2" t="s">
        <v>57</v>
      </c>
      <c r="C47" s="2" t="s">
        <v>12</v>
      </c>
      <c r="D47" s="2">
        <v>38</v>
      </c>
      <c r="E47" s="3">
        <v>28192</v>
      </c>
      <c r="F47" s="2" t="s">
        <v>9</v>
      </c>
      <c r="G47" s="2" t="s">
        <v>10</v>
      </c>
    </row>
    <row r="48" spans="1:7">
      <c r="A48" s="2">
        <v>47</v>
      </c>
      <c r="B48" s="2" t="s">
        <v>58</v>
      </c>
      <c r="C48" s="2" t="s">
        <v>22</v>
      </c>
      <c r="D48" s="2">
        <v>8</v>
      </c>
      <c r="E48" s="3">
        <v>38766</v>
      </c>
      <c r="F48" s="2" t="s">
        <v>25</v>
      </c>
      <c r="G48" s="2" t="s">
        <v>10</v>
      </c>
    </row>
    <row r="49" spans="1:7">
      <c r="A49" s="2">
        <v>48</v>
      </c>
      <c r="B49" s="2" t="s">
        <v>59</v>
      </c>
      <c r="C49" s="2" t="s">
        <v>22</v>
      </c>
      <c r="D49" s="2">
        <v>23</v>
      </c>
      <c r="E49" s="3">
        <v>93042</v>
      </c>
      <c r="F49" s="2" t="s">
        <v>20</v>
      </c>
      <c r="G49" s="2" t="s">
        <v>26</v>
      </c>
    </row>
    <row r="50" spans="1:7">
      <c r="A50" s="2">
        <v>49</v>
      </c>
      <c r="B50" s="2" t="s">
        <v>60</v>
      </c>
      <c r="C50" s="2" t="s">
        <v>12</v>
      </c>
      <c r="D50" s="2">
        <v>23</v>
      </c>
      <c r="E50" s="3">
        <v>37039</v>
      </c>
      <c r="F50" s="2" t="s">
        <v>32</v>
      </c>
      <c r="G50" s="2" t="s">
        <v>14</v>
      </c>
    </row>
    <row r="51" spans="1:7">
      <c r="A51" s="2">
        <v>50</v>
      </c>
      <c r="B51" s="2" t="s">
        <v>61</v>
      </c>
      <c r="C51" s="2" t="s">
        <v>22</v>
      </c>
      <c r="D51" s="2">
        <v>30</v>
      </c>
      <c r="E51" s="3">
        <v>75522</v>
      </c>
      <c r="F51" s="2" t="s">
        <v>13</v>
      </c>
      <c r="G51" s="2" t="s">
        <v>23</v>
      </c>
    </row>
    <row r="52" spans="1:7">
      <c r="A52" s="2">
        <v>51</v>
      </c>
      <c r="B52" s="2" t="s">
        <v>62</v>
      </c>
      <c r="C52" s="2" t="s">
        <v>16</v>
      </c>
      <c r="D52" s="2">
        <v>40</v>
      </c>
      <c r="E52" s="3">
        <v>63907</v>
      </c>
      <c r="F52" s="2" t="s">
        <v>17</v>
      </c>
      <c r="G52" s="2" t="s">
        <v>18</v>
      </c>
    </row>
    <row r="53" spans="1:7">
      <c r="A53" s="2">
        <v>52</v>
      </c>
      <c r="B53" s="2" t="s">
        <v>63</v>
      </c>
      <c r="C53" s="2" t="s">
        <v>16</v>
      </c>
      <c r="D53" s="2">
        <v>12</v>
      </c>
      <c r="E53" s="3">
        <v>30965</v>
      </c>
      <c r="F53" s="2" t="s">
        <v>38</v>
      </c>
      <c r="G53" s="2" t="s">
        <v>23</v>
      </c>
    </row>
    <row r="54" spans="1:7">
      <c r="A54" s="2">
        <v>53</v>
      </c>
      <c r="B54" s="2" t="s">
        <v>53</v>
      </c>
      <c r="C54" s="2" t="s">
        <v>8</v>
      </c>
      <c r="D54" s="2">
        <v>44</v>
      </c>
      <c r="E54" s="3">
        <v>87144</v>
      </c>
      <c r="F54" s="2" t="s">
        <v>25</v>
      </c>
      <c r="G54" s="2" t="s">
        <v>26</v>
      </c>
    </row>
    <row r="55" spans="1:7">
      <c r="A55" s="2">
        <v>54</v>
      </c>
      <c r="B55" s="2" t="s">
        <v>54</v>
      </c>
      <c r="C55" s="2" t="s">
        <v>12</v>
      </c>
      <c r="D55" s="2">
        <v>46</v>
      </c>
      <c r="E55" s="3">
        <v>65150</v>
      </c>
      <c r="F55" s="2" t="s">
        <v>13</v>
      </c>
      <c r="G55" s="2" t="s">
        <v>26</v>
      </c>
    </row>
    <row r="56" spans="1:7">
      <c r="A56" s="2">
        <v>55</v>
      </c>
      <c r="B56" s="2" t="s">
        <v>64</v>
      </c>
      <c r="C56" s="2" t="s">
        <v>22</v>
      </c>
      <c r="D56" s="2">
        <v>20</v>
      </c>
      <c r="E56" s="3">
        <v>60773</v>
      </c>
      <c r="F56" s="2" t="s">
        <v>38</v>
      </c>
      <c r="G56" s="2" t="s">
        <v>18</v>
      </c>
    </row>
    <row r="57" spans="1:7">
      <c r="A57" s="2">
        <v>56</v>
      </c>
      <c r="B57" s="2" t="s">
        <v>65</v>
      </c>
      <c r="C57" s="2" t="s">
        <v>8</v>
      </c>
      <c r="D57" s="2">
        <v>40</v>
      </c>
      <c r="E57" s="3">
        <v>83223</v>
      </c>
      <c r="F57" s="2" t="s">
        <v>20</v>
      </c>
      <c r="G57" s="2" t="s">
        <v>23</v>
      </c>
    </row>
    <row r="58" spans="1:7">
      <c r="A58" s="2">
        <v>57</v>
      </c>
      <c r="B58" s="2" t="s">
        <v>35</v>
      </c>
      <c r="C58" s="2" t="s">
        <v>16</v>
      </c>
      <c r="D58" s="2">
        <v>38</v>
      </c>
      <c r="E58" s="3">
        <v>90033</v>
      </c>
      <c r="F58" s="2" t="s">
        <v>25</v>
      </c>
      <c r="G58" s="2" t="s">
        <v>23</v>
      </c>
    </row>
    <row r="59" spans="1:7">
      <c r="A59" s="2">
        <v>58</v>
      </c>
      <c r="B59" s="2" t="s">
        <v>64</v>
      </c>
      <c r="C59" s="2" t="s">
        <v>12</v>
      </c>
      <c r="D59" s="2">
        <v>6</v>
      </c>
      <c r="E59" s="3">
        <v>29674</v>
      </c>
      <c r="F59" s="2" t="s">
        <v>9</v>
      </c>
      <c r="G59" s="2" t="s">
        <v>14</v>
      </c>
    </row>
    <row r="60" spans="1:7">
      <c r="A60" s="2">
        <v>59</v>
      </c>
      <c r="B60" s="2" t="s">
        <v>49</v>
      </c>
      <c r="C60" s="2" t="s">
        <v>16</v>
      </c>
      <c r="D60" s="2">
        <v>44</v>
      </c>
      <c r="E60" s="3">
        <v>63119</v>
      </c>
      <c r="F60" s="2" t="s">
        <v>13</v>
      </c>
      <c r="G60" s="2" t="s">
        <v>29</v>
      </c>
    </row>
    <row r="61" spans="1:7">
      <c r="A61" s="2">
        <v>60</v>
      </c>
      <c r="B61" s="2" t="s">
        <v>27</v>
      </c>
      <c r="C61" s="2" t="s">
        <v>22</v>
      </c>
      <c r="D61" s="2">
        <v>9</v>
      </c>
      <c r="E61" s="3">
        <v>46509</v>
      </c>
      <c r="F61" s="2" t="s">
        <v>20</v>
      </c>
      <c r="G61" s="2" t="s">
        <v>23</v>
      </c>
    </row>
    <row r="62" spans="1:7">
      <c r="A62" s="2">
        <v>61</v>
      </c>
      <c r="B62" s="2" t="s">
        <v>66</v>
      </c>
      <c r="C62" s="2" t="s">
        <v>8</v>
      </c>
      <c r="D62" s="2">
        <v>21</v>
      </c>
      <c r="E62" s="3">
        <v>37152</v>
      </c>
      <c r="F62" s="2" t="s">
        <v>20</v>
      </c>
      <c r="G62" s="2" t="s">
        <v>26</v>
      </c>
    </row>
    <row r="63" spans="1:7">
      <c r="A63" s="2">
        <v>62</v>
      </c>
      <c r="B63" s="2" t="s">
        <v>51</v>
      </c>
      <c r="C63" s="2" t="s">
        <v>22</v>
      </c>
      <c r="D63" s="2">
        <v>8</v>
      </c>
      <c r="E63" s="3">
        <v>93097</v>
      </c>
      <c r="F63" s="2" t="s">
        <v>28</v>
      </c>
      <c r="G63" s="2" t="s">
        <v>18</v>
      </c>
    </row>
    <row r="64" spans="1:7">
      <c r="A64" s="2">
        <v>63</v>
      </c>
      <c r="B64" s="2" t="s">
        <v>47</v>
      </c>
      <c r="C64" s="2" t="s">
        <v>22</v>
      </c>
      <c r="D64" s="2">
        <v>16</v>
      </c>
      <c r="E64" s="3">
        <v>55208</v>
      </c>
      <c r="F64" s="2" t="s">
        <v>32</v>
      </c>
      <c r="G64" s="2" t="s">
        <v>18</v>
      </c>
    </row>
    <row r="65" spans="1:7">
      <c r="A65" s="2">
        <v>64</v>
      </c>
      <c r="B65" s="2" t="s">
        <v>55</v>
      </c>
      <c r="C65" s="2" t="s">
        <v>12</v>
      </c>
      <c r="D65" s="2">
        <v>20</v>
      </c>
      <c r="E65" s="3">
        <v>70627</v>
      </c>
      <c r="F65" s="2" t="s">
        <v>17</v>
      </c>
      <c r="G65" s="2" t="s">
        <v>14</v>
      </c>
    </row>
    <row r="66" spans="1:7">
      <c r="A66" s="2">
        <v>65</v>
      </c>
      <c r="B66" s="2" t="s">
        <v>43</v>
      </c>
      <c r="C66" s="2" t="s">
        <v>12</v>
      </c>
      <c r="D66" s="2">
        <v>8</v>
      </c>
      <c r="E66" s="3">
        <v>64098</v>
      </c>
      <c r="F66" s="2" t="s">
        <v>20</v>
      </c>
      <c r="G66" s="2" t="s">
        <v>29</v>
      </c>
    </row>
    <row r="67" spans="1:7">
      <c r="A67" s="2">
        <v>66</v>
      </c>
      <c r="B67" s="2" t="s">
        <v>67</v>
      </c>
      <c r="C67" s="2" t="s">
        <v>22</v>
      </c>
      <c r="D67" s="2">
        <v>12</v>
      </c>
      <c r="E67" s="3">
        <v>58827</v>
      </c>
      <c r="F67" s="2" t="s">
        <v>38</v>
      </c>
      <c r="G67" s="2" t="s">
        <v>18</v>
      </c>
    </row>
    <row r="68" spans="1:7">
      <c r="A68" s="2">
        <v>67</v>
      </c>
      <c r="B68" s="2" t="s">
        <v>68</v>
      </c>
      <c r="C68" s="2" t="s">
        <v>12</v>
      </c>
      <c r="D68" s="2">
        <v>24</v>
      </c>
      <c r="E68" s="3">
        <v>65852</v>
      </c>
      <c r="F68" s="2" t="s">
        <v>13</v>
      </c>
      <c r="G68" s="2" t="s">
        <v>14</v>
      </c>
    </row>
    <row r="69" spans="1:7">
      <c r="A69" s="2">
        <v>68</v>
      </c>
      <c r="B69" s="2" t="s">
        <v>53</v>
      </c>
      <c r="C69" s="2" t="s">
        <v>8</v>
      </c>
      <c r="D69" s="2">
        <v>45</v>
      </c>
      <c r="E69" s="3">
        <v>61904</v>
      </c>
      <c r="F69" s="2" t="s">
        <v>13</v>
      </c>
      <c r="G69" s="2" t="s">
        <v>18</v>
      </c>
    </row>
    <row r="70" spans="1:7">
      <c r="A70" s="2">
        <v>69</v>
      </c>
      <c r="B70" s="2" t="s">
        <v>69</v>
      </c>
      <c r="C70" s="2" t="s">
        <v>8</v>
      </c>
      <c r="D70" s="2">
        <v>10</v>
      </c>
      <c r="E70" s="3">
        <v>96255</v>
      </c>
      <c r="F70" s="2" t="s">
        <v>28</v>
      </c>
      <c r="G70" s="2" t="s">
        <v>10</v>
      </c>
    </row>
    <row r="71" spans="1:7">
      <c r="A71" s="2">
        <v>70</v>
      </c>
      <c r="B71" s="2" t="s">
        <v>37</v>
      </c>
      <c r="C71" s="2" t="s">
        <v>22</v>
      </c>
      <c r="D71" s="2">
        <v>33</v>
      </c>
      <c r="E71" s="3">
        <v>82405</v>
      </c>
      <c r="F71" s="2" t="s">
        <v>38</v>
      </c>
      <c r="G71" s="2" t="s">
        <v>26</v>
      </c>
    </row>
    <row r="72" spans="1:7">
      <c r="A72" s="2">
        <v>71</v>
      </c>
      <c r="B72" s="2" t="s">
        <v>70</v>
      </c>
      <c r="C72" s="2" t="s">
        <v>8</v>
      </c>
      <c r="D72" s="2">
        <v>25</v>
      </c>
      <c r="E72" s="3">
        <v>51773</v>
      </c>
      <c r="F72" s="2" t="s">
        <v>25</v>
      </c>
      <c r="G72" s="2" t="s">
        <v>23</v>
      </c>
    </row>
    <row r="73" spans="1:7">
      <c r="A73" s="2">
        <v>72</v>
      </c>
      <c r="B73" s="2" t="s">
        <v>27</v>
      </c>
      <c r="C73" s="2" t="s">
        <v>22</v>
      </c>
      <c r="D73" s="2">
        <v>27</v>
      </c>
      <c r="E73" s="3">
        <v>60691</v>
      </c>
      <c r="F73" s="2" t="s">
        <v>9</v>
      </c>
      <c r="G73" s="2" t="s">
        <v>29</v>
      </c>
    </row>
    <row r="74" spans="1:7">
      <c r="A74" s="2">
        <v>73</v>
      </c>
      <c r="B74" s="2" t="s">
        <v>71</v>
      </c>
      <c r="C74" s="2" t="s">
        <v>8</v>
      </c>
      <c r="D74" s="2">
        <v>39</v>
      </c>
      <c r="E74" s="3">
        <v>32869</v>
      </c>
      <c r="F74" s="2" t="s">
        <v>9</v>
      </c>
      <c r="G74" s="2" t="s">
        <v>23</v>
      </c>
    </row>
    <row r="75" spans="1:7">
      <c r="A75" s="2">
        <v>74</v>
      </c>
      <c r="B75" s="2" t="s">
        <v>72</v>
      </c>
      <c r="C75" s="2" t="s">
        <v>16</v>
      </c>
      <c r="D75" s="2">
        <v>9</v>
      </c>
      <c r="E75" s="3">
        <v>28555</v>
      </c>
      <c r="F75" s="2" t="s">
        <v>38</v>
      </c>
      <c r="G75" s="2" t="s">
        <v>23</v>
      </c>
    </row>
    <row r="76" spans="1:7">
      <c r="A76" s="2">
        <v>75</v>
      </c>
      <c r="B76" s="2" t="s">
        <v>57</v>
      </c>
      <c r="C76" s="2" t="s">
        <v>22</v>
      </c>
      <c r="D76" s="2">
        <v>37</v>
      </c>
      <c r="E76" s="3">
        <v>39519</v>
      </c>
      <c r="F76" s="2" t="s">
        <v>32</v>
      </c>
      <c r="G76" s="2" t="s">
        <v>10</v>
      </c>
    </row>
    <row r="77" spans="1:7">
      <c r="A77" s="2">
        <v>76</v>
      </c>
      <c r="B77" s="2" t="s">
        <v>19</v>
      </c>
      <c r="C77" s="2" t="s">
        <v>8</v>
      </c>
      <c r="D77" s="2">
        <v>25</v>
      </c>
      <c r="E77" s="3">
        <v>84785</v>
      </c>
      <c r="F77" s="2" t="s">
        <v>28</v>
      </c>
      <c r="G77" s="2" t="s">
        <v>29</v>
      </c>
    </row>
    <row r="78" spans="1:7">
      <c r="A78" s="2">
        <v>77</v>
      </c>
      <c r="B78" s="2" t="s">
        <v>50</v>
      </c>
      <c r="C78" s="2" t="s">
        <v>16</v>
      </c>
      <c r="D78" s="2">
        <v>28</v>
      </c>
      <c r="E78" s="3">
        <v>31027</v>
      </c>
      <c r="F78" s="2" t="s">
        <v>32</v>
      </c>
      <c r="G78" s="2" t="s">
        <v>23</v>
      </c>
    </row>
    <row r="79" spans="1:7">
      <c r="A79" s="2">
        <v>78</v>
      </c>
      <c r="B79" s="2" t="s">
        <v>73</v>
      </c>
      <c r="C79" s="2" t="s">
        <v>22</v>
      </c>
      <c r="D79" s="2">
        <v>12</v>
      </c>
      <c r="E79" s="3">
        <v>79362</v>
      </c>
      <c r="F79" s="2" t="s">
        <v>38</v>
      </c>
      <c r="G79" s="2" t="s">
        <v>14</v>
      </c>
    </row>
    <row r="80" spans="1:7">
      <c r="A80" s="2">
        <v>79</v>
      </c>
      <c r="B80" s="2" t="s">
        <v>74</v>
      </c>
      <c r="C80" s="2" t="s">
        <v>8</v>
      </c>
      <c r="D80" s="2">
        <v>32</v>
      </c>
      <c r="E80" s="3">
        <v>49083</v>
      </c>
      <c r="F80" s="2" t="s">
        <v>32</v>
      </c>
      <c r="G80" s="2" t="s">
        <v>18</v>
      </c>
    </row>
    <row r="81" spans="1:7">
      <c r="A81" s="2">
        <v>80</v>
      </c>
      <c r="B81" s="2" t="s">
        <v>62</v>
      </c>
      <c r="C81" s="2" t="s">
        <v>8</v>
      </c>
      <c r="D81" s="2">
        <v>41</v>
      </c>
      <c r="E81" s="3">
        <v>66335</v>
      </c>
      <c r="F81" s="2" t="s">
        <v>25</v>
      </c>
      <c r="G81" s="2" t="s">
        <v>26</v>
      </c>
    </row>
    <row r="82" spans="1:7">
      <c r="A82" s="2">
        <v>81</v>
      </c>
      <c r="B82" s="2" t="s">
        <v>75</v>
      </c>
      <c r="C82" s="2" t="s">
        <v>16</v>
      </c>
      <c r="D82" s="2">
        <v>35</v>
      </c>
      <c r="E82" s="3">
        <v>93382</v>
      </c>
      <c r="F82" s="2" t="s">
        <v>38</v>
      </c>
      <c r="G82" s="2" t="s">
        <v>18</v>
      </c>
    </row>
    <row r="83" spans="1:7">
      <c r="A83" s="2">
        <v>82</v>
      </c>
      <c r="B83" s="2" t="s">
        <v>64</v>
      </c>
      <c r="C83" s="2" t="s">
        <v>12</v>
      </c>
      <c r="D83" s="2">
        <v>45</v>
      </c>
      <c r="E83" s="3">
        <v>52078</v>
      </c>
      <c r="F83" s="2" t="s">
        <v>17</v>
      </c>
      <c r="G83" s="2" t="s">
        <v>26</v>
      </c>
    </row>
    <row r="84" spans="1:7">
      <c r="A84" s="2">
        <v>83</v>
      </c>
      <c r="B84" s="2" t="s">
        <v>69</v>
      </c>
      <c r="C84" s="2" t="s">
        <v>12</v>
      </c>
      <c r="D84" s="2">
        <v>42</v>
      </c>
      <c r="E84" s="3">
        <v>65316</v>
      </c>
      <c r="F84" s="2" t="s">
        <v>32</v>
      </c>
      <c r="G84" s="2" t="s">
        <v>14</v>
      </c>
    </row>
    <row r="85" spans="1:7">
      <c r="A85" s="2">
        <v>84</v>
      </c>
      <c r="B85" s="2" t="s">
        <v>11</v>
      </c>
      <c r="C85" s="2" t="s">
        <v>16</v>
      </c>
      <c r="D85" s="2">
        <v>12</v>
      </c>
      <c r="E85" s="3">
        <v>45607</v>
      </c>
      <c r="F85" s="2" t="s">
        <v>38</v>
      </c>
      <c r="G85" s="2" t="s">
        <v>18</v>
      </c>
    </row>
    <row r="86" spans="1:7">
      <c r="A86" s="2">
        <v>85</v>
      </c>
      <c r="B86" s="2" t="s">
        <v>42</v>
      </c>
      <c r="C86" s="2" t="s">
        <v>16</v>
      </c>
      <c r="D86" s="2">
        <v>36</v>
      </c>
      <c r="E86" s="3">
        <v>35768</v>
      </c>
      <c r="F86" s="2" t="s">
        <v>25</v>
      </c>
      <c r="G86" s="2" t="s">
        <v>10</v>
      </c>
    </row>
    <row r="87" spans="1:7">
      <c r="A87" s="2">
        <v>86</v>
      </c>
      <c r="B87" s="2" t="s">
        <v>76</v>
      </c>
      <c r="C87" s="2" t="s">
        <v>22</v>
      </c>
      <c r="D87" s="2">
        <v>11</v>
      </c>
      <c r="E87" s="3">
        <v>42146</v>
      </c>
      <c r="F87" s="2" t="s">
        <v>20</v>
      </c>
      <c r="G87" s="2" t="s">
        <v>14</v>
      </c>
    </row>
    <row r="88" spans="1:7">
      <c r="A88" s="2">
        <v>87</v>
      </c>
      <c r="B88" s="2" t="s">
        <v>48</v>
      </c>
      <c r="C88" s="2" t="s">
        <v>12</v>
      </c>
      <c r="D88" s="2">
        <v>32</v>
      </c>
      <c r="E88" s="3">
        <v>37839</v>
      </c>
      <c r="F88" s="2" t="s">
        <v>28</v>
      </c>
      <c r="G88" s="2" t="s">
        <v>10</v>
      </c>
    </row>
    <row r="89" spans="1:7">
      <c r="A89" s="2">
        <v>88</v>
      </c>
      <c r="B89" s="2" t="s">
        <v>47</v>
      </c>
      <c r="C89" s="2" t="s">
        <v>22</v>
      </c>
      <c r="D89" s="2">
        <v>19</v>
      </c>
      <c r="E89" s="3">
        <v>51734</v>
      </c>
      <c r="F89" s="2" t="s">
        <v>13</v>
      </c>
      <c r="G89" s="2" t="s">
        <v>29</v>
      </c>
    </row>
    <row r="90" spans="1:7">
      <c r="A90" s="2">
        <v>89</v>
      </c>
      <c r="B90" s="2" t="s">
        <v>70</v>
      </c>
      <c r="C90" s="2" t="s">
        <v>8</v>
      </c>
      <c r="D90" s="2">
        <v>9</v>
      </c>
      <c r="E90" s="3">
        <v>67678</v>
      </c>
      <c r="F90" s="2" t="s">
        <v>17</v>
      </c>
      <c r="G90" s="2" t="s">
        <v>18</v>
      </c>
    </row>
    <row r="91" spans="1:7">
      <c r="A91" s="2">
        <v>90</v>
      </c>
      <c r="B91" s="2" t="s">
        <v>65</v>
      </c>
      <c r="C91" s="2" t="s">
        <v>16</v>
      </c>
      <c r="D91" s="2">
        <v>12</v>
      </c>
      <c r="E91" s="3">
        <v>59718</v>
      </c>
      <c r="F91" s="2" t="s">
        <v>13</v>
      </c>
      <c r="G91" s="2" t="s">
        <v>10</v>
      </c>
    </row>
    <row r="92" spans="1:7">
      <c r="A92" s="2">
        <v>91</v>
      </c>
      <c r="B92" s="2" t="s">
        <v>21</v>
      </c>
      <c r="C92" s="2" t="s">
        <v>22</v>
      </c>
      <c r="D92" s="2">
        <v>21</v>
      </c>
      <c r="E92" s="3">
        <v>62827</v>
      </c>
      <c r="F92" s="2" t="s">
        <v>13</v>
      </c>
      <c r="G92" s="2" t="s">
        <v>18</v>
      </c>
    </row>
    <row r="93" spans="1:7">
      <c r="A93" s="2">
        <v>92</v>
      </c>
      <c r="B93" s="2" t="s">
        <v>63</v>
      </c>
      <c r="C93" s="2" t="s">
        <v>16</v>
      </c>
      <c r="D93" s="2">
        <v>29</v>
      </c>
      <c r="E93" s="3">
        <v>36230</v>
      </c>
      <c r="F93" s="2" t="s">
        <v>32</v>
      </c>
      <c r="G93" s="2" t="s">
        <v>29</v>
      </c>
    </row>
    <row r="94" spans="1:7">
      <c r="A94" s="2">
        <v>93</v>
      </c>
      <c r="B94" s="2" t="s">
        <v>77</v>
      </c>
      <c r="C94" s="2" t="s">
        <v>22</v>
      </c>
      <c r="D94" s="2">
        <v>40</v>
      </c>
      <c r="E94" s="3">
        <v>56668</v>
      </c>
      <c r="F94" s="2" t="s">
        <v>38</v>
      </c>
      <c r="G94" s="2" t="s">
        <v>23</v>
      </c>
    </row>
    <row r="95" spans="1:7">
      <c r="A95" s="2">
        <v>94</v>
      </c>
      <c r="B95" s="2" t="s">
        <v>42</v>
      </c>
      <c r="C95" s="2" t="s">
        <v>8</v>
      </c>
      <c r="D95" s="2">
        <v>4</v>
      </c>
      <c r="E95" s="3">
        <v>25173</v>
      </c>
      <c r="F95" s="2" t="s">
        <v>20</v>
      </c>
      <c r="G95" s="2" t="s">
        <v>18</v>
      </c>
    </row>
    <row r="96" spans="1:7">
      <c r="A96" s="2">
        <v>95</v>
      </c>
      <c r="B96" s="2" t="s">
        <v>78</v>
      </c>
      <c r="C96" s="2" t="s">
        <v>8</v>
      </c>
      <c r="D96" s="2">
        <v>23</v>
      </c>
      <c r="E96" s="3">
        <v>28990</v>
      </c>
      <c r="F96" s="2" t="s">
        <v>20</v>
      </c>
      <c r="G96" s="2" t="s">
        <v>29</v>
      </c>
    </row>
    <row r="97" spans="1:7">
      <c r="A97" s="2">
        <v>96</v>
      </c>
      <c r="B97" s="2" t="s">
        <v>79</v>
      </c>
      <c r="C97" s="2" t="s">
        <v>12</v>
      </c>
      <c r="D97" s="2">
        <v>1</v>
      </c>
      <c r="E97" s="3">
        <v>26440</v>
      </c>
      <c r="F97" s="2" t="s">
        <v>28</v>
      </c>
      <c r="G97" s="2" t="s">
        <v>14</v>
      </c>
    </row>
    <row r="98" spans="1:7">
      <c r="A98" s="2">
        <v>97</v>
      </c>
      <c r="B98" s="2" t="s">
        <v>43</v>
      </c>
      <c r="C98" s="2" t="s">
        <v>12</v>
      </c>
      <c r="D98" s="2">
        <v>32</v>
      </c>
      <c r="E98" s="3">
        <v>76505</v>
      </c>
      <c r="F98" s="2" t="s">
        <v>17</v>
      </c>
      <c r="G98" s="2" t="s">
        <v>18</v>
      </c>
    </row>
    <row r="99" spans="1:7">
      <c r="A99" s="2">
        <v>98</v>
      </c>
      <c r="B99" s="2" t="s">
        <v>72</v>
      </c>
      <c r="C99" s="2" t="s">
        <v>8</v>
      </c>
      <c r="D99" s="2">
        <v>9</v>
      </c>
      <c r="E99" s="3">
        <v>86067</v>
      </c>
      <c r="F99" s="2" t="s">
        <v>17</v>
      </c>
      <c r="G99" s="2" t="s">
        <v>14</v>
      </c>
    </row>
    <row r="100" spans="1:7">
      <c r="A100" s="2">
        <v>99</v>
      </c>
      <c r="B100" s="2" t="s">
        <v>49</v>
      </c>
      <c r="C100" s="2" t="s">
        <v>22</v>
      </c>
      <c r="D100" s="2">
        <v>13</v>
      </c>
      <c r="E100" s="3">
        <v>40674</v>
      </c>
      <c r="F100" s="2" t="s">
        <v>28</v>
      </c>
      <c r="G100" s="2" t="s">
        <v>29</v>
      </c>
    </row>
    <row r="101" spans="1:7">
      <c r="A101" s="2">
        <v>100</v>
      </c>
      <c r="B101" s="2" t="s">
        <v>68</v>
      </c>
      <c r="C101" s="2" t="s">
        <v>16</v>
      </c>
      <c r="D101" s="2">
        <v>25</v>
      </c>
      <c r="E101" s="3">
        <v>82750</v>
      </c>
      <c r="F101" s="2" t="s">
        <v>32</v>
      </c>
      <c r="G101" s="2" t="s">
        <v>14</v>
      </c>
    </row>
    <row r="102" spans="1:7">
      <c r="A102" s="2">
        <v>101</v>
      </c>
      <c r="B102" s="2" t="s">
        <v>80</v>
      </c>
      <c r="C102" s="2" t="s">
        <v>8</v>
      </c>
      <c r="D102" s="2">
        <v>36</v>
      </c>
      <c r="E102" s="3">
        <v>62409</v>
      </c>
      <c r="F102" s="2" t="s">
        <v>32</v>
      </c>
      <c r="G102" s="2" t="s">
        <v>10</v>
      </c>
    </row>
    <row r="103" spans="1:7">
      <c r="A103" s="2">
        <v>102</v>
      </c>
      <c r="B103" s="2" t="s">
        <v>39</v>
      </c>
      <c r="C103" s="2" t="s">
        <v>8</v>
      </c>
      <c r="D103" s="2">
        <v>33</v>
      </c>
      <c r="E103" s="3">
        <v>61410</v>
      </c>
      <c r="F103" s="2" t="s">
        <v>9</v>
      </c>
      <c r="G103" s="2" t="s">
        <v>23</v>
      </c>
    </row>
    <row r="104" spans="1:7">
      <c r="A104" s="2">
        <v>103</v>
      </c>
      <c r="B104" s="2" t="s">
        <v>81</v>
      </c>
      <c r="C104" s="2" t="s">
        <v>22</v>
      </c>
      <c r="D104" s="2">
        <v>42</v>
      </c>
      <c r="E104" s="3">
        <v>64707</v>
      </c>
      <c r="F104" s="2" t="s">
        <v>13</v>
      </c>
      <c r="G104" s="2" t="s">
        <v>14</v>
      </c>
    </row>
    <row r="105" spans="1:7">
      <c r="A105" s="2">
        <v>104</v>
      </c>
      <c r="B105" s="2" t="s">
        <v>55</v>
      </c>
      <c r="C105" s="2" t="s">
        <v>8</v>
      </c>
      <c r="D105" s="2">
        <v>32</v>
      </c>
      <c r="E105" s="3">
        <v>80119</v>
      </c>
      <c r="F105" s="2" t="s">
        <v>38</v>
      </c>
      <c r="G105" s="2" t="s">
        <v>10</v>
      </c>
    </row>
    <row r="106" spans="1:7">
      <c r="A106" s="2">
        <v>105</v>
      </c>
      <c r="B106" s="2" t="s">
        <v>54</v>
      </c>
      <c r="C106" s="2" t="s">
        <v>8</v>
      </c>
      <c r="D106" s="2">
        <v>27</v>
      </c>
      <c r="E106" s="3">
        <v>58807</v>
      </c>
      <c r="F106" s="2" t="s">
        <v>28</v>
      </c>
      <c r="G106" s="2" t="s">
        <v>23</v>
      </c>
    </row>
    <row r="107" spans="1:7">
      <c r="A107" s="2">
        <v>106</v>
      </c>
      <c r="B107" s="2" t="s">
        <v>82</v>
      </c>
      <c r="C107" s="2" t="s">
        <v>22</v>
      </c>
      <c r="D107" s="2">
        <v>44</v>
      </c>
      <c r="E107" s="3">
        <v>58282</v>
      </c>
      <c r="F107" s="2" t="s">
        <v>25</v>
      </c>
      <c r="G107" s="2" t="s">
        <v>29</v>
      </c>
    </row>
    <row r="108" spans="1:7">
      <c r="A108" s="2">
        <v>107</v>
      </c>
      <c r="B108" s="2" t="s">
        <v>71</v>
      </c>
      <c r="C108" s="2" t="s">
        <v>8</v>
      </c>
      <c r="D108" s="2">
        <v>32</v>
      </c>
      <c r="E108" s="3">
        <v>87144</v>
      </c>
      <c r="F108" s="2" t="s">
        <v>13</v>
      </c>
      <c r="G108" s="2" t="s">
        <v>29</v>
      </c>
    </row>
    <row r="109" spans="1:7">
      <c r="A109" s="2">
        <v>108</v>
      </c>
      <c r="B109" s="2" t="s">
        <v>41</v>
      </c>
      <c r="C109" s="2" t="s">
        <v>12</v>
      </c>
      <c r="D109" s="2">
        <v>27</v>
      </c>
      <c r="E109" s="3">
        <v>65200</v>
      </c>
      <c r="F109" s="2" t="s">
        <v>20</v>
      </c>
      <c r="G109" s="2" t="s">
        <v>18</v>
      </c>
    </row>
    <row r="110" spans="1:7">
      <c r="A110" s="2">
        <v>109</v>
      </c>
      <c r="B110" s="2" t="s">
        <v>52</v>
      </c>
      <c r="C110" s="2" t="s">
        <v>12</v>
      </c>
      <c r="D110" s="2">
        <v>46</v>
      </c>
      <c r="E110" s="3">
        <v>63043</v>
      </c>
      <c r="F110" s="2" t="s">
        <v>20</v>
      </c>
      <c r="G110" s="2" t="s">
        <v>10</v>
      </c>
    </row>
    <row r="111" spans="1:7">
      <c r="A111" s="2">
        <v>110</v>
      </c>
      <c r="B111" s="2" t="s">
        <v>37</v>
      </c>
      <c r="C111" s="2" t="s">
        <v>12</v>
      </c>
      <c r="D111" s="2">
        <v>29</v>
      </c>
      <c r="E111" s="3">
        <v>50521</v>
      </c>
      <c r="F111" s="2" t="s">
        <v>28</v>
      </c>
      <c r="G111" s="2" t="s">
        <v>26</v>
      </c>
    </row>
    <row r="112" spans="1:7">
      <c r="A112" s="2">
        <v>111</v>
      </c>
      <c r="B112" s="2" t="s">
        <v>83</v>
      </c>
      <c r="C112" s="2" t="s">
        <v>12</v>
      </c>
      <c r="D112" s="2">
        <v>32</v>
      </c>
      <c r="E112" s="3">
        <v>40846</v>
      </c>
      <c r="F112" s="2" t="s">
        <v>17</v>
      </c>
      <c r="G112" s="2" t="s">
        <v>23</v>
      </c>
    </row>
    <row r="113" spans="1:7">
      <c r="A113" s="2">
        <v>112</v>
      </c>
      <c r="B113" s="2" t="s">
        <v>57</v>
      </c>
      <c r="C113" s="2" t="s">
        <v>8</v>
      </c>
      <c r="D113" s="2">
        <v>11</v>
      </c>
      <c r="E113" s="3">
        <v>34294</v>
      </c>
      <c r="F113" s="2" t="s">
        <v>20</v>
      </c>
      <c r="G113" s="2" t="s">
        <v>18</v>
      </c>
    </row>
    <row r="114" spans="1:7">
      <c r="A114" s="2">
        <v>113</v>
      </c>
      <c r="B114" s="2" t="s">
        <v>84</v>
      </c>
      <c r="C114" s="2" t="s">
        <v>16</v>
      </c>
      <c r="D114" s="2">
        <v>6</v>
      </c>
      <c r="E114" s="3">
        <v>64172</v>
      </c>
      <c r="F114" s="2" t="s">
        <v>28</v>
      </c>
      <c r="G114" s="2" t="s">
        <v>18</v>
      </c>
    </row>
    <row r="115" spans="1:7">
      <c r="A115" s="2">
        <v>114</v>
      </c>
      <c r="B115" s="2" t="s">
        <v>31</v>
      </c>
      <c r="C115" s="2" t="s">
        <v>12</v>
      </c>
      <c r="D115" s="2">
        <v>37</v>
      </c>
      <c r="E115" s="3">
        <v>71689</v>
      </c>
      <c r="F115" s="2" t="s">
        <v>28</v>
      </c>
      <c r="G115" s="2" t="s">
        <v>29</v>
      </c>
    </row>
    <row r="116" spans="1:7">
      <c r="A116" s="2">
        <v>115</v>
      </c>
      <c r="B116" s="2" t="s">
        <v>85</v>
      </c>
      <c r="C116" s="2" t="s">
        <v>12</v>
      </c>
      <c r="D116" s="2">
        <v>2</v>
      </c>
      <c r="E116" s="3">
        <v>63110</v>
      </c>
      <c r="F116" s="2" t="s">
        <v>9</v>
      </c>
      <c r="G116" s="2" t="s">
        <v>14</v>
      </c>
    </row>
    <row r="117" spans="1:7">
      <c r="A117" s="2">
        <v>116</v>
      </c>
      <c r="B117" s="2" t="s">
        <v>7</v>
      </c>
      <c r="C117" s="2" t="s">
        <v>8</v>
      </c>
      <c r="D117" s="2">
        <v>49</v>
      </c>
      <c r="E117" s="3">
        <v>66332</v>
      </c>
      <c r="F117" s="2" t="s">
        <v>13</v>
      </c>
      <c r="G117" s="2" t="s">
        <v>23</v>
      </c>
    </row>
    <row r="118" spans="1:7">
      <c r="A118" s="2">
        <v>117</v>
      </c>
      <c r="B118" s="2" t="s">
        <v>50</v>
      </c>
      <c r="C118" s="2" t="s">
        <v>8</v>
      </c>
      <c r="D118" s="2">
        <v>15</v>
      </c>
      <c r="E118" s="3">
        <v>81488</v>
      </c>
      <c r="F118" s="2" t="s">
        <v>9</v>
      </c>
      <c r="G118" s="2" t="s">
        <v>26</v>
      </c>
    </row>
    <row r="119" spans="1:7">
      <c r="A119" s="2">
        <v>118</v>
      </c>
      <c r="B119" s="2" t="s">
        <v>50</v>
      </c>
      <c r="C119" s="2" t="s">
        <v>22</v>
      </c>
      <c r="D119" s="2">
        <v>19</v>
      </c>
      <c r="E119" s="3">
        <v>97032</v>
      </c>
      <c r="F119" s="2" t="s">
        <v>32</v>
      </c>
      <c r="G119" s="2" t="s">
        <v>29</v>
      </c>
    </row>
    <row r="120" spans="1:7">
      <c r="A120" s="2">
        <v>119</v>
      </c>
      <c r="B120" s="2" t="s">
        <v>34</v>
      </c>
      <c r="C120" s="2" t="s">
        <v>12</v>
      </c>
      <c r="D120" s="2">
        <v>3</v>
      </c>
      <c r="E120" s="3">
        <v>60843</v>
      </c>
      <c r="F120" s="2" t="s">
        <v>17</v>
      </c>
      <c r="G120" s="2" t="s">
        <v>29</v>
      </c>
    </row>
    <row r="121" spans="1:7">
      <c r="A121" s="2">
        <v>120</v>
      </c>
      <c r="B121" s="2" t="s">
        <v>33</v>
      </c>
      <c r="C121" s="2" t="s">
        <v>22</v>
      </c>
      <c r="D121" s="2">
        <v>18</v>
      </c>
      <c r="E121" s="3">
        <v>87914</v>
      </c>
      <c r="F121" s="2" t="s">
        <v>9</v>
      </c>
      <c r="G121" s="2" t="s">
        <v>26</v>
      </c>
    </row>
    <row r="122" spans="1:7">
      <c r="A122" s="2">
        <v>121</v>
      </c>
      <c r="B122" s="2" t="s">
        <v>58</v>
      </c>
      <c r="C122" s="2" t="s">
        <v>12</v>
      </c>
      <c r="D122" s="2">
        <v>15</v>
      </c>
      <c r="E122" s="3">
        <v>84063</v>
      </c>
      <c r="F122" s="2" t="s">
        <v>9</v>
      </c>
      <c r="G122" s="2" t="s">
        <v>14</v>
      </c>
    </row>
    <row r="123" spans="1:7">
      <c r="A123" s="2">
        <v>122</v>
      </c>
      <c r="B123" s="2" t="s">
        <v>59</v>
      </c>
      <c r="C123" s="2" t="s">
        <v>16</v>
      </c>
      <c r="D123" s="2">
        <v>35</v>
      </c>
      <c r="E123" s="3">
        <v>58054</v>
      </c>
      <c r="F123" s="2" t="s">
        <v>38</v>
      </c>
      <c r="G123" s="2" t="s">
        <v>10</v>
      </c>
    </row>
    <row r="124" spans="1:7">
      <c r="A124" s="2">
        <v>123</v>
      </c>
      <c r="B124" s="2" t="s">
        <v>34</v>
      </c>
      <c r="C124" s="2" t="s">
        <v>8</v>
      </c>
      <c r="D124" s="2">
        <v>19</v>
      </c>
      <c r="E124" s="3">
        <v>54524</v>
      </c>
      <c r="F124" s="2" t="s">
        <v>9</v>
      </c>
      <c r="G124" s="2" t="s">
        <v>10</v>
      </c>
    </row>
    <row r="125" spans="1:7">
      <c r="A125" s="2">
        <v>124</v>
      </c>
      <c r="B125" s="2" t="s">
        <v>40</v>
      </c>
      <c r="C125" s="2" t="s">
        <v>8</v>
      </c>
      <c r="D125" s="2">
        <v>11</v>
      </c>
      <c r="E125" s="3">
        <v>44167</v>
      </c>
      <c r="F125" s="2" t="s">
        <v>20</v>
      </c>
      <c r="G125" s="2" t="s">
        <v>26</v>
      </c>
    </row>
    <row r="126" spans="1:7">
      <c r="A126" s="2">
        <v>125</v>
      </c>
      <c r="B126" s="2" t="s">
        <v>78</v>
      </c>
      <c r="C126" s="2" t="s">
        <v>22</v>
      </c>
      <c r="D126" s="2">
        <v>50</v>
      </c>
      <c r="E126" s="3">
        <v>71582</v>
      </c>
      <c r="F126" s="2" t="s">
        <v>28</v>
      </c>
      <c r="G126" s="2" t="s">
        <v>23</v>
      </c>
    </row>
    <row r="127" spans="1:7">
      <c r="A127" s="2">
        <v>126</v>
      </c>
      <c r="B127" s="2" t="s">
        <v>39</v>
      </c>
      <c r="C127" s="2" t="s">
        <v>22</v>
      </c>
      <c r="D127" s="2">
        <v>30</v>
      </c>
      <c r="E127" s="3">
        <v>33399</v>
      </c>
      <c r="F127" s="2" t="s">
        <v>20</v>
      </c>
      <c r="G127" s="2" t="s">
        <v>14</v>
      </c>
    </row>
    <row r="128" spans="1:7">
      <c r="A128" s="2">
        <v>127</v>
      </c>
      <c r="B128" s="2" t="s">
        <v>86</v>
      </c>
      <c r="C128" s="2" t="s">
        <v>8</v>
      </c>
      <c r="D128" s="2">
        <v>37</v>
      </c>
      <c r="E128" s="3">
        <v>31121</v>
      </c>
      <c r="F128" s="2" t="s">
        <v>13</v>
      </c>
      <c r="G128" s="2" t="s">
        <v>14</v>
      </c>
    </row>
    <row r="129" spans="1:7">
      <c r="A129" s="2">
        <v>128</v>
      </c>
      <c r="B129" s="2" t="s">
        <v>87</v>
      </c>
      <c r="C129" s="2" t="s">
        <v>8</v>
      </c>
      <c r="D129" s="2">
        <v>48</v>
      </c>
      <c r="E129" s="3">
        <v>34404</v>
      </c>
      <c r="F129" s="2" t="s">
        <v>32</v>
      </c>
      <c r="G129" s="2" t="s">
        <v>18</v>
      </c>
    </row>
    <row r="130" spans="1:7">
      <c r="A130" s="2">
        <v>129</v>
      </c>
      <c r="B130" s="2" t="s">
        <v>45</v>
      </c>
      <c r="C130" s="2" t="s">
        <v>8</v>
      </c>
      <c r="D130" s="2">
        <v>50</v>
      </c>
      <c r="E130" s="3">
        <v>58260</v>
      </c>
      <c r="F130" s="2" t="s">
        <v>32</v>
      </c>
      <c r="G130" s="2" t="s">
        <v>14</v>
      </c>
    </row>
    <row r="131" spans="1:7">
      <c r="A131" s="2">
        <v>130</v>
      </c>
      <c r="B131" s="2" t="s">
        <v>65</v>
      </c>
      <c r="C131" s="2" t="s">
        <v>12</v>
      </c>
      <c r="D131" s="2">
        <v>50</v>
      </c>
      <c r="E131" s="3">
        <v>37098</v>
      </c>
      <c r="F131" s="2" t="s">
        <v>17</v>
      </c>
      <c r="G131" s="2" t="s">
        <v>26</v>
      </c>
    </row>
    <row r="132" spans="1:7">
      <c r="A132" s="2">
        <v>131</v>
      </c>
      <c r="B132" s="2" t="s">
        <v>75</v>
      </c>
      <c r="C132" s="2" t="s">
        <v>12</v>
      </c>
      <c r="D132" s="2">
        <v>32</v>
      </c>
      <c r="E132" s="3">
        <v>82343</v>
      </c>
      <c r="F132" s="2" t="s">
        <v>13</v>
      </c>
      <c r="G132" s="2" t="s">
        <v>23</v>
      </c>
    </row>
    <row r="133" spans="1:7">
      <c r="A133" s="2">
        <v>132</v>
      </c>
      <c r="B133" s="2" t="s">
        <v>62</v>
      </c>
      <c r="C133" s="2" t="s">
        <v>16</v>
      </c>
      <c r="D133" s="2">
        <v>36</v>
      </c>
      <c r="E133" s="3">
        <v>78187</v>
      </c>
      <c r="F133" s="2" t="s">
        <v>17</v>
      </c>
      <c r="G133" s="2" t="s">
        <v>14</v>
      </c>
    </row>
    <row r="134" spans="1:7">
      <c r="A134" s="2">
        <v>133</v>
      </c>
      <c r="B134" s="2" t="s">
        <v>48</v>
      </c>
      <c r="C134" s="2" t="s">
        <v>12</v>
      </c>
      <c r="D134" s="2">
        <v>33</v>
      </c>
      <c r="E134" s="3">
        <v>58490</v>
      </c>
      <c r="F134" s="2" t="s">
        <v>38</v>
      </c>
      <c r="G134" s="2" t="s">
        <v>18</v>
      </c>
    </row>
    <row r="135" spans="1:7">
      <c r="A135" s="2">
        <v>134</v>
      </c>
      <c r="B135" s="2" t="s">
        <v>60</v>
      </c>
      <c r="C135" s="2" t="s">
        <v>8</v>
      </c>
      <c r="D135" s="2">
        <v>8</v>
      </c>
      <c r="E135" s="3">
        <v>67914</v>
      </c>
      <c r="F135" s="2" t="s">
        <v>28</v>
      </c>
      <c r="G135" s="2" t="s">
        <v>10</v>
      </c>
    </row>
    <row r="136" spans="1:7">
      <c r="A136" s="2">
        <v>135</v>
      </c>
      <c r="B136" s="2" t="s">
        <v>55</v>
      </c>
      <c r="C136" s="2" t="s">
        <v>12</v>
      </c>
      <c r="D136" s="2">
        <v>37</v>
      </c>
      <c r="E136" s="3">
        <v>46197</v>
      </c>
      <c r="F136" s="2" t="s">
        <v>32</v>
      </c>
      <c r="G136" s="2" t="s">
        <v>14</v>
      </c>
    </row>
    <row r="137" spans="1:7">
      <c r="A137" s="2">
        <v>136</v>
      </c>
      <c r="B137" s="2" t="s">
        <v>41</v>
      </c>
      <c r="C137" s="2" t="s">
        <v>22</v>
      </c>
      <c r="D137" s="2">
        <v>8</v>
      </c>
      <c r="E137" s="3">
        <v>71320</v>
      </c>
      <c r="F137" s="2" t="s">
        <v>28</v>
      </c>
      <c r="G137" s="2" t="s">
        <v>14</v>
      </c>
    </row>
    <row r="138" spans="1:7">
      <c r="A138" s="2">
        <v>137</v>
      </c>
      <c r="B138" s="2" t="s">
        <v>68</v>
      </c>
      <c r="C138" s="2" t="s">
        <v>8</v>
      </c>
      <c r="D138" s="2">
        <v>18</v>
      </c>
      <c r="E138" s="3">
        <v>84233</v>
      </c>
      <c r="F138" s="2" t="s">
        <v>20</v>
      </c>
      <c r="G138" s="2" t="s">
        <v>23</v>
      </c>
    </row>
    <row r="139" spans="1:7">
      <c r="A139" s="2">
        <v>138</v>
      </c>
      <c r="B139" s="2" t="s">
        <v>88</v>
      </c>
      <c r="C139" s="2" t="s">
        <v>12</v>
      </c>
      <c r="D139" s="2">
        <v>50</v>
      </c>
      <c r="E139" s="3">
        <v>71143</v>
      </c>
      <c r="F139" s="2" t="s">
        <v>13</v>
      </c>
      <c r="G139" s="2" t="s">
        <v>26</v>
      </c>
    </row>
    <row r="140" spans="1:7">
      <c r="A140" s="2">
        <v>139</v>
      </c>
      <c r="B140" s="2" t="s">
        <v>45</v>
      </c>
      <c r="C140" s="2" t="s">
        <v>8</v>
      </c>
      <c r="D140" s="2">
        <v>35</v>
      </c>
      <c r="E140" s="3">
        <v>77511</v>
      </c>
      <c r="F140" s="2" t="s">
        <v>17</v>
      </c>
      <c r="G140" s="2" t="s">
        <v>26</v>
      </c>
    </row>
    <row r="141" spans="1:7">
      <c r="A141" s="2">
        <v>140</v>
      </c>
      <c r="B141" s="2" t="s">
        <v>86</v>
      </c>
      <c r="C141" s="2" t="s">
        <v>22</v>
      </c>
      <c r="D141" s="2">
        <v>24</v>
      </c>
      <c r="E141" s="3">
        <v>68349</v>
      </c>
      <c r="F141" s="2" t="s">
        <v>20</v>
      </c>
      <c r="G141" s="2" t="s">
        <v>18</v>
      </c>
    </row>
    <row r="142" spans="1:7">
      <c r="A142" s="2">
        <v>141</v>
      </c>
      <c r="B142" s="2" t="s">
        <v>30</v>
      </c>
      <c r="C142" s="2" t="s">
        <v>22</v>
      </c>
      <c r="D142" s="2">
        <v>35</v>
      </c>
      <c r="E142" s="3">
        <v>91751</v>
      </c>
      <c r="F142" s="2" t="s">
        <v>25</v>
      </c>
      <c r="G142" s="2" t="s">
        <v>14</v>
      </c>
    </row>
    <row r="143" spans="1:7">
      <c r="A143" s="2">
        <v>142</v>
      </c>
      <c r="B143" s="2" t="s">
        <v>72</v>
      </c>
      <c r="C143" s="2" t="s">
        <v>12</v>
      </c>
      <c r="D143" s="2">
        <v>49</v>
      </c>
      <c r="E143" s="3">
        <v>40733</v>
      </c>
      <c r="F143" s="2" t="s">
        <v>9</v>
      </c>
      <c r="G143" s="2" t="s">
        <v>23</v>
      </c>
    </row>
    <row r="144" spans="1:7">
      <c r="A144" s="2">
        <v>143</v>
      </c>
      <c r="B144" s="2" t="s">
        <v>61</v>
      </c>
      <c r="C144" s="2" t="s">
        <v>8</v>
      </c>
      <c r="D144" s="2">
        <v>3</v>
      </c>
      <c r="E144" s="3">
        <v>39716</v>
      </c>
      <c r="F144" s="2" t="s">
        <v>17</v>
      </c>
      <c r="G144" s="2" t="s">
        <v>18</v>
      </c>
    </row>
    <row r="145" spans="1:7">
      <c r="A145" s="2">
        <v>144</v>
      </c>
      <c r="B145" s="2" t="s">
        <v>51</v>
      </c>
      <c r="C145" s="2" t="s">
        <v>16</v>
      </c>
      <c r="D145" s="2">
        <v>49</v>
      </c>
      <c r="E145" s="3">
        <v>70187</v>
      </c>
      <c r="F145" s="2" t="s">
        <v>17</v>
      </c>
      <c r="G145" s="2" t="s">
        <v>26</v>
      </c>
    </row>
    <row r="146" spans="1:7">
      <c r="A146" s="2">
        <v>145</v>
      </c>
      <c r="B146" s="2" t="s">
        <v>15</v>
      </c>
      <c r="C146" s="2" t="s">
        <v>22</v>
      </c>
      <c r="D146" s="2">
        <v>47</v>
      </c>
      <c r="E146" s="3">
        <v>47401</v>
      </c>
      <c r="F146" s="2" t="s">
        <v>32</v>
      </c>
      <c r="G146" s="2" t="s">
        <v>29</v>
      </c>
    </row>
    <row r="147" spans="1:7">
      <c r="A147" s="2">
        <v>146</v>
      </c>
      <c r="B147" s="2" t="s">
        <v>81</v>
      </c>
      <c r="C147" s="2" t="s">
        <v>16</v>
      </c>
      <c r="D147" s="2">
        <v>29</v>
      </c>
      <c r="E147" s="3">
        <v>92848</v>
      </c>
      <c r="F147" s="2" t="s">
        <v>28</v>
      </c>
      <c r="G147" s="2" t="s">
        <v>18</v>
      </c>
    </row>
    <row r="148" spans="1:7">
      <c r="A148" s="2">
        <v>147</v>
      </c>
      <c r="B148" s="2" t="s">
        <v>63</v>
      </c>
      <c r="C148" s="2" t="s">
        <v>12</v>
      </c>
      <c r="D148" s="2">
        <v>35</v>
      </c>
      <c r="E148" s="3">
        <v>66070</v>
      </c>
      <c r="F148" s="2" t="s">
        <v>25</v>
      </c>
      <c r="G148" s="2" t="s">
        <v>29</v>
      </c>
    </row>
    <row r="149" spans="1:7">
      <c r="A149" s="2">
        <v>148</v>
      </c>
      <c r="B149" s="2" t="s">
        <v>19</v>
      </c>
      <c r="C149" s="2" t="s">
        <v>22</v>
      </c>
      <c r="D149" s="2">
        <v>14</v>
      </c>
      <c r="E149" s="3">
        <v>80936</v>
      </c>
      <c r="F149" s="2" t="s">
        <v>32</v>
      </c>
      <c r="G149" s="2" t="s">
        <v>29</v>
      </c>
    </row>
    <row r="150" spans="1:7">
      <c r="A150" s="2">
        <v>149</v>
      </c>
      <c r="B150" s="2" t="s">
        <v>68</v>
      </c>
      <c r="C150" s="2" t="s">
        <v>16</v>
      </c>
      <c r="D150" s="2">
        <v>28</v>
      </c>
      <c r="E150" s="3">
        <v>60649</v>
      </c>
      <c r="F150" s="2" t="s">
        <v>9</v>
      </c>
      <c r="G150" s="2" t="s">
        <v>18</v>
      </c>
    </row>
    <row r="151" spans="1:7">
      <c r="A151" s="2">
        <v>150</v>
      </c>
      <c r="B151" s="2" t="s">
        <v>69</v>
      </c>
      <c r="C151" s="2" t="s">
        <v>22</v>
      </c>
      <c r="D151" s="2">
        <v>7</v>
      </c>
      <c r="E151" s="3">
        <v>37395</v>
      </c>
      <c r="F151" s="2" t="s">
        <v>32</v>
      </c>
      <c r="G151" s="2" t="s">
        <v>18</v>
      </c>
    </row>
    <row r="152" spans="1:7">
      <c r="A152" s="2">
        <v>151</v>
      </c>
      <c r="B152" s="2" t="s">
        <v>72</v>
      </c>
      <c r="C152" s="2" t="s">
        <v>16</v>
      </c>
      <c r="D152" s="2">
        <v>48</v>
      </c>
      <c r="E152" s="3">
        <v>67138</v>
      </c>
      <c r="F152" s="2" t="s">
        <v>32</v>
      </c>
      <c r="G152" s="2" t="s">
        <v>23</v>
      </c>
    </row>
    <row r="153" spans="1:7">
      <c r="A153" s="2">
        <v>152</v>
      </c>
      <c r="B153" s="2" t="s">
        <v>75</v>
      </c>
      <c r="C153" s="2" t="s">
        <v>8</v>
      </c>
      <c r="D153" s="2">
        <v>42</v>
      </c>
      <c r="E153" s="3">
        <v>98941</v>
      </c>
      <c r="F153" s="2" t="s">
        <v>32</v>
      </c>
      <c r="G153" s="2" t="s">
        <v>18</v>
      </c>
    </row>
    <row r="154" spans="1:7">
      <c r="A154" s="2">
        <v>153</v>
      </c>
      <c r="B154" s="2" t="s">
        <v>87</v>
      </c>
      <c r="C154" s="2" t="s">
        <v>8</v>
      </c>
      <c r="D154" s="2">
        <v>49</v>
      </c>
      <c r="E154" s="3">
        <v>28134</v>
      </c>
      <c r="F154" s="2" t="s">
        <v>28</v>
      </c>
      <c r="G154" s="2" t="s">
        <v>10</v>
      </c>
    </row>
    <row r="155" spans="1:7">
      <c r="A155" s="2">
        <v>154</v>
      </c>
      <c r="B155" s="2" t="s">
        <v>85</v>
      </c>
      <c r="C155" s="2" t="s">
        <v>12</v>
      </c>
      <c r="D155" s="2">
        <v>16</v>
      </c>
      <c r="E155" s="3">
        <v>93947</v>
      </c>
      <c r="F155" s="2" t="s">
        <v>32</v>
      </c>
      <c r="G155" s="2" t="s">
        <v>26</v>
      </c>
    </row>
    <row r="156" spans="1:7">
      <c r="A156" s="2">
        <v>155</v>
      </c>
      <c r="B156" s="2" t="s">
        <v>71</v>
      </c>
      <c r="C156" s="2" t="s">
        <v>22</v>
      </c>
      <c r="D156" s="2">
        <v>20</v>
      </c>
      <c r="E156" s="3">
        <v>90093</v>
      </c>
      <c r="F156" s="2" t="s">
        <v>32</v>
      </c>
      <c r="G156" s="2" t="s">
        <v>14</v>
      </c>
    </row>
    <row r="157" spans="1:7">
      <c r="A157" s="2">
        <v>156</v>
      </c>
      <c r="B157" s="2" t="s">
        <v>69</v>
      </c>
      <c r="C157" s="2" t="s">
        <v>16</v>
      </c>
      <c r="D157" s="2">
        <v>3</v>
      </c>
      <c r="E157" s="3">
        <v>68509</v>
      </c>
      <c r="F157" s="2" t="s">
        <v>32</v>
      </c>
      <c r="G157" s="2" t="s">
        <v>18</v>
      </c>
    </row>
    <row r="158" spans="1:7">
      <c r="A158" s="2">
        <v>157</v>
      </c>
      <c r="B158" s="2" t="s">
        <v>88</v>
      </c>
      <c r="C158" s="2" t="s">
        <v>12</v>
      </c>
      <c r="D158" s="2">
        <v>29</v>
      </c>
      <c r="E158" s="3">
        <v>96428</v>
      </c>
      <c r="F158" s="2" t="s">
        <v>32</v>
      </c>
      <c r="G158" s="2" t="s">
        <v>29</v>
      </c>
    </row>
    <row r="159" spans="1:7">
      <c r="A159" s="2">
        <v>158</v>
      </c>
      <c r="B159" s="2" t="s">
        <v>89</v>
      </c>
      <c r="C159" s="2" t="s">
        <v>8</v>
      </c>
      <c r="D159" s="2">
        <v>17</v>
      </c>
      <c r="E159" s="3">
        <v>62641</v>
      </c>
      <c r="F159" s="2" t="s">
        <v>17</v>
      </c>
      <c r="G159" s="2" t="s">
        <v>29</v>
      </c>
    </row>
    <row r="160" spans="1:7">
      <c r="A160" s="2">
        <v>159</v>
      </c>
      <c r="B160" s="2" t="s">
        <v>27</v>
      </c>
      <c r="C160" s="2" t="s">
        <v>8</v>
      </c>
      <c r="D160" s="2">
        <v>23</v>
      </c>
      <c r="E160" s="3">
        <v>32831</v>
      </c>
      <c r="F160" s="2" t="s">
        <v>25</v>
      </c>
      <c r="G160" s="2" t="s">
        <v>18</v>
      </c>
    </row>
    <row r="161" spans="1:7">
      <c r="A161" s="2">
        <v>160</v>
      </c>
      <c r="B161" s="2" t="s">
        <v>48</v>
      </c>
      <c r="C161" s="2" t="s">
        <v>12</v>
      </c>
      <c r="D161" s="2">
        <v>6</v>
      </c>
      <c r="E161" s="3">
        <v>76091</v>
      </c>
      <c r="F161" s="2" t="s">
        <v>20</v>
      </c>
      <c r="G161" s="2" t="s">
        <v>14</v>
      </c>
    </row>
    <row r="162" spans="1:7">
      <c r="A162" s="2">
        <v>161</v>
      </c>
      <c r="B162" s="2" t="s">
        <v>55</v>
      </c>
      <c r="C162" s="2" t="s">
        <v>22</v>
      </c>
      <c r="D162" s="2">
        <v>29</v>
      </c>
      <c r="E162" s="3">
        <v>63718</v>
      </c>
      <c r="F162" s="2" t="s">
        <v>20</v>
      </c>
      <c r="G162" s="2" t="s">
        <v>14</v>
      </c>
    </row>
    <row r="163" spans="1:7">
      <c r="A163" s="2">
        <v>162</v>
      </c>
      <c r="B163" s="2" t="s">
        <v>37</v>
      </c>
      <c r="C163" s="2" t="s">
        <v>16</v>
      </c>
      <c r="D163" s="2">
        <v>8</v>
      </c>
      <c r="E163" s="3">
        <v>58159</v>
      </c>
      <c r="F163" s="2" t="s">
        <v>20</v>
      </c>
      <c r="G163" s="2" t="s">
        <v>23</v>
      </c>
    </row>
    <row r="164" spans="1:7">
      <c r="A164" s="2">
        <v>163</v>
      </c>
      <c r="B164" s="2" t="s">
        <v>36</v>
      </c>
      <c r="C164" s="2" t="s">
        <v>8</v>
      </c>
      <c r="D164" s="2">
        <v>50</v>
      </c>
      <c r="E164" s="3">
        <v>40952</v>
      </c>
      <c r="F164" s="2" t="s">
        <v>9</v>
      </c>
      <c r="G164" s="2" t="s">
        <v>23</v>
      </c>
    </row>
    <row r="165" spans="1:7">
      <c r="A165" s="2">
        <v>164</v>
      </c>
      <c r="B165" s="2" t="s">
        <v>19</v>
      </c>
      <c r="C165" s="2" t="s">
        <v>12</v>
      </c>
      <c r="D165" s="2">
        <v>16</v>
      </c>
      <c r="E165" s="3">
        <v>48902</v>
      </c>
      <c r="F165" s="2" t="s">
        <v>38</v>
      </c>
      <c r="G165" s="2" t="s">
        <v>23</v>
      </c>
    </row>
    <row r="166" spans="1:7">
      <c r="A166" s="2">
        <v>165</v>
      </c>
      <c r="B166" s="2" t="s">
        <v>90</v>
      </c>
      <c r="C166" s="2" t="s">
        <v>8</v>
      </c>
      <c r="D166" s="2">
        <v>14</v>
      </c>
      <c r="E166" s="3">
        <v>52021</v>
      </c>
      <c r="F166" s="2" t="s">
        <v>38</v>
      </c>
      <c r="G166" s="2" t="s">
        <v>14</v>
      </c>
    </row>
    <row r="167" spans="1:7">
      <c r="A167" s="2">
        <v>166</v>
      </c>
      <c r="B167" s="2" t="s">
        <v>58</v>
      </c>
      <c r="C167" s="2" t="s">
        <v>8</v>
      </c>
      <c r="D167" s="2">
        <v>48</v>
      </c>
      <c r="E167" s="3">
        <v>67975</v>
      </c>
      <c r="F167" s="2" t="s">
        <v>9</v>
      </c>
      <c r="G167" s="2" t="s">
        <v>29</v>
      </c>
    </row>
    <row r="168" spans="1:7">
      <c r="A168" s="2">
        <v>167</v>
      </c>
      <c r="B168" s="2" t="s">
        <v>51</v>
      </c>
      <c r="C168" s="2" t="s">
        <v>16</v>
      </c>
      <c r="D168" s="2">
        <v>38</v>
      </c>
      <c r="E168" s="3">
        <v>99278</v>
      </c>
      <c r="F168" s="2" t="s">
        <v>17</v>
      </c>
      <c r="G168" s="2" t="s">
        <v>23</v>
      </c>
    </row>
    <row r="169" spans="1:7">
      <c r="A169" s="2">
        <v>168</v>
      </c>
      <c r="B169" s="2" t="s">
        <v>73</v>
      </c>
      <c r="C169" s="2" t="s">
        <v>22</v>
      </c>
      <c r="D169" s="2">
        <v>45</v>
      </c>
      <c r="E169" s="3">
        <v>99881</v>
      </c>
      <c r="F169" s="2" t="s">
        <v>17</v>
      </c>
      <c r="G169" s="2" t="s">
        <v>18</v>
      </c>
    </row>
    <row r="170" spans="1:7">
      <c r="A170" s="2">
        <v>169</v>
      </c>
      <c r="B170" s="2" t="s">
        <v>51</v>
      </c>
      <c r="C170" s="2" t="s">
        <v>22</v>
      </c>
      <c r="D170" s="2">
        <v>23</v>
      </c>
      <c r="E170" s="3">
        <v>39851</v>
      </c>
      <c r="F170" s="2" t="s">
        <v>9</v>
      </c>
      <c r="G170" s="2" t="s">
        <v>23</v>
      </c>
    </row>
    <row r="171" spans="1:7">
      <c r="A171" s="2">
        <v>170</v>
      </c>
      <c r="B171" s="2" t="s">
        <v>57</v>
      </c>
      <c r="C171" s="2" t="s">
        <v>16</v>
      </c>
      <c r="D171" s="2">
        <v>46</v>
      </c>
      <c r="E171" s="3">
        <v>57598</v>
      </c>
      <c r="F171" s="2" t="s">
        <v>28</v>
      </c>
      <c r="G171" s="2" t="s">
        <v>18</v>
      </c>
    </row>
    <row r="172" spans="1:7">
      <c r="A172" s="2">
        <v>171</v>
      </c>
      <c r="B172" s="2" t="s">
        <v>91</v>
      </c>
      <c r="C172" s="2" t="s">
        <v>12</v>
      </c>
      <c r="D172" s="2">
        <v>40</v>
      </c>
      <c r="E172" s="3">
        <v>59472</v>
      </c>
      <c r="F172" s="2" t="s">
        <v>9</v>
      </c>
      <c r="G172" s="2" t="s">
        <v>18</v>
      </c>
    </row>
    <row r="173" spans="1:7">
      <c r="A173" s="2">
        <v>172</v>
      </c>
      <c r="B173" s="2" t="s">
        <v>68</v>
      </c>
      <c r="C173" s="2" t="s">
        <v>12</v>
      </c>
      <c r="D173" s="2">
        <v>41</v>
      </c>
      <c r="E173" s="3">
        <v>83041</v>
      </c>
      <c r="F173" s="2" t="s">
        <v>25</v>
      </c>
      <c r="G173" s="2" t="s">
        <v>29</v>
      </c>
    </row>
    <row r="174" spans="1:7">
      <c r="A174" s="2">
        <v>173</v>
      </c>
      <c r="B174" s="2" t="s">
        <v>88</v>
      </c>
      <c r="C174" s="2" t="s">
        <v>22</v>
      </c>
      <c r="D174" s="2">
        <v>28</v>
      </c>
      <c r="E174" s="3">
        <v>72013</v>
      </c>
      <c r="F174" s="2" t="s">
        <v>28</v>
      </c>
      <c r="G174" s="2" t="s">
        <v>26</v>
      </c>
    </row>
    <row r="175" spans="1:7">
      <c r="A175" s="2">
        <v>174</v>
      </c>
      <c r="B175" s="2" t="s">
        <v>61</v>
      </c>
      <c r="C175" s="2" t="s">
        <v>8</v>
      </c>
      <c r="D175" s="2">
        <v>11</v>
      </c>
      <c r="E175" s="3">
        <v>50120</v>
      </c>
      <c r="F175" s="2" t="s">
        <v>13</v>
      </c>
      <c r="G175" s="2" t="s">
        <v>18</v>
      </c>
    </row>
    <row r="176" spans="1:7">
      <c r="A176" s="2">
        <v>175</v>
      </c>
      <c r="B176" s="2" t="s">
        <v>24</v>
      </c>
      <c r="C176" s="2" t="s">
        <v>8</v>
      </c>
      <c r="D176" s="2">
        <v>40</v>
      </c>
      <c r="E176" s="3">
        <v>80386</v>
      </c>
      <c r="F176" s="2" t="s">
        <v>32</v>
      </c>
      <c r="G176" s="2" t="s">
        <v>23</v>
      </c>
    </row>
    <row r="177" spans="1:7">
      <c r="A177" s="2">
        <v>176</v>
      </c>
      <c r="B177" s="2" t="s">
        <v>15</v>
      </c>
      <c r="C177" s="2" t="s">
        <v>12</v>
      </c>
      <c r="D177" s="2">
        <v>9</v>
      </c>
      <c r="E177" s="3">
        <v>54810</v>
      </c>
      <c r="F177" s="2" t="s">
        <v>25</v>
      </c>
      <c r="G177" s="2" t="s">
        <v>29</v>
      </c>
    </row>
    <row r="178" spans="1:7">
      <c r="A178" s="2">
        <v>177</v>
      </c>
      <c r="B178" s="2" t="s">
        <v>81</v>
      </c>
      <c r="C178" s="2" t="s">
        <v>16</v>
      </c>
      <c r="D178" s="2">
        <v>14</v>
      </c>
      <c r="E178" s="3">
        <v>54102</v>
      </c>
      <c r="F178" s="2" t="s">
        <v>38</v>
      </c>
      <c r="G178" s="2" t="s">
        <v>29</v>
      </c>
    </row>
    <row r="179" spans="1:7">
      <c r="A179" s="2">
        <v>178</v>
      </c>
      <c r="B179" s="2" t="s">
        <v>90</v>
      </c>
      <c r="C179" s="2" t="s">
        <v>8</v>
      </c>
      <c r="D179" s="2">
        <v>14</v>
      </c>
      <c r="E179" s="3">
        <v>51592</v>
      </c>
      <c r="F179" s="2" t="s">
        <v>13</v>
      </c>
      <c r="G179" s="2" t="s">
        <v>14</v>
      </c>
    </row>
    <row r="180" spans="1:7">
      <c r="A180" s="2">
        <v>179</v>
      </c>
      <c r="B180" s="2" t="s">
        <v>82</v>
      </c>
      <c r="C180" s="2" t="s">
        <v>12</v>
      </c>
      <c r="D180" s="2">
        <v>4</v>
      </c>
      <c r="E180" s="3">
        <v>85527</v>
      </c>
      <c r="F180" s="2" t="s">
        <v>9</v>
      </c>
      <c r="G180" s="2" t="s">
        <v>18</v>
      </c>
    </row>
    <row r="181" spans="1:7">
      <c r="A181" s="2">
        <v>180</v>
      </c>
      <c r="B181" s="2" t="s">
        <v>19</v>
      </c>
      <c r="C181" s="2" t="s">
        <v>16</v>
      </c>
      <c r="D181" s="2">
        <v>37</v>
      </c>
      <c r="E181" s="3">
        <v>44533</v>
      </c>
      <c r="F181" s="2" t="s">
        <v>38</v>
      </c>
      <c r="G181" s="2" t="s">
        <v>23</v>
      </c>
    </row>
    <row r="182" spans="1:7">
      <c r="A182" s="2">
        <v>181</v>
      </c>
      <c r="B182" s="2" t="s">
        <v>81</v>
      </c>
      <c r="C182" s="2" t="s">
        <v>22</v>
      </c>
      <c r="D182" s="2">
        <v>23</v>
      </c>
      <c r="E182" s="3">
        <v>63058</v>
      </c>
      <c r="F182" s="2" t="s">
        <v>17</v>
      </c>
      <c r="G182" s="2" t="s">
        <v>18</v>
      </c>
    </row>
    <row r="183" spans="1:7">
      <c r="A183" s="2">
        <v>182</v>
      </c>
      <c r="B183" s="2" t="s">
        <v>64</v>
      </c>
      <c r="C183" s="2" t="s">
        <v>16</v>
      </c>
      <c r="D183" s="2">
        <v>35</v>
      </c>
      <c r="E183" s="3">
        <v>38871</v>
      </c>
      <c r="F183" s="2" t="s">
        <v>13</v>
      </c>
      <c r="G183" s="2" t="s">
        <v>23</v>
      </c>
    </row>
    <row r="184" spans="1:7">
      <c r="A184" s="2">
        <v>183</v>
      </c>
      <c r="B184" s="2" t="s">
        <v>15</v>
      </c>
      <c r="C184" s="2" t="s">
        <v>22</v>
      </c>
      <c r="D184" s="2">
        <v>18</v>
      </c>
      <c r="E184" s="3">
        <v>80593</v>
      </c>
      <c r="F184" s="2" t="s">
        <v>25</v>
      </c>
      <c r="G184" s="2" t="s">
        <v>10</v>
      </c>
    </row>
    <row r="185" spans="1:7">
      <c r="A185" s="2">
        <v>184</v>
      </c>
      <c r="B185" s="2" t="s">
        <v>82</v>
      </c>
      <c r="C185" s="2" t="s">
        <v>12</v>
      </c>
      <c r="D185" s="2">
        <v>39</v>
      </c>
      <c r="E185" s="3">
        <v>43935</v>
      </c>
      <c r="F185" s="2" t="s">
        <v>9</v>
      </c>
      <c r="G185" s="2" t="s">
        <v>14</v>
      </c>
    </row>
    <row r="186" spans="1:7">
      <c r="A186" s="2">
        <v>185</v>
      </c>
      <c r="B186" s="2" t="s">
        <v>92</v>
      </c>
      <c r="C186" s="2" t="s">
        <v>16</v>
      </c>
      <c r="D186" s="2">
        <v>35</v>
      </c>
      <c r="E186" s="3">
        <v>38057</v>
      </c>
      <c r="F186" s="2" t="s">
        <v>20</v>
      </c>
      <c r="G186" s="2" t="s">
        <v>29</v>
      </c>
    </row>
    <row r="187" spans="1:7">
      <c r="A187" s="2">
        <v>186</v>
      </c>
      <c r="B187" s="2" t="s">
        <v>73</v>
      </c>
      <c r="C187" s="2" t="s">
        <v>12</v>
      </c>
      <c r="D187" s="2">
        <v>11</v>
      </c>
      <c r="E187" s="3">
        <v>72444</v>
      </c>
      <c r="F187" s="2" t="s">
        <v>9</v>
      </c>
      <c r="G187" s="2" t="s">
        <v>14</v>
      </c>
    </row>
    <row r="188" spans="1:7">
      <c r="A188" s="2">
        <v>187</v>
      </c>
      <c r="B188" s="2" t="s">
        <v>81</v>
      </c>
      <c r="C188" s="2" t="s">
        <v>22</v>
      </c>
      <c r="D188" s="2">
        <v>21</v>
      </c>
      <c r="E188" s="3">
        <v>92351</v>
      </c>
      <c r="F188" s="2" t="s">
        <v>17</v>
      </c>
      <c r="G188" s="2" t="s">
        <v>10</v>
      </c>
    </row>
    <row r="189" spans="1:7">
      <c r="A189" s="2">
        <v>188</v>
      </c>
      <c r="B189" s="2" t="s">
        <v>73</v>
      </c>
      <c r="C189" s="2" t="s">
        <v>8</v>
      </c>
      <c r="D189" s="2">
        <v>46</v>
      </c>
      <c r="E189" s="3">
        <v>33600</v>
      </c>
      <c r="F189" s="2" t="s">
        <v>38</v>
      </c>
      <c r="G189" s="2" t="s">
        <v>26</v>
      </c>
    </row>
    <row r="190" spans="1:7">
      <c r="A190" s="2">
        <v>189</v>
      </c>
      <c r="B190" s="2" t="s">
        <v>27</v>
      </c>
      <c r="C190" s="2" t="s">
        <v>8</v>
      </c>
      <c r="D190" s="2">
        <v>19</v>
      </c>
      <c r="E190" s="3">
        <v>70785</v>
      </c>
      <c r="F190" s="2" t="s">
        <v>38</v>
      </c>
      <c r="G190" s="2" t="s">
        <v>14</v>
      </c>
    </row>
    <row r="191" spans="1:7">
      <c r="A191" s="2">
        <v>190</v>
      </c>
      <c r="B191" s="2" t="s">
        <v>80</v>
      </c>
      <c r="C191" s="2" t="s">
        <v>22</v>
      </c>
      <c r="D191" s="2">
        <v>19</v>
      </c>
      <c r="E191" s="3">
        <v>70172</v>
      </c>
      <c r="F191" s="2" t="s">
        <v>32</v>
      </c>
      <c r="G191" s="2" t="s">
        <v>14</v>
      </c>
    </row>
    <row r="192" spans="1:7">
      <c r="A192" s="2">
        <v>191</v>
      </c>
      <c r="B192" s="2" t="s">
        <v>21</v>
      </c>
      <c r="C192" s="2" t="s">
        <v>8</v>
      </c>
      <c r="D192" s="2">
        <v>37</v>
      </c>
      <c r="E192" s="3">
        <v>63485</v>
      </c>
      <c r="F192" s="2" t="s">
        <v>13</v>
      </c>
      <c r="G192" s="2" t="s">
        <v>10</v>
      </c>
    </row>
    <row r="193" spans="1:7">
      <c r="A193" s="2">
        <v>192</v>
      </c>
      <c r="B193" s="2" t="s">
        <v>27</v>
      </c>
      <c r="C193" s="2" t="s">
        <v>8</v>
      </c>
      <c r="D193" s="2">
        <v>18</v>
      </c>
      <c r="E193" s="3">
        <v>25687</v>
      </c>
      <c r="F193" s="2" t="s">
        <v>20</v>
      </c>
      <c r="G193" s="2" t="s">
        <v>14</v>
      </c>
    </row>
    <row r="194" spans="1:7">
      <c r="A194" s="2">
        <v>193</v>
      </c>
      <c r="B194" s="2" t="s">
        <v>48</v>
      </c>
      <c r="C194" s="2" t="s">
        <v>16</v>
      </c>
      <c r="D194" s="2">
        <v>33</v>
      </c>
      <c r="E194" s="3">
        <v>56913</v>
      </c>
      <c r="F194" s="2" t="s">
        <v>17</v>
      </c>
      <c r="G194" s="2" t="s">
        <v>14</v>
      </c>
    </row>
    <row r="195" spans="1:7">
      <c r="A195" s="2">
        <v>194</v>
      </c>
      <c r="B195" s="2" t="s">
        <v>76</v>
      </c>
      <c r="C195" s="2" t="s">
        <v>16</v>
      </c>
      <c r="D195" s="2">
        <v>44</v>
      </c>
      <c r="E195" s="3">
        <v>80258</v>
      </c>
      <c r="F195" s="2" t="s">
        <v>17</v>
      </c>
      <c r="G195" s="2" t="s">
        <v>10</v>
      </c>
    </row>
    <row r="196" spans="1:7">
      <c r="A196" s="2">
        <v>195</v>
      </c>
      <c r="B196" s="2" t="s">
        <v>90</v>
      </c>
      <c r="C196" s="2" t="s">
        <v>8</v>
      </c>
      <c r="D196" s="2">
        <v>7</v>
      </c>
      <c r="E196" s="3">
        <v>98948</v>
      </c>
      <c r="F196" s="2" t="s">
        <v>28</v>
      </c>
      <c r="G196" s="2" t="s">
        <v>10</v>
      </c>
    </row>
    <row r="197" spans="1:7">
      <c r="A197" s="2">
        <v>196</v>
      </c>
      <c r="B197" s="2" t="s">
        <v>39</v>
      </c>
      <c r="C197" s="2" t="s">
        <v>16</v>
      </c>
      <c r="D197" s="2">
        <v>9</v>
      </c>
      <c r="E197" s="3">
        <v>49380</v>
      </c>
      <c r="F197" s="2" t="s">
        <v>25</v>
      </c>
      <c r="G197" s="2" t="s">
        <v>29</v>
      </c>
    </row>
    <row r="198" spans="1:7">
      <c r="A198" s="2">
        <v>197</v>
      </c>
      <c r="B198" s="2" t="s">
        <v>19</v>
      </c>
      <c r="C198" s="2" t="s">
        <v>22</v>
      </c>
      <c r="D198" s="2">
        <v>49</v>
      </c>
      <c r="E198" s="3">
        <v>96080</v>
      </c>
      <c r="F198" s="2" t="s">
        <v>28</v>
      </c>
      <c r="G198" s="2" t="s">
        <v>26</v>
      </c>
    </row>
    <row r="199" spans="1:7">
      <c r="A199" s="2">
        <v>198</v>
      </c>
      <c r="B199" s="2" t="s">
        <v>33</v>
      </c>
      <c r="C199" s="2" t="s">
        <v>16</v>
      </c>
      <c r="D199" s="2">
        <v>27</v>
      </c>
      <c r="E199" s="3">
        <v>61805</v>
      </c>
      <c r="F199" s="2" t="s">
        <v>32</v>
      </c>
      <c r="G199" s="2" t="s">
        <v>23</v>
      </c>
    </row>
    <row r="200" spans="1:7">
      <c r="A200" s="2">
        <v>199</v>
      </c>
      <c r="B200" s="2" t="s">
        <v>21</v>
      </c>
      <c r="C200" s="2" t="s">
        <v>16</v>
      </c>
      <c r="D200" s="2">
        <v>4</v>
      </c>
      <c r="E200" s="3">
        <v>57181</v>
      </c>
      <c r="F200" s="2" t="s">
        <v>28</v>
      </c>
      <c r="G200" s="2" t="s">
        <v>23</v>
      </c>
    </row>
    <row r="201" spans="1:7">
      <c r="A201" s="2">
        <v>200</v>
      </c>
      <c r="B201" s="2" t="s">
        <v>76</v>
      </c>
      <c r="C201" s="2" t="s">
        <v>16</v>
      </c>
      <c r="D201" s="2">
        <v>18</v>
      </c>
      <c r="E201" s="3">
        <v>94661</v>
      </c>
      <c r="F201" s="2" t="s">
        <v>9</v>
      </c>
      <c r="G201" s="2" t="s">
        <v>26</v>
      </c>
    </row>
    <row r="202" spans="1:7">
      <c r="A202" s="2">
        <v>201</v>
      </c>
      <c r="B202" s="2" t="s">
        <v>7</v>
      </c>
      <c r="C202" s="2" t="s">
        <v>12</v>
      </c>
      <c r="D202" s="2">
        <v>42</v>
      </c>
      <c r="E202" s="3">
        <v>57117</v>
      </c>
      <c r="F202" s="2" t="s">
        <v>17</v>
      </c>
      <c r="G202" s="2" t="s">
        <v>26</v>
      </c>
    </row>
    <row r="203" spans="1:7">
      <c r="A203" s="2">
        <v>202</v>
      </c>
      <c r="B203" s="2" t="s">
        <v>45</v>
      </c>
      <c r="C203" s="2" t="s">
        <v>22</v>
      </c>
      <c r="D203" s="2">
        <v>9</v>
      </c>
      <c r="E203" s="3">
        <v>92239</v>
      </c>
      <c r="F203" s="2" t="s">
        <v>17</v>
      </c>
      <c r="G203" s="2" t="s">
        <v>26</v>
      </c>
    </row>
    <row r="204" spans="1:7">
      <c r="A204" s="2">
        <v>203</v>
      </c>
      <c r="B204" s="2" t="s">
        <v>42</v>
      </c>
      <c r="C204" s="2" t="s">
        <v>8</v>
      </c>
      <c r="D204" s="2">
        <v>45</v>
      </c>
      <c r="E204" s="3">
        <v>99016</v>
      </c>
      <c r="F204" s="2" t="s">
        <v>25</v>
      </c>
      <c r="G204" s="2" t="s">
        <v>10</v>
      </c>
    </row>
    <row r="205" spans="1:7">
      <c r="A205" s="2">
        <v>204</v>
      </c>
      <c r="B205" s="2" t="s">
        <v>58</v>
      </c>
      <c r="C205" s="2" t="s">
        <v>8</v>
      </c>
      <c r="D205" s="2">
        <v>9</v>
      </c>
      <c r="E205" s="3">
        <v>98275</v>
      </c>
      <c r="F205" s="2" t="s">
        <v>9</v>
      </c>
      <c r="G205" s="2" t="s">
        <v>23</v>
      </c>
    </row>
    <row r="206" spans="1:7">
      <c r="A206" s="2">
        <v>205</v>
      </c>
      <c r="B206" s="2" t="s">
        <v>35</v>
      </c>
      <c r="C206" s="2" t="s">
        <v>12</v>
      </c>
      <c r="D206" s="2">
        <v>16</v>
      </c>
      <c r="E206" s="3">
        <v>87305</v>
      </c>
      <c r="F206" s="2" t="s">
        <v>13</v>
      </c>
      <c r="G206" s="2" t="s">
        <v>18</v>
      </c>
    </row>
    <row r="207" spans="1:7">
      <c r="A207" s="2">
        <v>206</v>
      </c>
      <c r="B207" s="2" t="s">
        <v>69</v>
      </c>
      <c r="C207" s="2" t="s">
        <v>16</v>
      </c>
      <c r="D207" s="2">
        <v>10</v>
      </c>
      <c r="E207" s="3">
        <v>54003</v>
      </c>
      <c r="F207" s="2" t="s">
        <v>32</v>
      </c>
      <c r="G207" s="2" t="s">
        <v>18</v>
      </c>
    </row>
    <row r="208" spans="1:7">
      <c r="A208" s="2">
        <v>207</v>
      </c>
      <c r="B208" s="2" t="s">
        <v>27</v>
      </c>
      <c r="C208" s="2" t="s">
        <v>22</v>
      </c>
      <c r="D208" s="2">
        <v>46</v>
      </c>
      <c r="E208" s="3">
        <v>75129</v>
      </c>
      <c r="F208" s="2" t="s">
        <v>13</v>
      </c>
      <c r="G208" s="2" t="s">
        <v>18</v>
      </c>
    </row>
    <row r="209" spans="1:7">
      <c r="A209" s="2">
        <v>208</v>
      </c>
      <c r="B209" s="2" t="s">
        <v>39</v>
      </c>
      <c r="C209" s="2" t="s">
        <v>22</v>
      </c>
      <c r="D209" s="2">
        <v>21</v>
      </c>
      <c r="E209" s="3">
        <v>67432</v>
      </c>
      <c r="F209" s="2" t="s">
        <v>17</v>
      </c>
      <c r="G209" s="2" t="s">
        <v>29</v>
      </c>
    </row>
    <row r="210" spans="1:7">
      <c r="A210" s="2">
        <v>209</v>
      </c>
      <c r="B210" s="2" t="s">
        <v>42</v>
      </c>
      <c r="C210" s="2" t="s">
        <v>8</v>
      </c>
      <c r="D210" s="2">
        <v>16</v>
      </c>
      <c r="E210" s="3">
        <v>89967</v>
      </c>
      <c r="F210" s="2" t="s">
        <v>17</v>
      </c>
      <c r="G210" s="2" t="s">
        <v>26</v>
      </c>
    </row>
    <row r="211" spans="1:7">
      <c r="A211" s="2">
        <v>210</v>
      </c>
      <c r="B211" s="2" t="s">
        <v>62</v>
      </c>
      <c r="C211" s="2" t="s">
        <v>12</v>
      </c>
      <c r="D211" s="2">
        <v>49</v>
      </c>
      <c r="E211" s="3">
        <v>67295</v>
      </c>
      <c r="F211" s="2" t="s">
        <v>13</v>
      </c>
      <c r="G211" s="2" t="s">
        <v>26</v>
      </c>
    </row>
    <row r="212" spans="1:7">
      <c r="A212" s="2">
        <v>211</v>
      </c>
      <c r="B212" s="2" t="s">
        <v>78</v>
      </c>
      <c r="C212" s="2" t="s">
        <v>12</v>
      </c>
      <c r="D212" s="2">
        <v>44</v>
      </c>
      <c r="E212" s="3">
        <v>85230</v>
      </c>
      <c r="F212" s="2" t="s">
        <v>28</v>
      </c>
      <c r="G212" s="2" t="s">
        <v>23</v>
      </c>
    </row>
    <row r="213" spans="1:7">
      <c r="A213" s="2">
        <v>212</v>
      </c>
      <c r="B213" s="2" t="s">
        <v>42</v>
      </c>
      <c r="C213" s="2" t="s">
        <v>12</v>
      </c>
      <c r="D213" s="2">
        <v>26</v>
      </c>
      <c r="E213" s="3">
        <v>77228</v>
      </c>
      <c r="F213" s="2" t="s">
        <v>9</v>
      </c>
      <c r="G213" s="2" t="s">
        <v>14</v>
      </c>
    </row>
    <row r="214" spans="1:7">
      <c r="A214" s="2">
        <v>213</v>
      </c>
      <c r="B214" s="2" t="s">
        <v>39</v>
      </c>
      <c r="C214" s="2" t="s">
        <v>12</v>
      </c>
      <c r="D214" s="2">
        <v>32</v>
      </c>
      <c r="E214" s="3">
        <v>43097</v>
      </c>
      <c r="F214" s="2" t="s">
        <v>25</v>
      </c>
      <c r="G214" s="2" t="s">
        <v>10</v>
      </c>
    </row>
    <row r="215" spans="1:7">
      <c r="A215" s="2">
        <v>214</v>
      </c>
      <c r="B215" s="2" t="s">
        <v>91</v>
      </c>
      <c r="C215" s="2" t="s">
        <v>22</v>
      </c>
      <c r="D215" s="2">
        <v>10</v>
      </c>
      <c r="E215" s="3">
        <v>45479</v>
      </c>
      <c r="F215" s="2" t="s">
        <v>25</v>
      </c>
      <c r="G215" s="2" t="s">
        <v>23</v>
      </c>
    </row>
    <row r="216" spans="1:7">
      <c r="A216" s="2">
        <v>215</v>
      </c>
      <c r="B216" s="2" t="s">
        <v>93</v>
      </c>
      <c r="C216" s="2" t="s">
        <v>16</v>
      </c>
      <c r="D216" s="2">
        <v>37</v>
      </c>
      <c r="E216" s="3">
        <v>55706</v>
      </c>
      <c r="F216" s="2" t="s">
        <v>32</v>
      </c>
      <c r="G216" s="2" t="s">
        <v>29</v>
      </c>
    </row>
    <row r="217" spans="1:7">
      <c r="A217" s="2">
        <v>216</v>
      </c>
      <c r="B217" s="2" t="s">
        <v>63</v>
      </c>
      <c r="C217" s="2" t="s">
        <v>8</v>
      </c>
      <c r="D217" s="2">
        <v>41</v>
      </c>
      <c r="E217" s="3">
        <v>68832</v>
      </c>
      <c r="F217" s="2" t="s">
        <v>20</v>
      </c>
      <c r="G217" s="2" t="s">
        <v>14</v>
      </c>
    </row>
    <row r="218" spans="1:7">
      <c r="A218" s="2">
        <v>217</v>
      </c>
      <c r="B218" s="2" t="s">
        <v>78</v>
      </c>
      <c r="C218" s="2" t="s">
        <v>22</v>
      </c>
      <c r="D218" s="2">
        <v>18</v>
      </c>
      <c r="E218" s="3">
        <v>52662</v>
      </c>
      <c r="F218" s="2" t="s">
        <v>28</v>
      </c>
      <c r="G218" s="2" t="s">
        <v>26</v>
      </c>
    </row>
    <row r="219" spans="1:7">
      <c r="A219" s="2">
        <v>218</v>
      </c>
      <c r="B219" s="2" t="s">
        <v>42</v>
      </c>
      <c r="C219" s="2" t="s">
        <v>12</v>
      </c>
      <c r="D219" s="2">
        <v>41</v>
      </c>
      <c r="E219" s="3">
        <v>73970</v>
      </c>
      <c r="F219" s="2" t="s">
        <v>32</v>
      </c>
      <c r="G219" s="2" t="s">
        <v>10</v>
      </c>
    </row>
    <row r="220" spans="1:7">
      <c r="A220" s="2">
        <v>219</v>
      </c>
      <c r="B220" s="2" t="s">
        <v>94</v>
      </c>
      <c r="C220" s="2" t="s">
        <v>12</v>
      </c>
      <c r="D220" s="2">
        <v>27</v>
      </c>
      <c r="E220" s="3">
        <v>72256</v>
      </c>
      <c r="F220" s="2" t="s">
        <v>13</v>
      </c>
      <c r="G220" s="2" t="s">
        <v>14</v>
      </c>
    </row>
    <row r="221" spans="1:7">
      <c r="A221" s="2">
        <v>220</v>
      </c>
      <c r="B221" s="2" t="s">
        <v>79</v>
      </c>
      <c r="C221" s="2" t="s">
        <v>8</v>
      </c>
      <c r="D221" s="2">
        <v>25</v>
      </c>
      <c r="E221" s="3">
        <v>33476</v>
      </c>
      <c r="F221" s="2" t="s">
        <v>13</v>
      </c>
      <c r="G221" s="2" t="s">
        <v>10</v>
      </c>
    </row>
    <row r="222" spans="1:7">
      <c r="A222" s="2">
        <v>221</v>
      </c>
      <c r="B222" s="2" t="s">
        <v>19</v>
      </c>
      <c r="C222" s="2" t="s">
        <v>16</v>
      </c>
      <c r="D222" s="2">
        <v>29</v>
      </c>
      <c r="E222" s="3">
        <v>46064</v>
      </c>
      <c r="F222" s="2" t="s">
        <v>32</v>
      </c>
      <c r="G222" s="2" t="s">
        <v>18</v>
      </c>
    </row>
    <row r="223" spans="1:7">
      <c r="A223" s="2">
        <v>222</v>
      </c>
      <c r="B223" s="2" t="s">
        <v>51</v>
      </c>
      <c r="C223" s="2" t="s">
        <v>16</v>
      </c>
      <c r="D223" s="2">
        <v>5</v>
      </c>
      <c r="E223" s="3">
        <v>98433</v>
      </c>
      <c r="F223" s="2" t="s">
        <v>25</v>
      </c>
      <c r="G223" s="2" t="s">
        <v>26</v>
      </c>
    </row>
    <row r="224" spans="1:7">
      <c r="A224" s="2">
        <v>223</v>
      </c>
      <c r="B224" s="2" t="s">
        <v>65</v>
      </c>
      <c r="C224" s="2" t="s">
        <v>16</v>
      </c>
      <c r="D224" s="2">
        <v>41</v>
      </c>
      <c r="E224" s="3">
        <v>29662</v>
      </c>
      <c r="F224" s="2" t="s">
        <v>25</v>
      </c>
      <c r="G224" s="2" t="s">
        <v>26</v>
      </c>
    </row>
    <row r="225" spans="1:7">
      <c r="A225" s="2">
        <v>224</v>
      </c>
      <c r="B225" s="2" t="s">
        <v>59</v>
      </c>
      <c r="C225" s="2" t="s">
        <v>12</v>
      </c>
      <c r="D225" s="2">
        <v>50</v>
      </c>
      <c r="E225" s="3">
        <v>90387</v>
      </c>
      <c r="F225" s="2" t="s">
        <v>9</v>
      </c>
      <c r="G225" s="2" t="s">
        <v>26</v>
      </c>
    </row>
    <row r="226" spans="1:7">
      <c r="A226" s="2">
        <v>225</v>
      </c>
      <c r="B226" s="2" t="s">
        <v>69</v>
      </c>
      <c r="C226" s="2" t="s">
        <v>22</v>
      </c>
      <c r="D226" s="2">
        <v>6</v>
      </c>
      <c r="E226" s="3">
        <v>26501</v>
      </c>
      <c r="F226" s="2" t="s">
        <v>38</v>
      </c>
      <c r="G226" s="2" t="s">
        <v>10</v>
      </c>
    </row>
    <row r="227" spans="1:7">
      <c r="A227" s="2">
        <v>226</v>
      </c>
      <c r="B227" s="2" t="s">
        <v>74</v>
      </c>
      <c r="C227" s="2" t="s">
        <v>22</v>
      </c>
      <c r="D227" s="2">
        <v>26</v>
      </c>
      <c r="E227" s="3">
        <v>48383</v>
      </c>
      <c r="F227" s="2" t="s">
        <v>25</v>
      </c>
      <c r="G227" s="2" t="s">
        <v>10</v>
      </c>
    </row>
    <row r="228" spans="1:7">
      <c r="A228" s="2">
        <v>227</v>
      </c>
      <c r="B228" s="2" t="s">
        <v>41</v>
      </c>
      <c r="C228" s="2" t="s">
        <v>16</v>
      </c>
      <c r="D228" s="2">
        <v>33</v>
      </c>
      <c r="E228" s="3">
        <v>52838</v>
      </c>
      <c r="F228" s="2" t="s">
        <v>13</v>
      </c>
      <c r="G228" s="2" t="s">
        <v>29</v>
      </c>
    </row>
    <row r="229" spans="1:7">
      <c r="A229" s="2">
        <v>228</v>
      </c>
      <c r="B229" s="2" t="s">
        <v>94</v>
      </c>
      <c r="C229" s="2" t="s">
        <v>8</v>
      </c>
      <c r="D229" s="2">
        <v>48</v>
      </c>
      <c r="E229" s="3">
        <v>57828</v>
      </c>
      <c r="F229" s="2" t="s">
        <v>9</v>
      </c>
      <c r="G229" s="2" t="s">
        <v>29</v>
      </c>
    </row>
    <row r="230" spans="1:7">
      <c r="A230" s="2">
        <v>229</v>
      </c>
      <c r="B230" s="2" t="s">
        <v>89</v>
      </c>
      <c r="C230" s="2" t="s">
        <v>16</v>
      </c>
      <c r="D230" s="2">
        <v>18</v>
      </c>
      <c r="E230" s="3">
        <v>25084</v>
      </c>
      <c r="F230" s="2" t="s">
        <v>25</v>
      </c>
      <c r="G230" s="2" t="s">
        <v>29</v>
      </c>
    </row>
    <row r="231" spans="1:7">
      <c r="A231" s="2">
        <v>230</v>
      </c>
      <c r="B231" s="2" t="s">
        <v>7</v>
      </c>
      <c r="C231" s="2" t="s">
        <v>16</v>
      </c>
      <c r="D231" s="2">
        <v>45</v>
      </c>
      <c r="E231" s="3">
        <v>68863</v>
      </c>
      <c r="F231" s="2" t="s">
        <v>17</v>
      </c>
      <c r="G231" s="2" t="s">
        <v>23</v>
      </c>
    </row>
    <row r="232" spans="1:7">
      <c r="A232" s="2">
        <v>231</v>
      </c>
      <c r="B232" s="2" t="s">
        <v>11</v>
      </c>
      <c r="C232" s="2" t="s">
        <v>8</v>
      </c>
      <c r="D232" s="2">
        <v>24</v>
      </c>
      <c r="E232" s="3">
        <v>50227</v>
      </c>
      <c r="F232" s="2" t="s">
        <v>9</v>
      </c>
      <c r="G232" s="2" t="s">
        <v>18</v>
      </c>
    </row>
    <row r="233" spans="1:7">
      <c r="A233" s="2">
        <v>232</v>
      </c>
      <c r="B233" s="2" t="s">
        <v>34</v>
      </c>
      <c r="C233" s="2" t="s">
        <v>16</v>
      </c>
      <c r="D233" s="2">
        <v>30</v>
      </c>
      <c r="E233" s="3">
        <v>82825</v>
      </c>
      <c r="F233" s="2" t="s">
        <v>28</v>
      </c>
      <c r="G233" s="2" t="s">
        <v>18</v>
      </c>
    </row>
    <row r="234" spans="1:7">
      <c r="A234" s="2">
        <v>233</v>
      </c>
      <c r="B234" s="2" t="s">
        <v>77</v>
      </c>
      <c r="C234" s="2" t="s">
        <v>8</v>
      </c>
      <c r="D234" s="2">
        <v>32</v>
      </c>
      <c r="E234" s="3">
        <v>38080</v>
      </c>
      <c r="F234" s="2" t="s">
        <v>28</v>
      </c>
      <c r="G234" s="2" t="s">
        <v>10</v>
      </c>
    </row>
    <row r="235" spans="1:7">
      <c r="A235" s="2">
        <v>234</v>
      </c>
      <c r="B235" s="2" t="s">
        <v>58</v>
      </c>
      <c r="C235" s="2" t="s">
        <v>8</v>
      </c>
      <c r="D235" s="2">
        <v>21</v>
      </c>
      <c r="E235" s="3">
        <v>42649</v>
      </c>
      <c r="F235" s="2" t="s">
        <v>38</v>
      </c>
      <c r="G235" s="2" t="s">
        <v>29</v>
      </c>
    </row>
    <row r="236" spans="1:7">
      <c r="A236" s="2">
        <v>235</v>
      </c>
      <c r="B236" s="2" t="s">
        <v>66</v>
      </c>
      <c r="C236" s="2" t="s">
        <v>22</v>
      </c>
      <c r="D236" s="2">
        <v>38</v>
      </c>
      <c r="E236" s="3">
        <v>56502</v>
      </c>
      <c r="F236" s="2" t="s">
        <v>13</v>
      </c>
      <c r="G236" s="2" t="s">
        <v>26</v>
      </c>
    </row>
    <row r="237" spans="1:7">
      <c r="A237" s="2">
        <v>236</v>
      </c>
      <c r="B237" s="2" t="s">
        <v>19</v>
      </c>
      <c r="C237" s="2" t="s">
        <v>8</v>
      </c>
      <c r="D237" s="2">
        <v>1</v>
      </c>
      <c r="E237" s="3">
        <v>78599</v>
      </c>
      <c r="F237" s="2" t="s">
        <v>20</v>
      </c>
      <c r="G237" s="2" t="s">
        <v>26</v>
      </c>
    </row>
    <row r="238" spans="1:7">
      <c r="A238" s="2">
        <v>237</v>
      </c>
      <c r="B238" s="2" t="s">
        <v>21</v>
      </c>
      <c r="C238" s="2" t="s">
        <v>16</v>
      </c>
      <c r="D238" s="2">
        <v>50</v>
      </c>
      <c r="E238" s="3">
        <v>27824</v>
      </c>
      <c r="F238" s="2" t="s">
        <v>25</v>
      </c>
      <c r="G238" s="2" t="s">
        <v>18</v>
      </c>
    </row>
    <row r="239" spans="1:7">
      <c r="A239" s="2">
        <v>238</v>
      </c>
      <c r="B239" s="2" t="s">
        <v>61</v>
      </c>
      <c r="C239" s="2" t="s">
        <v>8</v>
      </c>
      <c r="D239" s="2">
        <v>47</v>
      </c>
      <c r="E239" s="3">
        <v>25018</v>
      </c>
      <c r="F239" s="2" t="s">
        <v>38</v>
      </c>
      <c r="G239" s="2" t="s">
        <v>18</v>
      </c>
    </row>
    <row r="240" spans="1:7">
      <c r="A240" s="2">
        <v>239</v>
      </c>
      <c r="B240" s="2" t="s">
        <v>88</v>
      </c>
      <c r="C240" s="2" t="s">
        <v>16</v>
      </c>
      <c r="D240" s="2">
        <v>6</v>
      </c>
      <c r="E240" s="3">
        <v>90932</v>
      </c>
      <c r="F240" s="2" t="s">
        <v>32</v>
      </c>
      <c r="G240" s="2" t="s">
        <v>10</v>
      </c>
    </row>
    <row r="241" spans="1:7">
      <c r="A241" s="2">
        <v>240</v>
      </c>
      <c r="B241" s="2" t="s">
        <v>24</v>
      </c>
      <c r="C241" s="2" t="s">
        <v>8</v>
      </c>
      <c r="D241" s="2">
        <v>47</v>
      </c>
      <c r="E241" s="3">
        <v>32893</v>
      </c>
      <c r="F241" s="2" t="s">
        <v>28</v>
      </c>
      <c r="G241" s="2" t="s">
        <v>10</v>
      </c>
    </row>
    <row r="242" spans="1:7">
      <c r="A242" s="2">
        <v>241</v>
      </c>
      <c r="B242" s="2" t="s">
        <v>79</v>
      </c>
      <c r="C242" s="2" t="s">
        <v>22</v>
      </c>
      <c r="D242" s="2">
        <v>30</v>
      </c>
      <c r="E242" s="3">
        <v>38839</v>
      </c>
      <c r="F242" s="2" t="s">
        <v>9</v>
      </c>
      <c r="G242" s="2" t="s">
        <v>14</v>
      </c>
    </row>
    <row r="243" spans="1:7">
      <c r="A243" s="2">
        <v>242</v>
      </c>
      <c r="B243" s="2" t="s">
        <v>46</v>
      </c>
      <c r="C243" s="2" t="s">
        <v>16</v>
      </c>
      <c r="D243" s="2">
        <v>41</v>
      </c>
      <c r="E243" s="3">
        <v>92963</v>
      </c>
      <c r="F243" s="2" t="s">
        <v>20</v>
      </c>
      <c r="G243" s="2" t="s">
        <v>14</v>
      </c>
    </row>
    <row r="244" spans="1:7">
      <c r="A244" s="2">
        <v>243</v>
      </c>
      <c r="B244" s="2" t="s">
        <v>86</v>
      </c>
      <c r="C244" s="2" t="s">
        <v>16</v>
      </c>
      <c r="D244" s="2">
        <v>43</v>
      </c>
      <c r="E244" s="3">
        <v>34485</v>
      </c>
      <c r="F244" s="2" t="s">
        <v>9</v>
      </c>
      <c r="G244" s="2" t="s">
        <v>10</v>
      </c>
    </row>
    <row r="245" spans="1:7">
      <c r="A245" s="2">
        <v>244</v>
      </c>
      <c r="B245" s="2" t="s">
        <v>84</v>
      </c>
      <c r="C245" s="2" t="s">
        <v>16</v>
      </c>
      <c r="D245" s="2">
        <v>45</v>
      </c>
      <c r="E245" s="3">
        <v>88620</v>
      </c>
      <c r="F245" s="2" t="s">
        <v>17</v>
      </c>
      <c r="G245" s="2" t="s">
        <v>14</v>
      </c>
    </row>
    <row r="246" spans="1:7">
      <c r="A246" s="2">
        <v>245</v>
      </c>
      <c r="B246" s="2" t="s">
        <v>19</v>
      </c>
      <c r="C246" s="2" t="s">
        <v>8</v>
      </c>
      <c r="D246" s="2">
        <v>23</v>
      </c>
      <c r="E246" s="3">
        <v>42104</v>
      </c>
      <c r="F246" s="2" t="s">
        <v>28</v>
      </c>
      <c r="G246" s="2" t="s">
        <v>18</v>
      </c>
    </row>
    <row r="247" spans="1:7">
      <c r="A247" s="2">
        <v>246</v>
      </c>
      <c r="B247" s="2" t="s">
        <v>51</v>
      </c>
      <c r="C247" s="2" t="s">
        <v>22</v>
      </c>
      <c r="D247" s="2">
        <v>5</v>
      </c>
      <c r="E247" s="3">
        <v>98195</v>
      </c>
      <c r="F247" s="2" t="s">
        <v>17</v>
      </c>
      <c r="G247" s="2" t="s">
        <v>10</v>
      </c>
    </row>
    <row r="248" spans="1:7">
      <c r="A248" s="2">
        <v>247</v>
      </c>
      <c r="B248" s="2" t="s">
        <v>73</v>
      </c>
      <c r="C248" s="2" t="s">
        <v>22</v>
      </c>
      <c r="D248" s="2">
        <v>35</v>
      </c>
      <c r="E248" s="3">
        <v>38436</v>
      </c>
      <c r="F248" s="2" t="s">
        <v>17</v>
      </c>
      <c r="G248" s="2" t="s">
        <v>10</v>
      </c>
    </row>
    <row r="249" spans="1:7">
      <c r="A249" s="2">
        <v>248</v>
      </c>
      <c r="B249" s="2" t="s">
        <v>61</v>
      </c>
      <c r="C249" s="2" t="s">
        <v>22</v>
      </c>
      <c r="D249" s="2">
        <v>26</v>
      </c>
      <c r="E249" s="3">
        <v>98049</v>
      </c>
      <c r="F249" s="2" t="s">
        <v>28</v>
      </c>
      <c r="G249" s="2" t="s">
        <v>29</v>
      </c>
    </row>
    <row r="250" spans="1:7">
      <c r="A250" s="2">
        <v>249</v>
      </c>
      <c r="B250" s="2" t="s">
        <v>27</v>
      </c>
      <c r="C250" s="2" t="s">
        <v>22</v>
      </c>
      <c r="D250" s="2">
        <v>14</v>
      </c>
      <c r="E250" s="3">
        <v>71131</v>
      </c>
      <c r="F250" s="2" t="s">
        <v>17</v>
      </c>
      <c r="G250" s="2" t="s">
        <v>18</v>
      </c>
    </row>
    <row r="251" spans="1:7">
      <c r="A251" s="2">
        <v>250</v>
      </c>
      <c r="B251" s="2" t="s">
        <v>76</v>
      </c>
      <c r="C251" s="2" t="s">
        <v>8</v>
      </c>
      <c r="D251" s="2">
        <v>28</v>
      </c>
      <c r="E251" s="3">
        <v>26796</v>
      </c>
      <c r="F251" s="2" t="s">
        <v>38</v>
      </c>
      <c r="G251" s="2" t="s">
        <v>18</v>
      </c>
    </row>
    <row r="252" spans="1:7">
      <c r="A252" s="2">
        <v>251</v>
      </c>
      <c r="B252" s="2" t="s">
        <v>61</v>
      </c>
      <c r="C252" s="2" t="s">
        <v>16</v>
      </c>
      <c r="D252" s="2">
        <v>14</v>
      </c>
      <c r="E252" s="3">
        <v>60827</v>
      </c>
      <c r="F252" s="2" t="s">
        <v>13</v>
      </c>
      <c r="G252" s="2" t="s">
        <v>23</v>
      </c>
    </row>
    <row r="253" spans="1:7">
      <c r="A253" s="2">
        <v>252</v>
      </c>
      <c r="B253" s="2" t="s">
        <v>76</v>
      </c>
      <c r="C253" s="2" t="s">
        <v>12</v>
      </c>
      <c r="D253" s="2">
        <v>32</v>
      </c>
      <c r="E253" s="3">
        <v>79735</v>
      </c>
      <c r="F253" s="2" t="s">
        <v>20</v>
      </c>
      <c r="G253" s="2" t="s">
        <v>23</v>
      </c>
    </row>
    <row r="254" spans="1:7">
      <c r="A254" s="2">
        <v>253</v>
      </c>
      <c r="B254" s="2" t="s">
        <v>65</v>
      </c>
      <c r="C254" s="2" t="s">
        <v>22</v>
      </c>
      <c r="D254" s="2">
        <v>18</v>
      </c>
      <c r="E254" s="3">
        <v>71863</v>
      </c>
      <c r="F254" s="2" t="s">
        <v>17</v>
      </c>
      <c r="G254" s="2" t="s">
        <v>29</v>
      </c>
    </row>
    <row r="255" spans="1:7">
      <c r="A255" s="2">
        <v>254</v>
      </c>
      <c r="B255" s="2" t="s">
        <v>64</v>
      </c>
      <c r="C255" s="2" t="s">
        <v>12</v>
      </c>
      <c r="D255" s="2">
        <v>21</v>
      </c>
      <c r="E255" s="3">
        <v>95516</v>
      </c>
      <c r="F255" s="2" t="s">
        <v>32</v>
      </c>
      <c r="G255" s="2" t="s">
        <v>23</v>
      </c>
    </row>
    <row r="256" spans="1:7">
      <c r="A256" s="2">
        <v>255</v>
      </c>
      <c r="B256" s="2" t="s">
        <v>83</v>
      </c>
      <c r="C256" s="2" t="s">
        <v>8</v>
      </c>
      <c r="D256" s="2">
        <v>19</v>
      </c>
      <c r="E256" s="3">
        <v>65342</v>
      </c>
      <c r="F256" s="2" t="s">
        <v>25</v>
      </c>
      <c r="G256" s="2" t="s">
        <v>14</v>
      </c>
    </row>
    <row r="257" spans="1:7">
      <c r="A257" s="2">
        <v>256</v>
      </c>
      <c r="B257" s="2" t="s">
        <v>41</v>
      </c>
      <c r="C257" s="2" t="s">
        <v>8</v>
      </c>
      <c r="D257" s="2">
        <v>22</v>
      </c>
      <c r="E257" s="3">
        <v>81383</v>
      </c>
      <c r="F257" s="2" t="s">
        <v>28</v>
      </c>
      <c r="G257" s="2" t="s">
        <v>10</v>
      </c>
    </row>
    <row r="258" spans="1:7">
      <c r="A258" s="2">
        <v>257</v>
      </c>
      <c r="B258" s="2" t="s">
        <v>73</v>
      </c>
      <c r="C258" s="2" t="s">
        <v>12</v>
      </c>
      <c r="D258" s="2">
        <v>36</v>
      </c>
      <c r="E258" s="3">
        <v>44876</v>
      </c>
      <c r="F258" s="2" t="s">
        <v>17</v>
      </c>
      <c r="G258" s="2" t="s">
        <v>26</v>
      </c>
    </row>
    <row r="259" spans="1:7">
      <c r="A259" s="2">
        <v>258</v>
      </c>
      <c r="B259" s="2" t="s">
        <v>43</v>
      </c>
      <c r="C259" s="2" t="s">
        <v>16</v>
      </c>
      <c r="D259" s="2">
        <v>37</v>
      </c>
      <c r="E259" s="3">
        <v>88731</v>
      </c>
      <c r="F259" s="2" t="s">
        <v>17</v>
      </c>
      <c r="G259" s="2" t="s">
        <v>14</v>
      </c>
    </row>
    <row r="260" spans="1:7">
      <c r="A260" s="2">
        <v>259</v>
      </c>
      <c r="B260" s="2" t="s">
        <v>19</v>
      </c>
      <c r="C260" s="2" t="s">
        <v>12</v>
      </c>
      <c r="D260" s="2">
        <v>9</v>
      </c>
      <c r="E260" s="3">
        <v>93357</v>
      </c>
      <c r="F260" s="2" t="s">
        <v>9</v>
      </c>
      <c r="G260" s="2" t="s">
        <v>18</v>
      </c>
    </row>
    <row r="261" spans="1:7">
      <c r="A261" s="2">
        <v>260</v>
      </c>
      <c r="B261" s="2" t="s">
        <v>74</v>
      </c>
      <c r="C261" s="2" t="s">
        <v>8</v>
      </c>
      <c r="D261" s="2">
        <v>37</v>
      </c>
      <c r="E261" s="3">
        <v>86314</v>
      </c>
      <c r="F261" s="2" t="s">
        <v>9</v>
      </c>
      <c r="G261" s="2" t="s">
        <v>23</v>
      </c>
    </row>
    <row r="262" spans="1:7">
      <c r="A262" s="2">
        <v>261</v>
      </c>
      <c r="B262" s="2" t="s">
        <v>11</v>
      </c>
      <c r="C262" s="2" t="s">
        <v>12</v>
      </c>
      <c r="D262" s="2">
        <v>32</v>
      </c>
      <c r="E262" s="3">
        <v>61492</v>
      </c>
      <c r="F262" s="2" t="s">
        <v>20</v>
      </c>
      <c r="G262" s="2" t="s">
        <v>26</v>
      </c>
    </row>
    <row r="263" spans="1:7">
      <c r="A263" s="2">
        <v>262</v>
      </c>
      <c r="B263" s="2" t="s">
        <v>72</v>
      </c>
      <c r="C263" s="2" t="s">
        <v>22</v>
      </c>
      <c r="D263" s="2">
        <v>22</v>
      </c>
      <c r="E263" s="3">
        <v>93283</v>
      </c>
      <c r="F263" s="2" t="s">
        <v>13</v>
      </c>
      <c r="G263" s="2" t="s">
        <v>14</v>
      </c>
    </row>
    <row r="264" spans="1:7">
      <c r="A264" s="2">
        <v>263</v>
      </c>
      <c r="B264" s="2" t="s">
        <v>34</v>
      </c>
      <c r="C264" s="2" t="s">
        <v>22</v>
      </c>
      <c r="D264" s="2">
        <v>44</v>
      </c>
      <c r="E264" s="3">
        <v>45648</v>
      </c>
      <c r="F264" s="2" t="s">
        <v>28</v>
      </c>
      <c r="G264" s="2" t="s">
        <v>18</v>
      </c>
    </row>
    <row r="265" spans="1:7">
      <c r="A265" s="2">
        <v>264</v>
      </c>
      <c r="B265" s="2" t="s">
        <v>76</v>
      </c>
      <c r="C265" s="2" t="s">
        <v>16</v>
      </c>
      <c r="D265" s="2">
        <v>49</v>
      </c>
      <c r="E265" s="3">
        <v>70747</v>
      </c>
      <c r="F265" s="2" t="s">
        <v>9</v>
      </c>
      <c r="G265" s="2" t="s">
        <v>23</v>
      </c>
    </row>
    <row r="266" spans="1:7">
      <c r="A266" s="2">
        <v>265</v>
      </c>
      <c r="B266" s="2" t="s">
        <v>47</v>
      </c>
      <c r="C266" s="2" t="s">
        <v>12</v>
      </c>
      <c r="D266" s="2">
        <v>4</v>
      </c>
      <c r="E266" s="3">
        <v>29398</v>
      </c>
      <c r="F266" s="2" t="s">
        <v>25</v>
      </c>
      <c r="G266" s="2" t="s">
        <v>10</v>
      </c>
    </row>
    <row r="267" spans="1:7">
      <c r="A267" s="2">
        <v>266</v>
      </c>
      <c r="B267" s="2" t="s">
        <v>70</v>
      </c>
      <c r="C267" s="2" t="s">
        <v>12</v>
      </c>
      <c r="D267" s="2">
        <v>3</v>
      </c>
      <c r="E267" s="3">
        <v>90816</v>
      </c>
      <c r="F267" s="2" t="s">
        <v>25</v>
      </c>
      <c r="G267" s="2" t="s">
        <v>10</v>
      </c>
    </row>
    <row r="268" spans="1:7">
      <c r="A268" s="2">
        <v>267</v>
      </c>
      <c r="B268" s="2" t="s">
        <v>84</v>
      </c>
      <c r="C268" s="2" t="s">
        <v>12</v>
      </c>
      <c r="D268" s="2">
        <v>7</v>
      </c>
      <c r="E268" s="3">
        <v>74924</v>
      </c>
      <c r="F268" s="2" t="s">
        <v>17</v>
      </c>
      <c r="G268" s="2" t="s">
        <v>23</v>
      </c>
    </row>
    <row r="269" spans="1:7">
      <c r="A269" s="2">
        <v>268</v>
      </c>
      <c r="B269" s="2" t="s">
        <v>49</v>
      </c>
      <c r="C269" s="2" t="s">
        <v>12</v>
      </c>
      <c r="D269" s="2">
        <v>41</v>
      </c>
      <c r="E269" s="3">
        <v>97884</v>
      </c>
      <c r="F269" s="2" t="s">
        <v>13</v>
      </c>
      <c r="G269" s="2" t="s">
        <v>10</v>
      </c>
    </row>
    <row r="270" spans="1:7">
      <c r="A270" s="2">
        <v>269</v>
      </c>
      <c r="B270" s="2" t="s">
        <v>47</v>
      </c>
      <c r="C270" s="2" t="s">
        <v>16</v>
      </c>
      <c r="D270" s="2">
        <v>30</v>
      </c>
      <c r="E270" s="3">
        <v>94616</v>
      </c>
      <c r="F270" s="2" t="s">
        <v>13</v>
      </c>
      <c r="G270" s="2" t="s">
        <v>29</v>
      </c>
    </row>
    <row r="271" spans="1:7">
      <c r="A271" s="2">
        <v>270</v>
      </c>
      <c r="B271" s="2" t="s">
        <v>30</v>
      </c>
      <c r="C271" s="2" t="s">
        <v>8</v>
      </c>
      <c r="D271" s="2">
        <v>2</v>
      </c>
      <c r="E271" s="3">
        <v>49629</v>
      </c>
      <c r="F271" s="2" t="s">
        <v>20</v>
      </c>
      <c r="G271" s="2" t="s">
        <v>23</v>
      </c>
    </row>
    <row r="272" spans="1:7">
      <c r="A272" s="2">
        <v>271</v>
      </c>
      <c r="B272" s="2" t="s">
        <v>94</v>
      </c>
      <c r="C272" s="2" t="s">
        <v>16</v>
      </c>
      <c r="D272" s="2">
        <v>8</v>
      </c>
      <c r="E272" s="3">
        <v>52443</v>
      </c>
      <c r="F272" s="2" t="s">
        <v>20</v>
      </c>
      <c r="G272" s="2" t="s">
        <v>29</v>
      </c>
    </row>
    <row r="273" spans="1:7">
      <c r="A273" s="2">
        <v>272</v>
      </c>
      <c r="B273" s="2" t="s">
        <v>50</v>
      </c>
      <c r="C273" s="2" t="s">
        <v>8</v>
      </c>
      <c r="D273" s="2">
        <v>11</v>
      </c>
      <c r="E273" s="3">
        <v>61083</v>
      </c>
      <c r="F273" s="2" t="s">
        <v>25</v>
      </c>
      <c r="G273" s="2" t="s">
        <v>23</v>
      </c>
    </row>
    <row r="274" spans="1:7">
      <c r="A274" s="2">
        <v>273</v>
      </c>
      <c r="B274" s="2" t="s">
        <v>21</v>
      </c>
      <c r="C274" s="2" t="s">
        <v>8</v>
      </c>
      <c r="D274" s="2">
        <v>29</v>
      </c>
      <c r="E274" s="3">
        <v>51383</v>
      </c>
      <c r="F274" s="2" t="s">
        <v>17</v>
      </c>
      <c r="G274" s="2" t="s">
        <v>29</v>
      </c>
    </row>
    <row r="275" spans="1:7">
      <c r="A275" s="2">
        <v>274</v>
      </c>
      <c r="B275" s="2" t="s">
        <v>49</v>
      </c>
      <c r="C275" s="2" t="s">
        <v>8</v>
      </c>
      <c r="D275" s="2">
        <v>30</v>
      </c>
      <c r="E275" s="3">
        <v>99447</v>
      </c>
      <c r="F275" s="2" t="s">
        <v>32</v>
      </c>
      <c r="G275" s="2" t="s">
        <v>10</v>
      </c>
    </row>
    <row r="276" spans="1:7">
      <c r="A276" s="2">
        <v>275</v>
      </c>
      <c r="B276" s="2" t="s">
        <v>64</v>
      </c>
      <c r="C276" s="2" t="s">
        <v>12</v>
      </c>
      <c r="D276" s="2">
        <v>1</v>
      </c>
      <c r="E276" s="3">
        <v>31339</v>
      </c>
      <c r="F276" s="2" t="s">
        <v>17</v>
      </c>
      <c r="G276" s="2" t="s">
        <v>10</v>
      </c>
    </row>
    <row r="277" spans="1:7">
      <c r="A277" s="2">
        <v>276</v>
      </c>
      <c r="B277" s="2" t="s">
        <v>89</v>
      </c>
      <c r="C277" s="2" t="s">
        <v>16</v>
      </c>
      <c r="D277" s="2">
        <v>28</v>
      </c>
      <c r="E277" s="3">
        <v>48417</v>
      </c>
      <c r="F277" s="2" t="s">
        <v>17</v>
      </c>
      <c r="G277" s="2" t="s">
        <v>14</v>
      </c>
    </row>
    <row r="278" spans="1:7">
      <c r="A278" s="2">
        <v>277</v>
      </c>
      <c r="B278" s="2" t="s">
        <v>93</v>
      </c>
      <c r="C278" s="2" t="s">
        <v>8</v>
      </c>
      <c r="D278" s="2">
        <v>13</v>
      </c>
      <c r="E278" s="3">
        <v>96242</v>
      </c>
      <c r="F278" s="2" t="s">
        <v>28</v>
      </c>
      <c r="G278" s="2" t="s">
        <v>18</v>
      </c>
    </row>
    <row r="279" spans="1:7">
      <c r="A279" s="2">
        <v>278</v>
      </c>
      <c r="B279" s="2" t="s">
        <v>81</v>
      </c>
      <c r="C279" s="2" t="s">
        <v>22</v>
      </c>
      <c r="D279" s="2">
        <v>45</v>
      </c>
      <c r="E279" s="3">
        <v>84957</v>
      </c>
      <c r="F279" s="2" t="s">
        <v>28</v>
      </c>
      <c r="G279" s="2" t="s">
        <v>29</v>
      </c>
    </row>
    <row r="280" spans="1:7">
      <c r="A280" s="2">
        <v>279</v>
      </c>
      <c r="B280" s="2" t="s">
        <v>11</v>
      </c>
      <c r="C280" s="2" t="s">
        <v>8</v>
      </c>
      <c r="D280" s="2">
        <v>9</v>
      </c>
      <c r="E280" s="3">
        <v>90124</v>
      </c>
      <c r="F280" s="2" t="s">
        <v>13</v>
      </c>
      <c r="G280" s="2" t="s">
        <v>26</v>
      </c>
    </row>
    <row r="281" spans="1:7">
      <c r="A281" s="2">
        <v>280</v>
      </c>
      <c r="B281" s="2" t="s">
        <v>69</v>
      </c>
      <c r="C281" s="2" t="s">
        <v>16</v>
      </c>
      <c r="D281" s="2">
        <v>42</v>
      </c>
      <c r="E281" s="3">
        <v>96537</v>
      </c>
      <c r="F281" s="2" t="s">
        <v>28</v>
      </c>
      <c r="G281" s="2" t="s">
        <v>23</v>
      </c>
    </row>
    <row r="282" spans="1:7">
      <c r="A282" s="2">
        <v>281</v>
      </c>
      <c r="B282" s="2" t="s">
        <v>35</v>
      </c>
      <c r="C282" s="2" t="s">
        <v>12</v>
      </c>
      <c r="D282" s="2">
        <v>20</v>
      </c>
      <c r="E282" s="3">
        <v>89798</v>
      </c>
      <c r="F282" s="2" t="s">
        <v>9</v>
      </c>
      <c r="G282" s="2" t="s">
        <v>10</v>
      </c>
    </row>
    <row r="283" spans="1:7">
      <c r="A283" s="2">
        <v>282</v>
      </c>
      <c r="B283" s="2" t="s">
        <v>36</v>
      </c>
      <c r="C283" s="2" t="s">
        <v>22</v>
      </c>
      <c r="D283" s="2">
        <v>11</v>
      </c>
      <c r="E283" s="3">
        <v>80433</v>
      </c>
      <c r="F283" s="2" t="s">
        <v>17</v>
      </c>
      <c r="G283" s="2" t="s">
        <v>10</v>
      </c>
    </row>
    <row r="284" spans="1:7">
      <c r="A284" s="2">
        <v>283</v>
      </c>
      <c r="B284" s="2" t="s">
        <v>54</v>
      </c>
      <c r="C284" s="2" t="s">
        <v>8</v>
      </c>
      <c r="D284" s="2">
        <v>18</v>
      </c>
      <c r="E284" s="3">
        <v>87680</v>
      </c>
      <c r="F284" s="2" t="s">
        <v>9</v>
      </c>
      <c r="G284" s="2" t="s">
        <v>23</v>
      </c>
    </row>
    <row r="285" spans="1:7">
      <c r="A285" s="2">
        <v>284</v>
      </c>
      <c r="B285" s="2" t="s">
        <v>78</v>
      </c>
      <c r="C285" s="2" t="s">
        <v>12</v>
      </c>
      <c r="D285" s="2">
        <v>6</v>
      </c>
      <c r="E285" s="3">
        <v>43108</v>
      </c>
      <c r="F285" s="2" t="s">
        <v>13</v>
      </c>
      <c r="G285" s="2" t="s">
        <v>18</v>
      </c>
    </row>
    <row r="286" spans="1:7">
      <c r="A286" s="2">
        <v>285</v>
      </c>
      <c r="B286" s="2" t="s">
        <v>61</v>
      </c>
      <c r="C286" s="2" t="s">
        <v>16</v>
      </c>
      <c r="D286" s="2">
        <v>42</v>
      </c>
      <c r="E286" s="3">
        <v>37940</v>
      </c>
      <c r="F286" s="2" t="s">
        <v>25</v>
      </c>
      <c r="G286" s="2" t="s">
        <v>23</v>
      </c>
    </row>
    <row r="287" spans="1:7">
      <c r="A287" s="2">
        <v>286</v>
      </c>
      <c r="B287" s="2" t="s">
        <v>57</v>
      </c>
      <c r="C287" s="2" t="s">
        <v>16</v>
      </c>
      <c r="D287" s="2">
        <v>24</v>
      </c>
      <c r="E287" s="3">
        <v>85761</v>
      </c>
      <c r="F287" s="2" t="s">
        <v>25</v>
      </c>
      <c r="G287" s="2" t="s">
        <v>26</v>
      </c>
    </row>
    <row r="288" spans="1:7">
      <c r="A288" s="2">
        <v>287</v>
      </c>
      <c r="B288" s="2" t="s">
        <v>72</v>
      </c>
      <c r="C288" s="2" t="s">
        <v>22</v>
      </c>
      <c r="D288" s="2">
        <v>17</v>
      </c>
      <c r="E288" s="3">
        <v>72289</v>
      </c>
      <c r="F288" s="2" t="s">
        <v>38</v>
      </c>
      <c r="G288" s="2" t="s">
        <v>29</v>
      </c>
    </row>
    <row r="289" spans="1:7">
      <c r="A289" s="2">
        <v>288</v>
      </c>
      <c r="B289" s="2" t="s">
        <v>45</v>
      </c>
      <c r="C289" s="2" t="s">
        <v>22</v>
      </c>
      <c r="D289" s="2">
        <v>6</v>
      </c>
      <c r="E289" s="3">
        <v>54963</v>
      </c>
      <c r="F289" s="2" t="s">
        <v>25</v>
      </c>
      <c r="G289" s="2" t="s">
        <v>29</v>
      </c>
    </row>
    <row r="290" spans="1:7">
      <c r="A290" s="2">
        <v>289</v>
      </c>
      <c r="B290" s="2" t="s">
        <v>30</v>
      </c>
      <c r="C290" s="2" t="s">
        <v>8</v>
      </c>
      <c r="D290" s="2">
        <v>24</v>
      </c>
      <c r="E290" s="3">
        <v>92672</v>
      </c>
      <c r="F290" s="2" t="s">
        <v>32</v>
      </c>
      <c r="G290" s="2" t="s">
        <v>26</v>
      </c>
    </row>
    <row r="291" spans="1:7">
      <c r="A291" s="2">
        <v>290</v>
      </c>
      <c r="B291" s="2" t="s">
        <v>65</v>
      </c>
      <c r="C291" s="2" t="s">
        <v>12</v>
      </c>
      <c r="D291" s="2">
        <v>43</v>
      </c>
      <c r="E291" s="3">
        <v>59509</v>
      </c>
      <c r="F291" s="2" t="s">
        <v>28</v>
      </c>
      <c r="G291" s="2" t="s">
        <v>26</v>
      </c>
    </row>
    <row r="292" spans="1:7">
      <c r="A292" s="2">
        <v>291</v>
      </c>
      <c r="B292" s="2" t="s">
        <v>24</v>
      </c>
      <c r="C292" s="2" t="s">
        <v>12</v>
      </c>
      <c r="D292" s="2">
        <v>42</v>
      </c>
      <c r="E292" s="3">
        <v>49477</v>
      </c>
      <c r="F292" s="2" t="s">
        <v>20</v>
      </c>
      <c r="G292" s="2" t="s">
        <v>14</v>
      </c>
    </row>
    <row r="293" spans="1:7">
      <c r="A293" s="2">
        <v>292</v>
      </c>
      <c r="B293" s="2" t="s">
        <v>60</v>
      </c>
      <c r="C293" s="2" t="s">
        <v>16</v>
      </c>
      <c r="D293" s="2">
        <v>11</v>
      </c>
      <c r="E293" s="3">
        <v>37407</v>
      </c>
      <c r="F293" s="2" t="s">
        <v>32</v>
      </c>
      <c r="G293" s="2" t="s">
        <v>26</v>
      </c>
    </row>
    <row r="294" spans="1:7">
      <c r="A294" s="2">
        <v>293</v>
      </c>
      <c r="B294" s="2" t="s">
        <v>90</v>
      </c>
      <c r="C294" s="2" t="s">
        <v>16</v>
      </c>
      <c r="D294" s="2">
        <v>4</v>
      </c>
      <c r="E294" s="3">
        <v>40727</v>
      </c>
      <c r="F294" s="2" t="s">
        <v>25</v>
      </c>
      <c r="G294" s="2" t="s">
        <v>26</v>
      </c>
    </row>
    <row r="295" spans="1:7">
      <c r="A295" s="2">
        <v>294</v>
      </c>
      <c r="B295" s="2" t="s">
        <v>60</v>
      </c>
      <c r="C295" s="2" t="s">
        <v>8</v>
      </c>
      <c r="D295" s="2">
        <v>26</v>
      </c>
      <c r="E295" s="3">
        <v>62927</v>
      </c>
      <c r="F295" s="2" t="s">
        <v>13</v>
      </c>
      <c r="G295" s="2" t="s">
        <v>23</v>
      </c>
    </row>
    <row r="296" spans="1:7">
      <c r="A296" s="2">
        <v>295</v>
      </c>
      <c r="B296" s="2" t="s">
        <v>66</v>
      </c>
      <c r="C296" s="2" t="s">
        <v>8</v>
      </c>
      <c r="D296" s="2">
        <v>41</v>
      </c>
      <c r="E296" s="3">
        <v>67739</v>
      </c>
      <c r="F296" s="2" t="s">
        <v>20</v>
      </c>
      <c r="G296" s="2" t="s">
        <v>10</v>
      </c>
    </row>
    <row r="297" spans="1:7">
      <c r="A297" s="2">
        <v>296</v>
      </c>
      <c r="B297" s="2" t="s">
        <v>74</v>
      </c>
      <c r="C297" s="2" t="s">
        <v>16</v>
      </c>
      <c r="D297" s="2">
        <v>20</v>
      </c>
      <c r="E297" s="3">
        <v>98155</v>
      </c>
      <c r="F297" s="2" t="s">
        <v>20</v>
      </c>
      <c r="G297" s="2" t="s">
        <v>14</v>
      </c>
    </row>
    <row r="298" spans="1:7">
      <c r="A298" s="2">
        <v>297</v>
      </c>
      <c r="B298" s="2" t="s">
        <v>65</v>
      </c>
      <c r="C298" s="2" t="s">
        <v>16</v>
      </c>
      <c r="D298" s="2">
        <v>47</v>
      </c>
      <c r="E298" s="3">
        <v>27038</v>
      </c>
      <c r="F298" s="2" t="s">
        <v>20</v>
      </c>
      <c r="G298" s="2" t="s">
        <v>23</v>
      </c>
    </row>
    <row r="299" spans="1:7">
      <c r="A299" s="2">
        <v>298</v>
      </c>
      <c r="B299" s="2" t="s">
        <v>93</v>
      </c>
      <c r="C299" s="2" t="s">
        <v>12</v>
      </c>
      <c r="D299" s="2">
        <v>45</v>
      </c>
      <c r="E299" s="3">
        <v>92378</v>
      </c>
      <c r="F299" s="2" t="s">
        <v>9</v>
      </c>
      <c r="G299" s="2" t="s">
        <v>23</v>
      </c>
    </row>
    <row r="300" spans="1:7">
      <c r="A300" s="2">
        <v>299</v>
      </c>
      <c r="B300" s="2" t="s">
        <v>19</v>
      </c>
      <c r="C300" s="2" t="s">
        <v>12</v>
      </c>
      <c r="D300" s="2">
        <v>49</v>
      </c>
      <c r="E300" s="3">
        <v>25648</v>
      </c>
      <c r="F300" s="2" t="s">
        <v>38</v>
      </c>
      <c r="G300" s="2" t="s">
        <v>10</v>
      </c>
    </row>
    <row r="301" spans="1:7">
      <c r="A301" s="2">
        <v>300</v>
      </c>
      <c r="B301" s="2" t="s">
        <v>71</v>
      </c>
      <c r="C301" s="2" t="s">
        <v>12</v>
      </c>
      <c r="D301" s="2">
        <v>15</v>
      </c>
      <c r="E301" s="3">
        <v>53396</v>
      </c>
      <c r="F301" s="2" t="s">
        <v>38</v>
      </c>
      <c r="G301" s="2" t="s">
        <v>18</v>
      </c>
    </row>
    <row r="302" spans="1:7">
      <c r="A302" s="2">
        <v>301</v>
      </c>
      <c r="B302" s="2" t="s">
        <v>93</v>
      </c>
      <c r="C302" s="2" t="s">
        <v>8</v>
      </c>
      <c r="D302" s="2">
        <v>28</v>
      </c>
      <c r="E302" s="3">
        <v>53552</v>
      </c>
      <c r="F302" s="2" t="s">
        <v>13</v>
      </c>
      <c r="G302" s="2" t="s">
        <v>23</v>
      </c>
    </row>
    <row r="303" spans="1:7">
      <c r="A303" s="2">
        <v>302</v>
      </c>
      <c r="B303" s="2" t="s">
        <v>89</v>
      </c>
      <c r="C303" s="2" t="s">
        <v>12</v>
      </c>
      <c r="D303" s="2">
        <v>42</v>
      </c>
      <c r="E303" s="3">
        <v>93371</v>
      </c>
      <c r="F303" s="2" t="s">
        <v>20</v>
      </c>
      <c r="G303" s="2" t="s">
        <v>14</v>
      </c>
    </row>
    <row r="304" spans="1:7">
      <c r="A304" s="2">
        <v>303</v>
      </c>
      <c r="B304" s="2" t="s">
        <v>93</v>
      </c>
      <c r="C304" s="2" t="s">
        <v>22</v>
      </c>
      <c r="D304" s="2">
        <v>6</v>
      </c>
      <c r="E304" s="3">
        <v>90334</v>
      </c>
      <c r="F304" s="2" t="s">
        <v>20</v>
      </c>
      <c r="G304" s="2" t="s">
        <v>10</v>
      </c>
    </row>
    <row r="305" spans="1:7">
      <c r="A305" s="2">
        <v>304</v>
      </c>
      <c r="B305" s="2" t="s">
        <v>51</v>
      </c>
      <c r="C305" s="2" t="s">
        <v>22</v>
      </c>
      <c r="D305" s="2">
        <v>46</v>
      </c>
      <c r="E305" s="3">
        <v>97968</v>
      </c>
      <c r="F305" s="2" t="s">
        <v>28</v>
      </c>
      <c r="G305" s="2" t="s">
        <v>29</v>
      </c>
    </row>
    <row r="306" spans="1:7">
      <c r="A306" s="2">
        <v>305</v>
      </c>
      <c r="B306" s="2" t="s">
        <v>82</v>
      </c>
      <c r="C306" s="2" t="s">
        <v>12</v>
      </c>
      <c r="D306" s="2">
        <v>7</v>
      </c>
      <c r="E306" s="3">
        <v>56101</v>
      </c>
      <c r="F306" s="2" t="s">
        <v>25</v>
      </c>
      <c r="G306" s="2" t="s">
        <v>18</v>
      </c>
    </row>
    <row r="307" spans="1:7">
      <c r="A307" s="2">
        <v>306</v>
      </c>
      <c r="B307" s="2" t="s">
        <v>33</v>
      </c>
      <c r="C307" s="2" t="s">
        <v>12</v>
      </c>
      <c r="D307" s="2">
        <v>1</v>
      </c>
      <c r="E307" s="3">
        <v>43664</v>
      </c>
      <c r="F307" s="2" t="s">
        <v>20</v>
      </c>
      <c r="G307" s="2" t="s">
        <v>10</v>
      </c>
    </row>
    <row r="308" spans="1:7">
      <c r="A308" s="2">
        <v>307</v>
      </c>
      <c r="B308" s="2" t="s">
        <v>63</v>
      </c>
      <c r="C308" s="2" t="s">
        <v>16</v>
      </c>
      <c r="D308" s="2">
        <v>14</v>
      </c>
      <c r="E308" s="3">
        <v>63289</v>
      </c>
      <c r="F308" s="2" t="s">
        <v>13</v>
      </c>
      <c r="G308" s="2" t="s">
        <v>14</v>
      </c>
    </row>
    <row r="309" spans="1:7">
      <c r="A309" s="2">
        <v>308</v>
      </c>
      <c r="B309" s="2" t="s">
        <v>57</v>
      </c>
      <c r="C309" s="2" t="s">
        <v>16</v>
      </c>
      <c r="D309" s="2">
        <v>31</v>
      </c>
      <c r="E309" s="3">
        <v>59479</v>
      </c>
      <c r="F309" s="2" t="s">
        <v>28</v>
      </c>
      <c r="G309" s="2" t="s">
        <v>23</v>
      </c>
    </row>
    <row r="310" spans="1:7">
      <c r="A310" s="2">
        <v>309</v>
      </c>
      <c r="B310" s="2" t="s">
        <v>69</v>
      </c>
      <c r="C310" s="2" t="s">
        <v>8</v>
      </c>
      <c r="D310" s="2">
        <v>5</v>
      </c>
      <c r="E310" s="3">
        <v>88559</v>
      </c>
      <c r="F310" s="2" t="s">
        <v>32</v>
      </c>
      <c r="G310" s="2" t="s">
        <v>14</v>
      </c>
    </row>
    <row r="311" spans="1:7">
      <c r="A311" s="2">
        <v>310</v>
      </c>
      <c r="B311" s="2" t="s">
        <v>44</v>
      </c>
      <c r="C311" s="2" t="s">
        <v>22</v>
      </c>
      <c r="D311" s="2">
        <v>9</v>
      </c>
      <c r="E311" s="3">
        <v>41225</v>
      </c>
      <c r="F311" s="2" t="s">
        <v>32</v>
      </c>
      <c r="G311" s="2" t="s">
        <v>26</v>
      </c>
    </row>
    <row r="312" spans="1:7">
      <c r="A312" s="2">
        <v>311</v>
      </c>
      <c r="B312" s="2" t="s">
        <v>80</v>
      </c>
      <c r="C312" s="2" t="s">
        <v>22</v>
      </c>
      <c r="D312" s="2">
        <v>38</v>
      </c>
      <c r="E312" s="3">
        <v>52035</v>
      </c>
      <c r="F312" s="2" t="s">
        <v>28</v>
      </c>
      <c r="G312" s="2" t="s">
        <v>23</v>
      </c>
    </row>
    <row r="313" spans="1:7">
      <c r="A313" s="2">
        <v>312</v>
      </c>
      <c r="B313" s="2" t="s">
        <v>67</v>
      </c>
      <c r="C313" s="2" t="s">
        <v>8</v>
      </c>
      <c r="D313" s="2">
        <v>15</v>
      </c>
      <c r="E313" s="3">
        <v>58604</v>
      </c>
      <c r="F313" s="2" t="s">
        <v>9</v>
      </c>
      <c r="G313" s="2" t="s">
        <v>10</v>
      </c>
    </row>
    <row r="314" spans="1:7">
      <c r="A314" s="2">
        <v>313</v>
      </c>
      <c r="B314" s="2" t="s">
        <v>66</v>
      </c>
      <c r="C314" s="2" t="s">
        <v>12</v>
      </c>
      <c r="D314" s="2">
        <v>34</v>
      </c>
      <c r="E314" s="3">
        <v>26933</v>
      </c>
      <c r="F314" s="2" t="s">
        <v>25</v>
      </c>
      <c r="G314" s="2" t="s">
        <v>18</v>
      </c>
    </row>
    <row r="315" spans="1:7">
      <c r="A315" s="2">
        <v>314</v>
      </c>
      <c r="B315" s="2" t="s">
        <v>70</v>
      </c>
      <c r="C315" s="2" t="s">
        <v>12</v>
      </c>
      <c r="D315" s="2">
        <v>44</v>
      </c>
      <c r="E315" s="3">
        <v>74163</v>
      </c>
      <c r="F315" s="2" t="s">
        <v>25</v>
      </c>
      <c r="G315" s="2" t="s">
        <v>10</v>
      </c>
    </row>
    <row r="316" spans="1:7">
      <c r="A316" s="2">
        <v>315</v>
      </c>
      <c r="B316" s="2" t="s">
        <v>41</v>
      </c>
      <c r="C316" s="2" t="s">
        <v>8</v>
      </c>
      <c r="D316" s="2">
        <v>29</v>
      </c>
      <c r="E316" s="3">
        <v>48704</v>
      </c>
      <c r="F316" s="2" t="s">
        <v>25</v>
      </c>
      <c r="G316" s="2" t="s">
        <v>26</v>
      </c>
    </row>
    <row r="317" spans="1:7">
      <c r="A317" s="2">
        <v>316</v>
      </c>
      <c r="B317" s="2" t="s">
        <v>68</v>
      </c>
      <c r="C317" s="2" t="s">
        <v>22</v>
      </c>
      <c r="D317" s="2">
        <v>1</v>
      </c>
      <c r="E317" s="3">
        <v>78133</v>
      </c>
      <c r="F317" s="2" t="s">
        <v>38</v>
      </c>
      <c r="G317" s="2" t="s">
        <v>26</v>
      </c>
    </row>
    <row r="318" spans="1:7">
      <c r="A318" s="2">
        <v>317</v>
      </c>
      <c r="B318" s="2" t="s">
        <v>44</v>
      </c>
      <c r="C318" s="2" t="s">
        <v>22</v>
      </c>
      <c r="D318" s="2">
        <v>1</v>
      </c>
      <c r="E318" s="3">
        <v>27769</v>
      </c>
      <c r="F318" s="2" t="s">
        <v>38</v>
      </c>
      <c r="G318" s="2" t="s">
        <v>14</v>
      </c>
    </row>
    <row r="319" spans="1:7">
      <c r="A319" s="2">
        <v>318</v>
      </c>
      <c r="B319" s="2" t="s">
        <v>84</v>
      </c>
      <c r="C319" s="2" t="s">
        <v>12</v>
      </c>
      <c r="D319" s="2">
        <v>45</v>
      </c>
      <c r="E319" s="3">
        <v>97804</v>
      </c>
      <c r="F319" s="2" t="s">
        <v>17</v>
      </c>
      <c r="G319" s="2" t="s">
        <v>14</v>
      </c>
    </row>
    <row r="320" spans="1:7">
      <c r="A320" s="2">
        <v>319</v>
      </c>
      <c r="B320" s="2" t="s">
        <v>52</v>
      </c>
      <c r="C320" s="2" t="s">
        <v>16</v>
      </c>
      <c r="D320" s="2">
        <v>22</v>
      </c>
      <c r="E320" s="3">
        <v>34399</v>
      </c>
      <c r="F320" s="2" t="s">
        <v>17</v>
      </c>
      <c r="G320" s="2" t="s">
        <v>29</v>
      </c>
    </row>
    <row r="321" spans="1:7">
      <c r="A321" s="2">
        <v>320</v>
      </c>
      <c r="B321" s="2" t="s">
        <v>27</v>
      </c>
      <c r="C321" s="2" t="s">
        <v>8</v>
      </c>
      <c r="D321" s="2">
        <v>8</v>
      </c>
      <c r="E321" s="3">
        <v>47286</v>
      </c>
      <c r="F321" s="2" t="s">
        <v>9</v>
      </c>
      <c r="G321" s="2" t="s">
        <v>29</v>
      </c>
    </row>
    <row r="322" spans="1:7">
      <c r="A322" s="2">
        <v>321</v>
      </c>
      <c r="B322" s="2" t="s">
        <v>11</v>
      </c>
      <c r="C322" s="2" t="s">
        <v>8</v>
      </c>
      <c r="D322" s="2">
        <v>28</v>
      </c>
      <c r="E322" s="3">
        <v>56784</v>
      </c>
      <c r="F322" s="2" t="s">
        <v>9</v>
      </c>
      <c r="G322" s="2" t="s">
        <v>23</v>
      </c>
    </row>
    <row r="323" spans="1:7">
      <c r="A323" s="2">
        <v>322</v>
      </c>
      <c r="B323" s="2" t="s">
        <v>88</v>
      </c>
      <c r="C323" s="2" t="s">
        <v>12</v>
      </c>
      <c r="D323" s="2">
        <v>45</v>
      </c>
      <c r="E323" s="3">
        <v>32096</v>
      </c>
      <c r="F323" s="2" t="s">
        <v>28</v>
      </c>
      <c r="G323" s="2" t="s">
        <v>26</v>
      </c>
    </row>
    <row r="324" spans="1:7">
      <c r="A324" s="2">
        <v>323</v>
      </c>
      <c r="B324" s="2" t="s">
        <v>71</v>
      </c>
      <c r="C324" s="2" t="s">
        <v>8</v>
      </c>
      <c r="D324" s="2">
        <v>9</v>
      </c>
      <c r="E324" s="3">
        <v>92471</v>
      </c>
      <c r="F324" s="2" t="s">
        <v>9</v>
      </c>
      <c r="G324" s="2" t="s">
        <v>14</v>
      </c>
    </row>
    <row r="325" spans="1:7">
      <c r="A325" s="2">
        <v>324</v>
      </c>
      <c r="B325" s="2" t="s">
        <v>40</v>
      </c>
      <c r="C325" s="2" t="s">
        <v>22</v>
      </c>
      <c r="D325" s="2">
        <v>31</v>
      </c>
      <c r="E325" s="3">
        <v>47612</v>
      </c>
      <c r="F325" s="2" t="s">
        <v>25</v>
      </c>
      <c r="G325" s="2" t="s">
        <v>29</v>
      </c>
    </row>
    <row r="326" spans="1:7">
      <c r="A326" s="2">
        <v>325</v>
      </c>
      <c r="B326" s="2" t="s">
        <v>27</v>
      </c>
      <c r="C326" s="2" t="s">
        <v>12</v>
      </c>
      <c r="D326" s="2">
        <v>5</v>
      </c>
      <c r="E326" s="3">
        <v>85181</v>
      </c>
      <c r="F326" s="2" t="s">
        <v>25</v>
      </c>
      <c r="G326" s="2" t="s">
        <v>26</v>
      </c>
    </row>
    <row r="327" spans="1:7">
      <c r="A327" s="2">
        <v>326</v>
      </c>
      <c r="B327" s="2" t="s">
        <v>27</v>
      </c>
      <c r="C327" s="2" t="s">
        <v>22</v>
      </c>
      <c r="D327" s="2">
        <v>15</v>
      </c>
      <c r="E327" s="3">
        <v>79438</v>
      </c>
      <c r="F327" s="2" t="s">
        <v>9</v>
      </c>
      <c r="G327" s="2" t="s">
        <v>29</v>
      </c>
    </row>
    <row r="328" spans="1:7">
      <c r="A328" s="2">
        <v>327</v>
      </c>
      <c r="B328" s="2" t="s">
        <v>87</v>
      </c>
      <c r="C328" s="2" t="s">
        <v>16</v>
      </c>
      <c r="D328" s="2">
        <v>25</v>
      </c>
      <c r="E328" s="3">
        <v>41749</v>
      </c>
      <c r="F328" s="2" t="s">
        <v>13</v>
      </c>
      <c r="G328" s="2" t="s">
        <v>10</v>
      </c>
    </row>
    <row r="329" spans="1:7">
      <c r="A329" s="2">
        <v>328</v>
      </c>
      <c r="B329" s="2" t="s">
        <v>64</v>
      </c>
      <c r="C329" s="2" t="s">
        <v>8</v>
      </c>
      <c r="D329" s="2">
        <v>6</v>
      </c>
      <c r="E329" s="3">
        <v>35131</v>
      </c>
      <c r="F329" s="2" t="s">
        <v>28</v>
      </c>
      <c r="G329" s="2" t="s">
        <v>23</v>
      </c>
    </row>
    <row r="330" spans="1:7">
      <c r="A330" s="2">
        <v>329</v>
      </c>
      <c r="B330" s="2" t="s">
        <v>81</v>
      </c>
      <c r="C330" s="2" t="s">
        <v>8</v>
      </c>
      <c r="D330" s="2">
        <v>47</v>
      </c>
      <c r="E330" s="3">
        <v>80272</v>
      </c>
      <c r="F330" s="2" t="s">
        <v>17</v>
      </c>
      <c r="G330" s="2" t="s">
        <v>18</v>
      </c>
    </row>
    <row r="331" spans="1:7">
      <c r="A331" s="2">
        <v>330</v>
      </c>
      <c r="B331" s="2" t="s">
        <v>49</v>
      </c>
      <c r="C331" s="2" t="s">
        <v>22</v>
      </c>
      <c r="D331" s="2">
        <v>7</v>
      </c>
      <c r="E331" s="3">
        <v>77276</v>
      </c>
      <c r="F331" s="2" t="s">
        <v>9</v>
      </c>
      <c r="G331" s="2" t="s">
        <v>10</v>
      </c>
    </row>
    <row r="332" spans="1:7">
      <c r="A332" s="2">
        <v>331</v>
      </c>
      <c r="B332" s="2" t="s">
        <v>46</v>
      </c>
      <c r="C332" s="2" t="s">
        <v>12</v>
      </c>
      <c r="D332" s="2">
        <v>7</v>
      </c>
      <c r="E332" s="3">
        <v>78586</v>
      </c>
      <c r="F332" s="2" t="s">
        <v>32</v>
      </c>
      <c r="G332" s="2" t="s">
        <v>23</v>
      </c>
    </row>
    <row r="333" spans="1:7">
      <c r="A333" s="2">
        <v>332</v>
      </c>
      <c r="B333" s="2" t="s">
        <v>48</v>
      </c>
      <c r="C333" s="2" t="s">
        <v>12</v>
      </c>
      <c r="D333" s="2">
        <v>21</v>
      </c>
      <c r="E333" s="3">
        <v>33022</v>
      </c>
      <c r="F333" s="2" t="s">
        <v>20</v>
      </c>
      <c r="G333" s="2" t="s">
        <v>23</v>
      </c>
    </row>
    <row r="334" spans="1:7">
      <c r="A334" s="2">
        <v>333</v>
      </c>
      <c r="B334" s="2" t="s">
        <v>60</v>
      </c>
      <c r="C334" s="2" t="s">
        <v>8</v>
      </c>
      <c r="D334" s="2">
        <v>24</v>
      </c>
      <c r="E334" s="3">
        <v>88936</v>
      </c>
      <c r="F334" s="2" t="s">
        <v>9</v>
      </c>
      <c r="G334" s="2" t="s">
        <v>10</v>
      </c>
    </row>
    <row r="335" spans="1:7">
      <c r="A335" s="2">
        <v>334</v>
      </c>
      <c r="B335" s="2" t="s">
        <v>64</v>
      </c>
      <c r="C335" s="2" t="s">
        <v>22</v>
      </c>
      <c r="D335" s="2">
        <v>20</v>
      </c>
      <c r="E335" s="3">
        <v>87005</v>
      </c>
      <c r="F335" s="2" t="s">
        <v>28</v>
      </c>
      <c r="G335" s="2" t="s">
        <v>29</v>
      </c>
    </row>
    <row r="336" spans="1:7">
      <c r="A336" s="2">
        <v>335</v>
      </c>
      <c r="B336" s="2" t="s">
        <v>69</v>
      </c>
      <c r="C336" s="2" t="s">
        <v>16</v>
      </c>
      <c r="D336" s="2">
        <v>9</v>
      </c>
      <c r="E336" s="3">
        <v>84993</v>
      </c>
      <c r="F336" s="2" t="s">
        <v>17</v>
      </c>
      <c r="G336" s="2" t="s">
        <v>29</v>
      </c>
    </row>
    <row r="337" spans="1:7">
      <c r="A337" s="2">
        <v>336</v>
      </c>
      <c r="B337" s="2" t="s">
        <v>49</v>
      </c>
      <c r="C337" s="2" t="s">
        <v>22</v>
      </c>
      <c r="D337" s="2">
        <v>25</v>
      </c>
      <c r="E337" s="3">
        <v>64718</v>
      </c>
      <c r="F337" s="2" t="s">
        <v>13</v>
      </c>
      <c r="G337" s="2" t="s">
        <v>26</v>
      </c>
    </row>
    <row r="338" spans="1:7">
      <c r="A338" s="2">
        <v>337</v>
      </c>
      <c r="B338" s="2" t="s">
        <v>72</v>
      </c>
      <c r="C338" s="2" t="s">
        <v>12</v>
      </c>
      <c r="D338" s="2">
        <v>50</v>
      </c>
      <c r="E338" s="3">
        <v>70095</v>
      </c>
      <c r="F338" s="2" t="s">
        <v>28</v>
      </c>
      <c r="G338" s="2" t="s">
        <v>18</v>
      </c>
    </row>
    <row r="339" spans="1:7">
      <c r="A339" s="2">
        <v>338</v>
      </c>
      <c r="B339" s="2" t="s">
        <v>84</v>
      </c>
      <c r="C339" s="2" t="s">
        <v>8</v>
      </c>
      <c r="D339" s="2">
        <v>49</v>
      </c>
      <c r="E339" s="3">
        <v>37908</v>
      </c>
      <c r="F339" s="2" t="s">
        <v>25</v>
      </c>
      <c r="G339" s="2" t="s">
        <v>18</v>
      </c>
    </row>
    <row r="340" spans="1:7">
      <c r="A340" s="2">
        <v>339</v>
      </c>
      <c r="B340" s="2" t="s">
        <v>87</v>
      </c>
      <c r="C340" s="2" t="s">
        <v>8</v>
      </c>
      <c r="D340" s="2">
        <v>9</v>
      </c>
      <c r="E340" s="3">
        <v>52114</v>
      </c>
      <c r="F340" s="2" t="s">
        <v>28</v>
      </c>
      <c r="G340" s="2" t="s">
        <v>23</v>
      </c>
    </row>
    <row r="341" spans="1:7">
      <c r="A341" s="2">
        <v>340</v>
      </c>
      <c r="B341" s="2" t="s">
        <v>44</v>
      </c>
      <c r="C341" s="2" t="s">
        <v>8</v>
      </c>
      <c r="D341" s="2">
        <v>42</v>
      </c>
      <c r="E341" s="3">
        <v>77138</v>
      </c>
      <c r="F341" s="2" t="s">
        <v>38</v>
      </c>
      <c r="G341" s="2" t="s">
        <v>26</v>
      </c>
    </row>
    <row r="342" spans="1:7">
      <c r="A342" s="2">
        <v>341</v>
      </c>
      <c r="B342" s="2" t="s">
        <v>71</v>
      </c>
      <c r="C342" s="2" t="s">
        <v>16</v>
      </c>
      <c r="D342" s="2">
        <v>44</v>
      </c>
      <c r="E342" s="3">
        <v>89640</v>
      </c>
      <c r="F342" s="2" t="s">
        <v>38</v>
      </c>
      <c r="G342" s="2" t="s">
        <v>18</v>
      </c>
    </row>
    <row r="343" spans="1:7">
      <c r="A343" s="2">
        <v>342</v>
      </c>
      <c r="B343" s="2" t="s">
        <v>87</v>
      </c>
      <c r="C343" s="2" t="s">
        <v>16</v>
      </c>
      <c r="D343" s="2">
        <v>10</v>
      </c>
      <c r="E343" s="3">
        <v>80399</v>
      </c>
      <c r="F343" s="2" t="s">
        <v>25</v>
      </c>
      <c r="G343" s="2" t="s">
        <v>10</v>
      </c>
    </row>
    <row r="344" spans="1:7">
      <c r="A344" s="2">
        <v>343</v>
      </c>
      <c r="B344" s="2" t="s">
        <v>76</v>
      </c>
      <c r="C344" s="2" t="s">
        <v>12</v>
      </c>
      <c r="D344" s="2">
        <v>5</v>
      </c>
      <c r="E344" s="3">
        <v>61371</v>
      </c>
      <c r="F344" s="2" t="s">
        <v>17</v>
      </c>
      <c r="G344" s="2" t="s">
        <v>26</v>
      </c>
    </row>
    <row r="345" spans="1:7">
      <c r="A345" s="2">
        <v>344</v>
      </c>
      <c r="B345" s="2" t="s">
        <v>61</v>
      </c>
      <c r="C345" s="2" t="s">
        <v>22</v>
      </c>
      <c r="D345" s="2">
        <v>34</v>
      </c>
      <c r="E345" s="3">
        <v>64858</v>
      </c>
      <c r="F345" s="2" t="s">
        <v>28</v>
      </c>
      <c r="G345" s="2" t="s">
        <v>18</v>
      </c>
    </row>
    <row r="346" spans="1:7">
      <c r="A346" s="2">
        <v>345</v>
      </c>
      <c r="B346" s="2" t="s">
        <v>49</v>
      </c>
      <c r="C346" s="2" t="s">
        <v>22</v>
      </c>
      <c r="D346" s="2">
        <v>37</v>
      </c>
      <c r="E346" s="3">
        <v>77253</v>
      </c>
      <c r="F346" s="2" t="s">
        <v>9</v>
      </c>
      <c r="G346" s="2" t="s">
        <v>14</v>
      </c>
    </row>
    <row r="347" spans="1:7">
      <c r="A347" s="2">
        <v>346</v>
      </c>
      <c r="B347" s="2" t="s">
        <v>27</v>
      </c>
      <c r="C347" s="2" t="s">
        <v>22</v>
      </c>
      <c r="D347" s="2">
        <v>1</v>
      </c>
      <c r="E347" s="3">
        <v>91361</v>
      </c>
      <c r="F347" s="2" t="s">
        <v>38</v>
      </c>
      <c r="G347" s="2" t="s">
        <v>23</v>
      </c>
    </row>
    <row r="348" spans="1:7">
      <c r="A348" s="2">
        <v>347</v>
      </c>
      <c r="B348" s="2" t="s">
        <v>50</v>
      </c>
      <c r="C348" s="2" t="s">
        <v>16</v>
      </c>
      <c r="D348" s="2">
        <v>40</v>
      </c>
      <c r="E348" s="3">
        <v>78669</v>
      </c>
      <c r="F348" s="2" t="s">
        <v>9</v>
      </c>
      <c r="G348" s="2" t="s">
        <v>14</v>
      </c>
    </row>
    <row r="349" spans="1:7">
      <c r="A349" s="2">
        <v>348</v>
      </c>
      <c r="B349" s="2" t="s">
        <v>70</v>
      </c>
      <c r="C349" s="2" t="s">
        <v>8</v>
      </c>
      <c r="D349" s="2">
        <v>42</v>
      </c>
      <c r="E349" s="3">
        <v>97058</v>
      </c>
      <c r="F349" s="2" t="s">
        <v>9</v>
      </c>
      <c r="G349" s="2" t="s">
        <v>23</v>
      </c>
    </row>
    <row r="350" spans="1:7">
      <c r="A350" s="2">
        <v>349</v>
      </c>
      <c r="B350" s="2" t="s">
        <v>27</v>
      </c>
      <c r="C350" s="2" t="s">
        <v>12</v>
      </c>
      <c r="D350" s="2">
        <v>11</v>
      </c>
      <c r="E350" s="3">
        <v>89720</v>
      </c>
      <c r="F350" s="2" t="s">
        <v>28</v>
      </c>
      <c r="G350" s="2" t="s">
        <v>23</v>
      </c>
    </row>
    <row r="351" spans="1:7">
      <c r="A351" s="2">
        <v>350</v>
      </c>
      <c r="B351" s="2" t="s">
        <v>7</v>
      </c>
      <c r="C351" s="2" t="s">
        <v>12</v>
      </c>
      <c r="D351" s="2">
        <v>29</v>
      </c>
      <c r="E351" s="3">
        <v>35543</v>
      </c>
      <c r="F351" s="2" t="s">
        <v>38</v>
      </c>
      <c r="G351" s="2" t="s">
        <v>10</v>
      </c>
    </row>
    <row r="352" spans="1:7">
      <c r="A352" s="2">
        <v>351</v>
      </c>
      <c r="B352" s="2" t="s">
        <v>57</v>
      </c>
      <c r="C352" s="2" t="s">
        <v>16</v>
      </c>
      <c r="D352" s="2">
        <v>23</v>
      </c>
      <c r="E352" s="3">
        <v>79700</v>
      </c>
      <c r="F352" s="2" t="s">
        <v>13</v>
      </c>
      <c r="G352" s="2" t="s">
        <v>29</v>
      </c>
    </row>
    <row r="353" spans="1:7">
      <c r="A353" s="2">
        <v>352</v>
      </c>
      <c r="B353" s="2" t="s">
        <v>68</v>
      </c>
      <c r="C353" s="2" t="s">
        <v>16</v>
      </c>
      <c r="D353" s="2">
        <v>47</v>
      </c>
      <c r="E353" s="3">
        <v>33293</v>
      </c>
      <c r="F353" s="2" t="s">
        <v>28</v>
      </c>
      <c r="G353" s="2" t="s">
        <v>18</v>
      </c>
    </row>
    <row r="354" spans="1:7">
      <c r="A354" s="2">
        <v>353</v>
      </c>
      <c r="B354" s="2" t="s">
        <v>15</v>
      </c>
      <c r="C354" s="2" t="s">
        <v>8</v>
      </c>
      <c r="D354" s="2">
        <v>14</v>
      </c>
      <c r="E354" s="3">
        <v>28308</v>
      </c>
      <c r="F354" s="2" t="s">
        <v>32</v>
      </c>
      <c r="G354" s="2" t="s">
        <v>14</v>
      </c>
    </row>
    <row r="355" spans="1:7">
      <c r="A355" s="2">
        <v>354</v>
      </c>
      <c r="B355" s="2" t="s">
        <v>86</v>
      </c>
      <c r="C355" s="2" t="s">
        <v>8</v>
      </c>
      <c r="D355" s="2">
        <v>41</v>
      </c>
      <c r="E355" s="3">
        <v>70713</v>
      </c>
      <c r="F355" s="2" t="s">
        <v>38</v>
      </c>
      <c r="G355" s="2" t="s">
        <v>18</v>
      </c>
    </row>
    <row r="356" spans="1:7">
      <c r="A356" s="2">
        <v>355</v>
      </c>
      <c r="B356" s="2" t="s">
        <v>63</v>
      </c>
      <c r="C356" s="2" t="s">
        <v>16</v>
      </c>
      <c r="D356" s="2">
        <v>48</v>
      </c>
      <c r="E356" s="3">
        <v>27849</v>
      </c>
      <c r="F356" s="2" t="s">
        <v>17</v>
      </c>
      <c r="G356" s="2" t="s">
        <v>23</v>
      </c>
    </row>
    <row r="357" spans="1:7">
      <c r="A357" s="2">
        <v>356</v>
      </c>
      <c r="B357" s="2" t="s">
        <v>19</v>
      </c>
      <c r="C357" s="2" t="s">
        <v>12</v>
      </c>
      <c r="D357" s="2">
        <v>10</v>
      </c>
      <c r="E357" s="3">
        <v>92560</v>
      </c>
      <c r="F357" s="2" t="s">
        <v>32</v>
      </c>
      <c r="G357" s="2" t="s">
        <v>14</v>
      </c>
    </row>
    <row r="358" spans="1:7">
      <c r="A358" s="2">
        <v>357</v>
      </c>
      <c r="B358" s="2" t="s">
        <v>53</v>
      </c>
      <c r="C358" s="2" t="s">
        <v>8</v>
      </c>
      <c r="D358" s="2">
        <v>27</v>
      </c>
      <c r="E358" s="3">
        <v>54768</v>
      </c>
      <c r="F358" s="2" t="s">
        <v>13</v>
      </c>
      <c r="G358" s="2" t="s">
        <v>14</v>
      </c>
    </row>
    <row r="359" spans="1:7">
      <c r="A359" s="2">
        <v>358</v>
      </c>
      <c r="B359" s="2" t="s">
        <v>64</v>
      </c>
      <c r="C359" s="2" t="s">
        <v>8</v>
      </c>
      <c r="D359" s="2">
        <v>40</v>
      </c>
      <c r="E359" s="3">
        <v>57222</v>
      </c>
      <c r="F359" s="2" t="s">
        <v>13</v>
      </c>
      <c r="G359" s="2" t="s">
        <v>26</v>
      </c>
    </row>
    <row r="360" spans="1:7">
      <c r="A360" s="2">
        <v>359</v>
      </c>
      <c r="B360" s="2" t="s">
        <v>49</v>
      </c>
      <c r="C360" s="2" t="s">
        <v>12</v>
      </c>
      <c r="D360" s="2">
        <v>44</v>
      </c>
      <c r="E360" s="3">
        <v>83028</v>
      </c>
      <c r="F360" s="2" t="s">
        <v>13</v>
      </c>
      <c r="G360" s="2" t="s">
        <v>23</v>
      </c>
    </row>
    <row r="361" spans="1:7">
      <c r="A361" s="2">
        <v>360</v>
      </c>
      <c r="B361" s="2" t="s">
        <v>81</v>
      </c>
      <c r="C361" s="2" t="s">
        <v>8</v>
      </c>
      <c r="D361" s="2">
        <v>29</v>
      </c>
      <c r="E361" s="3">
        <v>97904</v>
      </c>
      <c r="F361" s="2" t="s">
        <v>32</v>
      </c>
      <c r="G361" s="2" t="s">
        <v>18</v>
      </c>
    </row>
    <row r="362" spans="1:7">
      <c r="A362" s="2">
        <v>361</v>
      </c>
      <c r="B362" s="2" t="s">
        <v>43</v>
      </c>
      <c r="C362" s="2" t="s">
        <v>12</v>
      </c>
      <c r="D362" s="2">
        <v>14</v>
      </c>
      <c r="E362" s="3">
        <v>62030</v>
      </c>
      <c r="F362" s="2" t="s">
        <v>25</v>
      </c>
      <c r="G362" s="2" t="s">
        <v>14</v>
      </c>
    </row>
    <row r="363" spans="1:7">
      <c r="A363" s="2">
        <v>362</v>
      </c>
      <c r="B363" s="2" t="s">
        <v>55</v>
      </c>
      <c r="C363" s="2" t="s">
        <v>22</v>
      </c>
      <c r="D363" s="2">
        <v>6</v>
      </c>
      <c r="E363" s="3">
        <v>95683</v>
      </c>
      <c r="F363" s="2" t="s">
        <v>13</v>
      </c>
      <c r="G363" s="2" t="s">
        <v>18</v>
      </c>
    </row>
    <row r="364" spans="1:7">
      <c r="A364" s="2">
        <v>363</v>
      </c>
      <c r="B364" s="2" t="s">
        <v>11</v>
      </c>
      <c r="C364" s="2" t="s">
        <v>8</v>
      </c>
      <c r="D364" s="2">
        <v>7</v>
      </c>
      <c r="E364" s="3">
        <v>30307</v>
      </c>
      <c r="F364" s="2" t="s">
        <v>13</v>
      </c>
      <c r="G364" s="2" t="s">
        <v>14</v>
      </c>
    </row>
    <row r="365" spans="1:7">
      <c r="A365" s="2">
        <v>364</v>
      </c>
      <c r="B365" s="2" t="s">
        <v>60</v>
      </c>
      <c r="C365" s="2" t="s">
        <v>8</v>
      </c>
      <c r="D365" s="2">
        <v>9</v>
      </c>
      <c r="E365" s="3">
        <v>42150</v>
      </c>
      <c r="F365" s="2" t="s">
        <v>32</v>
      </c>
      <c r="G365" s="2" t="s">
        <v>29</v>
      </c>
    </row>
    <row r="366" spans="1:7">
      <c r="A366" s="2">
        <v>365</v>
      </c>
      <c r="B366" s="2" t="s">
        <v>82</v>
      </c>
      <c r="C366" s="2" t="s">
        <v>22</v>
      </c>
      <c r="D366" s="2">
        <v>49</v>
      </c>
      <c r="E366" s="3">
        <v>53841</v>
      </c>
      <c r="F366" s="2" t="s">
        <v>28</v>
      </c>
      <c r="G366" s="2" t="s">
        <v>10</v>
      </c>
    </row>
    <row r="367" spans="1:7">
      <c r="A367" s="2">
        <v>366</v>
      </c>
      <c r="B367" s="2" t="s">
        <v>49</v>
      </c>
      <c r="C367" s="2" t="s">
        <v>12</v>
      </c>
      <c r="D367" s="2">
        <v>8</v>
      </c>
      <c r="E367" s="3">
        <v>40082</v>
      </c>
      <c r="F367" s="2" t="s">
        <v>20</v>
      </c>
      <c r="G367" s="2" t="s">
        <v>26</v>
      </c>
    </row>
    <row r="368" spans="1:7">
      <c r="A368" s="2">
        <v>367</v>
      </c>
      <c r="B368" s="2" t="s">
        <v>76</v>
      </c>
      <c r="C368" s="2" t="s">
        <v>8</v>
      </c>
      <c r="D368" s="2">
        <v>38</v>
      </c>
      <c r="E368" s="3">
        <v>99499</v>
      </c>
      <c r="F368" s="2" t="s">
        <v>13</v>
      </c>
      <c r="G368" s="2" t="s">
        <v>23</v>
      </c>
    </row>
    <row r="369" spans="1:7">
      <c r="A369" s="2">
        <v>368</v>
      </c>
      <c r="B369" s="2" t="s">
        <v>89</v>
      </c>
      <c r="C369" s="2" t="s">
        <v>22</v>
      </c>
      <c r="D369" s="2">
        <v>47</v>
      </c>
      <c r="E369" s="3">
        <v>43961</v>
      </c>
      <c r="F369" s="2" t="s">
        <v>32</v>
      </c>
      <c r="G369" s="2" t="s">
        <v>10</v>
      </c>
    </row>
    <row r="370" spans="1:7">
      <c r="A370" s="2">
        <v>369</v>
      </c>
      <c r="B370" s="2" t="s">
        <v>77</v>
      </c>
      <c r="C370" s="2" t="s">
        <v>12</v>
      </c>
      <c r="D370" s="2">
        <v>25</v>
      </c>
      <c r="E370" s="3">
        <v>29616</v>
      </c>
      <c r="F370" s="2" t="s">
        <v>28</v>
      </c>
      <c r="G370" s="2" t="s">
        <v>26</v>
      </c>
    </row>
    <row r="371" spans="1:7">
      <c r="A371" s="2">
        <v>370</v>
      </c>
      <c r="B371" s="2" t="s">
        <v>91</v>
      </c>
      <c r="C371" s="2" t="s">
        <v>8</v>
      </c>
      <c r="D371" s="2">
        <v>23</v>
      </c>
      <c r="E371" s="3">
        <v>31204</v>
      </c>
      <c r="F371" s="2" t="s">
        <v>28</v>
      </c>
      <c r="G371" s="2" t="s">
        <v>18</v>
      </c>
    </row>
    <row r="372" spans="1:7">
      <c r="A372" s="2">
        <v>371</v>
      </c>
      <c r="B372" s="2" t="s">
        <v>62</v>
      </c>
      <c r="C372" s="2" t="s">
        <v>16</v>
      </c>
      <c r="D372" s="2">
        <v>28</v>
      </c>
      <c r="E372" s="3">
        <v>88797</v>
      </c>
      <c r="F372" s="2" t="s">
        <v>28</v>
      </c>
      <c r="G372" s="2" t="s">
        <v>26</v>
      </c>
    </row>
    <row r="373" spans="1:7">
      <c r="A373" s="2">
        <v>372</v>
      </c>
      <c r="B373" s="2" t="s">
        <v>24</v>
      </c>
      <c r="C373" s="2" t="s">
        <v>22</v>
      </c>
      <c r="D373" s="2">
        <v>21</v>
      </c>
      <c r="E373" s="3">
        <v>49863</v>
      </c>
      <c r="F373" s="2" t="s">
        <v>13</v>
      </c>
      <c r="G373" s="2" t="s">
        <v>10</v>
      </c>
    </row>
    <row r="374" spans="1:7">
      <c r="A374" s="2">
        <v>373</v>
      </c>
      <c r="B374" s="2" t="s">
        <v>43</v>
      </c>
      <c r="C374" s="2" t="s">
        <v>12</v>
      </c>
      <c r="D374" s="2">
        <v>9</v>
      </c>
      <c r="E374" s="3">
        <v>81053</v>
      </c>
      <c r="F374" s="2" t="s">
        <v>32</v>
      </c>
      <c r="G374" s="2" t="s">
        <v>10</v>
      </c>
    </row>
    <row r="375" spans="1:7">
      <c r="A375" s="2">
        <v>374</v>
      </c>
      <c r="B375" s="2" t="s">
        <v>57</v>
      </c>
      <c r="C375" s="2" t="s">
        <v>16</v>
      </c>
      <c r="D375" s="2">
        <v>16</v>
      </c>
      <c r="E375" s="3">
        <v>63867</v>
      </c>
      <c r="F375" s="2" t="s">
        <v>20</v>
      </c>
      <c r="G375" s="2" t="s">
        <v>10</v>
      </c>
    </row>
    <row r="376" spans="1:7">
      <c r="A376" s="2">
        <v>375</v>
      </c>
      <c r="B376" s="2" t="s">
        <v>47</v>
      </c>
      <c r="C376" s="2" t="s">
        <v>12</v>
      </c>
      <c r="D376" s="2">
        <v>18</v>
      </c>
      <c r="E376" s="3">
        <v>41748</v>
      </c>
      <c r="F376" s="2" t="s">
        <v>25</v>
      </c>
      <c r="G376" s="2" t="s">
        <v>10</v>
      </c>
    </row>
    <row r="377" spans="1:7">
      <c r="A377" s="2">
        <v>376</v>
      </c>
      <c r="B377" s="2" t="s">
        <v>39</v>
      </c>
      <c r="C377" s="2" t="s">
        <v>16</v>
      </c>
      <c r="D377" s="2">
        <v>42</v>
      </c>
      <c r="E377" s="3">
        <v>61565</v>
      </c>
      <c r="F377" s="2" t="s">
        <v>25</v>
      </c>
      <c r="G377" s="2" t="s">
        <v>23</v>
      </c>
    </row>
    <row r="378" spans="1:7">
      <c r="A378" s="2">
        <v>377</v>
      </c>
      <c r="B378" s="2" t="s">
        <v>35</v>
      </c>
      <c r="C378" s="2" t="s">
        <v>16</v>
      </c>
      <c r="D378" s="2">
        <v>6</v>
      </c>
      <c r="E378" s="3">
        <v>26782</v>
      </c>
      <c r="F378" s="2" t="s">
        <v>28</v>
      </c>
      <c r="G378" s="2" t="s">
        <v>29</v>
      </c>
    </row>
    <row r="379" spans="1:7">
      <c r="A379" s="2">
        <v>378</v>
      </c>
      <c r="B379" s="2" t="s">
        <v>58</v>
      </c>
      <c r="C379" s="2" t="s">
        <v>22</v>
      </c>
      <c r="D379" s="2">
        <v>16</v>
      </c>
      <c r="E379" s="3">
        <v>85307</v>
      </c>
      <c r="F379" s="2" t="s">
        <v>20</v>
      </c>
      <c r="G379" s="2" t="s">
        <v>26</v>
      </c>
    </row>
    <row r="380" spans="1:7">
      <c r="A380" s="2">
        <v>379</v>
      </c>
      <c r="B380" s="2" t="s">
        <v>60</v>
      </c>
      <c r="C380" s="2" t="s">
        <v>22</v>
      </c>
      <c r="D380" s="2">
        <v>36</v>
      </c>
      <c r="E380" s="3">
        <v>80828</v>
      </c>
      <c r="F380" s="2" t="s">
        <v>9</v>
      </c>
      <c r="G380" s="2" t="s">
        <v>29</v>
      </c>
    </row>
    <row r="381" spans="1:7">
      <c r="A381" s="2">
        <v>380</v>
      </c>
      <c r="B381" s="2" t="s">
        <v>91</v>
      </c>
      <c r="C381" s="2" t="s">
        <v>16</v>
      </c>
      <c r="D381" s="2">
        <v>39</v>
      </c>
      <c r="E381" s="3">
        <v>37443</v>
      </c>
      <c r="F381" s="2" t="s">
        <v>9</v>
      </c>
      <c r="G381" s="2" t="s">
        <v>10</v>
      </c>
    </row>
    <row r="382" spans="1:7">
      <c r="A382" s="2">
        <v>381</v>
      </c>
      <c r="B382" s="2" t="s">
        <v>39</v>
      </c>
      <c r="C382" s="2" t="s">
        <v>22</v>
      </c>
      <c r="D382" s="2">
        <v>39</v>
      </c>
      <c r="E382" s="3">
        <v>50416</v>
      </c>
      <c r="F382" s="2" t="s">
        <v>28</v>
      </c>
      <c r="G382" s="2" t="s">
        <v>29</v>
      </c>
    </row>
    <row r="383" spans="1:7">
      <c r="A383" s="2">
        <v>382</v>
      </c>
      <c r="B383" s="2" t="s">
        <v>76</v>
      </c>
      <c r="C383" s="2" t="s">
        <v>12</v>
      </c>
      <c r="D383" s="2">
        <v>47</v>
      </c>
      <c r="E383" s="3">
        <v>72515</v>
      </c>
      <c r="F383" s="2" t="s">
        <v>9</v>
      </c>
      <c r="G383" s="2" t="s">
        <v>29</v>
      </c>
    </row>
    <row r="384" spans="1:7">
      <c r="A384" s="2">
        <v>383</v>
      </c>
      <c r="B384" s="2" t="s">
        <v>77</v>
      </c>
      <c r="C384" s="2" t="s">
        <v>8</v>
      </c>
      <c r="D384" s="2">
        <v>39</v>
      </c>
      <c r="E384" s="3">
        <v>35200</v>
      </c>
      <c r="F384" s="2" t="s">
        <v>32</v>
      </c>
      <c r="G384" s="2" t="s">
        <v>23</v>
      </c>
    </row>
    <row r="385" spans="1:7">
      <c r="A385" s="2">
        <v>384</v>
      </c>
      <c r="B385" s="2" t="s">
        <v>90</v>
      </c>
      <c r="C385" s="2" t="s">
        <v>12</v>
      </c>
      <c r="D385" s="2">
        <v>19</v>
      </c>
      <c r="E385" s="3">
        <v>81837</v>
      </c>
      <c r="F385" s="2" t="s">
        <v>17</v>
      </c>
      <c r="G385" s="2" t="s">
        <v>10</v>
      </c>
    </row>
    <row r="386" spans="1:7">
      <c r="A386" s="2">
        <v>385</v>
      </c>
      <c r="B386" s="2" t="s">
        <v>39</v>
      </c>
      <c r="C386" s="2" t="s">
        <v>16</v>
      </c>
      <c r="D386" s="2">
        <v>50</v>
      </c>
      <c r="E386" s="3">
        <v>63289</v>
      </c>
      <c r="F386" s="2" t="s">
        <v>38</v>
      </c>
      <c r="G386" s="2" t="s">
        <v>18</v>
      </c>
    </row>
    <row r="387" spans="1:7">
      <c r="A387" s="2">
        <v>386</v>
      </c>
      <c r="B387" s="2" t="s">
        <v>91</v>
      </c>
      <c r="C387" s="2" t="s">
        <v>12</v>
      </c>
      <c r="D387" s="2">
        <v>45</v>
      </c>
      <c r="E387" s="3">
        <v>99044</v>
      </c>
      <c r="F387" s="2" t="s">
        <v>25</v>
      </c>
      <c r="G387" s="2" t="s">
        <v>10</v>
      </c>
    </row>
    <row r="388" spans="1:7">
      <c r="A388" s="2">
        <v>387</v>
      </c>
      <c r="B388" s="2" t="s">
        <v>47</v>
      </c>
      <c r="C388" s="2" t="s">
        <v>16</v>
      </c>
      <c r="D388" s="2">
        <v>2</v>
      </c>
      <c r="E388" s="3">
        <v>94002</v>
      </c>
      <c r="F388" s="2" t="s">
        <v>38</v>
      </c>
      <c r="G388" s="2" t="s">
        <v>29</v>
      </c>
    </row>
    <row r="389" spans="1:7">
      <c r="A389" s="2">
        <v>388</v>
      </c>
      <c r="B389" s="2" t="s">
        <v>24</v>
      </c>
      <c r="C389" s="2" t="s">
        <v>12</v>
      </c>
      <c r="D389" s="2">
        <v>43</v>
      </c>
      <c r="E389" s="3">
        <v>92482</v>
      </c>
      <c r="F389" s="2" t="s">
        <v>38</v>
      </c>
      <c r="G389" s="2" t="s">
        <v>18</v>
      </c>
    </row>
    <row r="390" spans="1:7">
      <c r="A390" s="2">
        <v>389</v>
      </c>
      <c r="B390" s="2" t="s">
        <v>85</v>
      </c>
      <c r="C390" s="2" t="s">
        <v>12</v>
      </c>
      <c r="D390" s="2">
        <v>20</v>
      </c>
      <c r="E390" s="3">
        <v>26959</v>
      </c>
      <c r="F390" s="2" t="s">
        <v>25</v>
      </c>
      <c r="G390" s="2" t="s">
        <v>26</v>
      </c>
    </row>
    <row r="391" spans="1:7">
      <c r="A391" s="2">
        <v>390</v>
      </c>
      <c r="B391" s="2" t="s">
        <v>15</v>
      </c>
      <c r="C391" s="2" t="s">
        <v>22</v>
      </c>
      <c r="D391" s="2">
        <v>14</v>
      </c>
      <c r="E391" s="3">
        <v>86081</v>
      </c>
      <c r="F391" s="2" t="s">
        <v>20</v>
      </c>
      <c r="G391" s="2" t="s">
        <v>29</v>
      </c>
    </row>
    <row r="392" spans="1:7">
      <c r="A392" s="2">
        <v>391</v>
      </c>
      <c r="B392" s="2" t="s">
        <v>53</v>
      </c>
      <c r="C392" s="2" t="s">
        <v>16</v>
      </c>
      <c r="D392" s="2">
        <v>34</v>
      </c>
      <c r="E392" s="3">
        <v>92934</v>
      </c>
      <c r="F392" s="2" t="s">
        <v>28</v>
      </c>
      <c r="G392" s="2" t="s">
        <v>29</v>
      </c>
    </row>
    <row r="393" spans="1:7">
      <c r="A393" s="2">
        <v>392</v>
      </c>
      <c r="B393" s="2" t="s">
        <v>45</v>
      </c>
      <c r="C393" s="2" t="s">
        <v>16</v>
      </c>
      <c r="D393" s="2">
        <v>39</v>
      </c>
      <c r="E393" s="3">
        <v>92845</v>
      </c>
      <c r="F393" s="2" t="s">
        <v>28</v>
      </c>
      <c r="G393" s="2" t="s">
        <v>14</v>
      </c>
    </row>
    <row r="394" spans="1:7">
      <c r="A394" s="2">
        <v>393</v>
      </c>
      <c r="B394" s="2" t="s">
        <v>77</v>
      </c>
      <c r="C394" s="2" t="s">
        <v>8</v>
      </c>
      <c r="D394" s="2">
        <v>33</v>
      </c>
      <c r="E394" s="3">
        <v>91383</v>
      </c>
      <c r="F394" s="2" t="s">
        <v>25</v>
      </c>
      <c r="G394" s="2" t="s">
        <v>14</v>
      </c>
    </row>
    <row r="395" spans="1:7">
      <c r="A395" s="2">
        <v>394</v>
      </c>
      <c r="B395" s="2" t="s">
        <v>21</v>
      </c>
      <c r="C395" s="2" t="s">
        <v>12</v>
      </c>
      <c r="D395" s="2">
        <v>13</v>
      </c>
      <c r="E395" s="3">
        <v>81592</v>
      </c>
      <c r="F395" s="2" t="s">
        <v>9</v>
      </c>
      <c r="G395" s="2" t="s">
        <v>26</v>
      </c>
    </row>
    <row r="396" spans="1:7">
      <c r="A396" s="2">
        <v>395</v>
      </c>
      <c r="B396" s="2" t="s">
        <v>37</v>
      </c>
      <c r="C396" s="2" t="s">
        <v>12</v>
      </c>
      <c r="D396" s="2">
        <v>48</v>
      </c>
      <c r="E396" s="3">
        <v>58525</v>
      </c>
      <c r="F396" s="2" t="s">
        <v>38</v>
      </c>
      <c r="G396" s="2" t="s">
        <v>14</v>
      </c>
    </row>
    <row r="397" spans="1:7">
      <c r="A397" s="2">
        <v>396</v>
      </c>
      <c r="B397" s="2" t="s">
        <v>31</v>
      </c>
      <c r="C397" s="2" t="s">
        <v>8</v>
      </c>
      <c r="D397" s="2">
        <v>26</v>
      </c>
      <c r="E397" s="3">
        <v>37903</v>
      </c>
      <c r="F397" s="2" t="s">
        <v>32</v>
      </c>
      <c r="G397" s="2" t="s">
        <v>29</v>
      </c>
    </row>
    <row r="398" spans="1:7">
      <c r="A398" s="2">
        <v>397</v>
      </c>
      <c r="B398" s="2" t="s">
        <v>77</v>
      </c>
      <c r="C398" s="2" t="s">
        <v>16</v>
      </c>
      <c r="D398" s="2">
        <v>19</v>
      </c>
      <c r="E398" s="3">
        <v>44740</v>
      </c>
      <c r="F398" s="2" t="s">
        <v>20</v>
      </c>
      <c r="G398" s="2" t="s">
        <v>26</v>
      </c>
    </row>
    <row r="399" spans="1:7">
      <c r="A399" s="2">
        <v>398</v>
      </c>
      <c r="B399" s="2" t="s">
        <v>57</v>
      </c>
      <c r="C399" s="2" t="s">
        <v>12</v>
      </c>
      <c r="D399" s="2">
        <v>42</v>
      </c>
      <c r="E399" s="3">
        <v>41499</v>
      </c>
      <c r="F399" s="2" t="s">
        <v>25</v>
      </c>
      <c r="G399" s="2" t="s">
        <v>10</v>
      </c>
    </row>
    <row r="400" spans="1:7">
      <c r="A400" s="2">
        <v>399</v>
      </c>
      <c r="B400" s="2" t="s">
        <v>74</v>
      </c>
      <c r="C400" s="2" t="s">
        <v>8</v>
      </c>
      <c r="D400" s="2">
        <v>4</v>
      </c>
      <c r="E400" s="3">
        <v>55627</v>
      </c>
      <c r="F400" s="2" t="s">
        <v>38</v>
      </c>
      <c r="G400" s="2" t="s">
        <v>26</v>
      </c>
    </row>
    <row r="401" spans="1:7">
      <c r="A401" s="2">
        <v>400</v>
      </c>
      <c r="B401" s="2" t="s">
        <v>54</v>
      </c>
      <c r="C401" s="2" t="s">
        <v>8</v>
      </c>
      <c r="D401" s="2">
        <v>16</v>
      </c>
      <c r="E401" s="3">
        <v>96569</v>
      </c>
      <c r="F401" s="2" t="s">
        <v>9</v>
      </c>
      <c r="G401" s="2" t="s">
        <v>10</v>
      </c>
    </row>
    <row r="402" spans="1:7">
      <c r="A402" s="2">
        <v>401</v>
      </c>
      <c r="B402" s="2" t="s">
        <v>83</v>
      </c>
      <c r="C402" s="2" t="s">
        <v>8</v>
      </c>
      <c r="D402" s="2">
        <v>32</v>
      </c>
      <c r="E402" s="3">
        <v>35015</v>
      </c>
      <c r="F402" s="2" t="s">
        <v>32</v>
      </c>
      <c r="G402" s="2" t="s">
        <v>29</v>
      </c>
    </row>
    <row r="403" spans="1:7">
      <c r="A403" s="2">
        <v>402</v>
      </c>
      <c r="B403" s="2" t="s">
        <v>66</v>
      </c>
      <c r="C403" s="2" t="s">
        <v>12</v>
      </c>
      <c r="D403" s="2">
        <v>25</v>
      </c>
      <c r="E403" s="3">
        <v>93880</v>
      </c>
      <c r="F403" s="2" t="s">
        <v>17</v>
      </c>
      <c r="G403" s="2" t="s">
        <v>14</v>
      </c>
    </row>
    <row r="404" spans="1:7">
      <c r="A404" s="2">
        <v>403</v>
      </c>
      <c r="B404" s="2" t="s">
        <v>83</v>
      </c>
      <c r="C404" s="2" t="s">
        <v>16</v>
      </c>
      <c r="D404" s="2">
        <v>8</v>
      </c>
      <c r="E404" s="3">
        <v>78048</v>
      </c>
      <c r="F404" s="2" t="s">
        <v>13</v>
      </c>
      <c r="G404" s="2" t="s">
        <v>29</v>
      </c>
    </row>
    <row r="405" spans="1:7">
      <c r="A405" s="2">
        <v>404</v>
      </c>
      <c r="B405" s="2" t="s">
        <v>50</v>
      </c>
      <c r="C405" s="2" t="s">
        <v>16</v>
      </c>
      <c r="D405" s="2">
        <v>16</v>
      </c>
      <c r="E405" s="3">
        <v>97254</v>
      </c>
      <c r="F405" s="2" t="s">
        <v>28</v>
      </c>
      <c r="G405" s="2" t="s">
        <v>26</v>
      </c>
    </row>
    <row r="406" spans="1:7">
      <c r="A406" s="2">
        <v>405</v>
      </c>
      <c r="B406" s="2" t="s">
        <v>47</v>
      </c>
      <c r="C406" s="2" t="s">
        <v>8</v>
      </c>
      <c r="D406" s="2">
        <v>32</v>
      </c>
      <c r="E406" s="3">
        <v>55035</v>
      </c>
      <c r="F406" s="2" t="s">
        <v>9</v>
      </c>
      <c r="G406" s="2" t="s">
        <v>10</v>
      </c>
    </row>
    <row r="407" spans="1:7">
      <c r="A407" s="2">
        <v>406</v>
      </c>
      <c r="B407" s="2" t="s">
        <v>76</v>
      </c>
      <c r="C407" s="2" t="s">
        <v>8</v>
      </c>
      <c r="D407" s="2">
        <v>41</v>
      </c>
      <c r="E407" s="3">
        <v>74886</v>
      </c>
      <c r="F407" s="2" t="s">
        <v>17</v>
      </c>
      <c r="G407" s="2" t="s">
        <v>10</v>
      </c>
    </row>
    <row r="408" spans="1:7">
      <c r="A408" s="2">
        <v>407</v>
      </c>
      <c r="B408" s="2" t="s">
        <v>91</v>
      </c>
      <c r="C408" s="2" t="s">
        <v>16</v>
      </c>
      <c r="D408" s="2">
        <v>39</v>
      </c>
      <c r="E408" s="3">
        <v>89524</v>
      </c>
      <c r="F408" s="2" t="s">
        <v>9</v>
      </c>
      <c r="G408" s="2" t="s">
        <v>26</v>
      </c>
    </row>
    <row r="409" spans="1:7">
      <c r="A409" s="2">
        <v>408</v>
      </c>
      <c r="B409" s="2" t="s">
        <v>92</v>
      </c>
      <c r="C409" s="2" t="s">
        <v>8</v>
      </c>
      <c r="D409" s="2">
        <v>5</v>
      </c>
      <c r="E409" s="3">
        <v>83231</v>
      </c>
      <c r="F409" s="2" t="s">
        <v>38</v>
      </c>
      <c r="G409" s="2" t="s">
        <v>23</v>
      </c>
    </row>
    <row r="410" spans="1:7">
      <c r="A410" s="2">
        <v>409</v>
      </c>
      <c r="B410" s="2" t="s">
        <v>79</v>
      </c>
      <c r="C410" s="2" t="s">
        <v>8</v>
      </c>
      <c r="D410" s="2">
        <v>34</v>
      </c>
      <c r="E410" s="3">
        <v>35004</v>
      </c>
      <c r="F410" s="2" t="s">
        <v>17</v>
      </c>
      <c r="G410" s="2" t="s">
        <v>10</v>
      </c>
    </row>
    <row r="411" spans="1:7">
      <c r="A411" s="2">
        <v>410</v>
      </c>
      <c r="B411" s="2" t="s">
        <v>80</v>
      </c>
      <c r="C411" s="2" t="s">
        <v>16</v>
      </c>
      <c r="D411" s="2">
        <v>1</v>
      </c>
      <c r="E411" s="3">
        <v>65911</v>
      </c>
      <c r="F411" s="2" t="s">
        <v>20</v>
      </c>
      <c r="G411" s="2" t="s">
        <v>23</v>
      </c>
    </row>
    <row r="412" spans="1:7">
      <c r="A412" s="2">
        <v>411</v>
      </c>
      <c r="B412" s="2" t="s">
        <v>86</v>
      </c>
      <c r="C412" s="2" t="s">
        <v>12</v>
      </c>
      <c r="D412" s="2">
        <v>24</v>
      </c>
      <c r="E412" s="3">
        <v>27932</v>
      </c>
      <c r="F412" s="2" t="s">
        <v>25</v>
      </c>
      <c r="G412" s="2" t="s">
        <v>29</v>
      </c>
    </row>
    <row r="413" spans="1:7">
      <c r="A413" s="2">
        <v>412</v>
      </c>
      <c r="B413" s="2" t="s">
        <v>50</v>
      </c>
      <c r="C413" s="2" t="s">
        <v>8</v>
      </c>
      <c r="D413" s="2">
        <v>21</v>
      </c>
      <c r="E413" s="3">
        <v>56435</v>
      </c>
      <c r="F413" s="2" t="s">
        <v>38</v>
      </c>
      <c r="G413" s="2" t="s">
        <v>10</v>
      </c>
    </row>
    <row r="414" spans="1:7">
      <c r="A414" s="2">
        <v>413</v>
      </c>
      <c r="B414" s="2" t="s">
        <v>65</v>
      </c>
      <c r="C414" s="2" t="s">
        <v>12</v>
      </c>
      <c r="D414" s="2">
        <v>9</v>
      </c>
      <c r="E414" s="3">
        <v>46535</v>
      </c>
      <c r="F414" s="2" t="s">
        <v>28</v>
      </c>
      <c r="G414" s="2" t="s">
        <v>23</v>
      </c>
    </row>
    <row r="415" spans="1:7">
      <c r="A415" s="2">
        <v>414</v>
      </c>
      <c r="B415" s="2" t="s">
        <v>41</v>
      </c>
      <c r="C415" s="2" t="s">
        <v>8</v>
      </c>
      <c r="D415" s="2">
        <v>25</v>
      </c>
      <c r="E415" s="3">
        <v>28513</v>
      </c>
      <c r="F415" s="2" t="s">
        <v>13</v>
      </c>
      <c r="G415" s="2" t="s">
        <v>10</v>
      </c>
    </row>
    <row r="416" spans="1:7">
      <c r="A416" s="2">
        <v>415</v>
      </c>
      <c r="B416" s="2" t="s">
        <v>11</v>
      </c>
      <c r="C416" s="2" t="s">
        <v>8</v>
      </c>
      <c r="D416" s="2">
        <v>37</v>
      </c>
      <c r="E416" s="3">
        <v>68384</v>
      </c>
      <c r="F416" s="2" t="s">
        <v>20</v>
      </c>
      <c r="G416" s="2" t="s">
        <v>23</v>
      </c>
    </row>
    <row r="417" spans="1:7">
      <c r="A417" s="2">
        <v>416</v>
      </c>
      <c r="B417" s="2" t="s">
        <v>56</v>
      </c>
      <c r="C417" s="2" t="s">
        <v>8</v>
      </c>
      <c r="D417" s="2">
        <v>27</v>
      </c>
      <c r="E417" s="3">
        <v>39640</v>
      </c>
      <c r="F417" s="2" t="s">
        <v>9</v>
      </c>
      <c r="G417" s="2" t="s">
        <v>10</v>
      </c>
    </row>
    <row r="418" spans="1:7">
      <c r="A418" s="2">
        <v>417</v>
      </c>
      <c r="B418" s="2" t="s">
        <v>21</v>
      </c>
      <c r="C418" s="2" t="s">
        <v>22</v>
      </c>
      <c r="D418" s="2">
        <v>24</v>
      </c>
      <c r="E418" s="3">
        <v>42916</v>
      </c>
      <c r="F418" s="2" t="s">
        <v>25</v>
      </c>
      <c r="G418" s="2" t="s">
        <v>10</v>
      </c>
    </row>
    <row r="419" spans="1:7">
      <c r="A419" s="2">
        <v>418</v>
      </c>
      <c r="B419" s="2" t="s">
        <v>80</v>
      </c>
      <c r="C419" s="2" t="s">
        <v>12</v>
      </c>
      <c r="D419" s="2">
        <v>35</v>
      </c>
      <c r="E419" s="3">
        <v>91893</v>
      </c>
      <c r="F419" s="2" t="s">
        <v>32</v>
      </c>
      <c r="G419" s="2" t="s">
        <v>18</v>
      </c>
    </row>
    <row r="420" spans="1:7">
      <c r="A420" s="2">
        <v>419</v>
      </c>
      <c r="B420" s="2" t="s">
        <v>78</v>
      </c>
      <c r="C420" s="2" t="s">
        <v>12</v>
      </c>
      <c r="D420" s="2">
        <v>44</v>
      </c>
      <c r="E420" s="3">
        <v>40884</v>
      </c>
      <c r="F420" s="2" t="s">
        <v>28</v>
      </c>
      <c r="G420" s="2" t="s">
        <v>29</v>
      </c>
    </row>
    <row r="421" spans="1:7">
      <c r="A421" s="2">
        <v>420</v>
      </c>
      <c r="B421" s="2" t="s">
        <v>67</v>
      </c>
      <c r="C421" s="2" t="s">
        <v>8</v>
      </c>
      <c r="D421" s="2">
        <v>12</v>
      </c>
      <c r="E421" s="3">
        <v>37323</v>
      </c>
      <c r="F421" s="2" t="s">
        <v>13</v>
      </c>
      <c r="G421" s="2" t="s">
        <v>29</v>
      </c>
    </row>
    <row r="422" spans="1:7">
      <c r="A422" s="2">
        <v>421</v>
      </c>
      <c r="B422" s="2" t="s">
        <v>44</v>
      </c>
      <c r="C422" s="2" t="s">
        <v>16</v>
      </c>
      <c r="D422" s="2">
        <v>49</v>
      </c>
      <c r="E422" s="3">
        <v>48486</v>
      </c>
      <c r="F422" s="2" t="s">
        <v>38</v>
      </c>
      <c r="G422" s="2" t="s">
        <v>10</v>
      </c>
    </row>
    <row r="423" spans="1:7">
      <c r="A423" s="2">
        <v>422</v>
      </c>
      <c r="B423" s="2" t="s">
        <v>64</v>
      </c>
      <c r="C423" s="2" t="s">
        <v>8</v>
      </c>
      <c r="D423" s="2">
        <v>31</v>
      </c>
      <c r="E423" s="3">
        <v>88846</v>
      </c>
      <c r="F423" s="2" t="s">
        <v>20</v>
      </c>
      <c r="G423" s="2" t="s">
        <v>23</v>
      </c>
    </row>
    <row r="424" spans="1:7">
      <c r="A424" s="2">
        <v>423</v>
      </c>
      <c r="B424" s="2" t="s">
        <v>19</v>
      </c>
      <c r="C424" s="2" t="s">
        <v>22</v>
      </c>
      <c r="D424" s="2">
        <v>50</v>
      </c>
      <c r="E424" s="3">
        <v>92657</v>
      </c>
      <c r="F424" s="2" t="s">
        <v>32</v>
      </c>
      <c r="G424" s="2" t="s">
        <v>14</v>
      </c>
    </row>
    <row r="425" spans="1:7">
      <c r="A425" s="2">
        <v>424</v>
      </c>
      <c r="B425" s="2" t="s">
        <v>89</v>
      </c>
      <c r="C425" s="2" t="s">
        <v>8</v>
      </c>
      <c r="D425" s="2">
        <v>5</v>
      </c>
      <c r="E425" s="3">
        <v>98105</v>
      </c>
      <c r="F425" s="2" t="s">
        <v>13</v>
      </c>
      <c r="G425" s="2" t="s">
        <v>23</v>
      </c>
    </row>
    <row r="426" spans="1:7">
      <c r="A426" s="2">
        <v>425</v>
      </c>
      <c r="B426" s="2" t="s">
        <v>21</v>
      </c>
      <c r="C426" s="2" t="s">
        <v>22</v>
      </c>
      <c r="D426" s="2">
        <v>2</v>
      </c>
      <c r="E426" s="3">
        <v>35304</v>
      </c>
      <c r="F426" s="2" t="s">
        <v>9</v>
      </c>
      <c r="G426" s="2" t="s">
        <v>10</v>
      </c>
    </row>
    <row r="427" spans="1:7">
      <c r="A427" s="2">
        <v>426</v>
      </c>
      <c r="B427" s="2" t="s">
        <v>59</v>
      </c>
      <c r="C427" s="2" t="s">
        <v>8</v>
      </c>
      <c r="D427" s="2">
        <v>38</v>
      </c>
      <c r="E427" s="3">
        <v>43780</v>
      </c>
      <c r="F427" s="2" t="s">
        <v>32</v>
      </c>
      <c r="G427" s="2" t="s">
        <v>26</v>
      </c>
    </row>
    <row r="428" spans="1:7">
      <c r="A428" s="2">
        <v>427</v>
      </c>
      <c r="B428" s="2" t="s">
        <v>67</v>
      </c>
      <c r="C428" s="2" t="s">
        <v>12</v>
      </c>
      <c r="D428" s="2">
        <v>5</v>
      </c>
      <c r="E428" s="3">
        <v>54415</v>
      </c>
      <c r="F428" s="2" t="s">
        <v>38</v>
      </c>
      <c r="G428" s="2" t="s">
        <v>29</v>
      </c>
    </row>
    <row r="429" spans="1:7">
      <c r="A429" s="2">
        <v>428</v>
      </c>
      <c r="B429" s="2" t="s">
        <v>44</v>
      </c>
      <c r="C429" s="2" t="s">
        <v>8</v>
      </c>
      <c r="D429" s="2">
        <v>1</v>
      </c>
      <c r="E429" s="3">
        <v>99323</v>
      </c>
      <c r="F429" s="2" t="s">
        <v>32</v>
      </c>
      <c r="G429" s="2" t="s">
        <v>26</v>
      </c>
    </row>
    <row r="430" spans="1:7">
      <c r="A430" s="2">
        <v>429</v>
      </c>
      <c r="B430" s="2" t="s">
        <v>60</v>
      </c>
      <c r="C430" s="2" t="s">
        <v>12</v>
      </c>
      <c r="D430" s="2">
        <v>17</v>
      </c>
      <c r="E430" s="3">
        <v>50205</v>
      </c>
      <c r="F430" s="2" t="s">
        <v>9</v>
      </c>
      <c r="G430" s="2" t="s">
        <v>23</v>
      </c>
    </row>
    <row r="431" spans="1:7">
      <c r="A431" s="2">
        <v>430</v>
      </c>
      <c r="B431" s="2" t="s">
        <v>86</v>
      </c>
      <c r="C431" s="2" t="s">
        <v>16</v>
      </c>
      <c r="D431" s="2">
        <v>14</v>
      </c>
      <c r="E431" s="3">
        <v>55673</v>
      </c>
      <c r="F431" s="2" t="s">
        <v>20</v>
      </c>
      <c r="G431" s="2" t="s">
        <v>18</v>
      </c>
    </row>
    <row r="432" spans="1:7">
      <c r="A432" s="2">
        <v>431</v>
      </c>
      <c r="B432" s="2" t="s">
        <v>92</v>
      </c>
      <c r="C432" s="2" t="s">
        <v>16</v>
      </c>
      <c r="D432" s="2">
        <v>3</v>
      </c>
      <c r="E432" s="3">
        <v>53100</v>
      </c>
      <c r="F432" s="2" t="s">
        <v>32</v>
      </c>
      <c r="G432" s="2" t="s">
        <v>10</v>
      </c>
    </row>
    <row r="433" spans="1:7">
      <c r="A433" s="2">
        <v>432</v>
      </c>
      <c r="B433" s="2" t="s">
        <v>57</v>
      </c>
      <c r="C433" s="2" t="s">
        <v>8</v>
      </c>
      <c r="D433" s="2">
        <v>4</v>
      </c>
      <c r="E433" s="3">
        <v>48399</v>
      </c>
      <c r="F433" s="2" t="s">
        <v>9</v>
      </c>
      <c r="G433" s="2" t="s">
        <v>23</v>
      </c>
    </row>
    <row r="434" spans="1:7">
      <c r="A434" s="2">
        <v>433</v>
      </c>
      <c r="B434" s="2" t="s">
        <v>74</v>
      </c>
      <c r="C434" s="2" t="s">
        <v>8</v>
      </c>
      <c r="D434" s="2">
        <v>26</v>
      </c>
      <c r="E434" s="3">
        <v>64039</v>
      </c>
      <c r="F434" s="2" t="s">
        <v>13</v>
      </c>
      <c r="G434" s="2" t="s">
        <v>23</v>
      </c>
    </row>
    <row r="435" spans="1:7">
      <c r="A435" s="2">
        <v>434</v>
      </c>
      <c r="B435" s="2" t="s">
        <v>39</v>
      </c>
      <c r="C435" s="2" t="s">
        <v>16</v>
      </c>
      <c r="D435" s="2">
        <v>33</v>
      </c>
      <c r="E435" s="3">
        <v>88348</v>
      </c>
      <c r="F435" s="2" t="s">
        <v>28</v>
      </c>
      <c r="G435" s="2" t="s">
        <v>18</v>
      </c>
    </row>
    <row r="436" spans="1:7">
      <c r="A436" s="2">
        <v>435</v>
      </c>
      <c r="B436" s="2" t="s">
        <v>53</v>
      </c>
      <c r="C436" s="2" t="s">
        <v>22</v>
      </c>
      <c r="D436" s="2">
        <v>19</v>
      </c>
      <c r="E436" s="3">
        <v>40355</v>
      </c>
      <c r="F436" s="2" t="s">
        <v>17</v>
      </c>
      <c r="G436" s="2" t="s">
        <v>14</v>
      </c>
    </row>
    <row r="437" spans="1:7">
      <c r="A437" s="2">
        <v>436</v>
      </c>
      <c r="B437" s="2" t="s">
        <v>11</v>
      </c>
      <c r="C437" s="2" t="s">
        <v>16</v>
      </c>
      <c r="D437" s="2">
        <v>41</v>
      </c>
      <c r="E437" s="3">
        <v>73243</v>
      </c>
      <c r="F437" s="2" t="s">
        <v>25</v>
      </c>
      <c r="G437" s="2" t="s">
        <v>14</v>
      </c>
    </row>
    <row r="438" spans="1:7">
      <c r="A438" s="2">
        <v>437</v>
      </c>
      <c r="B438" s="2" t="s">
        <v>60</v>
      </c>
      <c r="C438" s="2" t="s">
        <v>16</v>
      </c>
      <c r="D438" s="2">
        <v>46</v>
      </c>
      <c r="E438" s="3">
        <v>75413</v>
      </c>
      <c r="F438" s="2" t="s">
        <v>38</v>
      </c>
      <c r="G438" s="2" t="s">
        <v>23</v>
      </c>
    </row>
    <row r="439" spans="1:7">
      <c r="A439" s="2">
        <v>438</v>
      </c>
      <c r="B439" s="2" t="s">
        <v>15</v>
      </c>
      <c r="C439" s="2" t="s">
        <v>22</v>
      </c>
      <c r="D439" s="2">
        <v>33</v>
      </c>
      <c r="E439" s="3">
        <v>88713</v>
      </c>
      <c r="F439" s="2" t="s">
        <v>20</v>
      </c>
      <c r="G439" s="2" t="s">
        <v>10</v>
      </c>
    </row>
    <row r="440" spans="1:7">
      <c r="A440" s="2">
        <v>439</v>
      </c>
      <c r="B440" s="2" t="s">
        <v>68</v>
      </c>
      <c r="C440" s="2" t="s">
        <v>16</v>
      </c>
      <c r="D440" s="2">
        <v>50</v>
      </c>
      <c r="E440" s="3">
        <v>66204</v>
      </c>
      <c r="F440" s="2" t="s">
        <v>28</v>
      </c>
      <c r="G440" s="2" t="s">
        <v>26</v>
      </c>
    </row>
    <row r="441" spans="1:7">
      <c r="A441" s="2">
        <v>440</v>
      </c>
      <c r="B441" s="2" t="s">
        <v>93</v>
      </c>
      <c r="C441" s="2" t="s">
        <v>16</v>
      </c>
      <c r="D441" s="2">
        <v>27</v>
      </c>
      <c r="E441" s="3">
        <v>53711</v>
      </c>
      <c r="F441" s="2" t="s">
        <v>9</v>
      </c>
      <c r="G441" s="2" t="s">
        <v>18</v>
      </c>
    </row>
    <row r="442" spans="1:7">
      <c r="A442" s="2">
        <v>441</v>
      </c>
      <c r="B442" s="2" t="s">
        <v>49</v>
      </c>
      <c r="C442" s="2" t="s">
        <v>22</v>
      </c>
      <c r="D442" s="2">
        <v>28</v>
      </c>
      <c r="E442" s="3">
        <v>86359</v>
      </c>
      <c r="F442" s="2" t="s">
        <v>28</v>
      </c>
      <c r="G442" s="2" t="s">
        <v>14</v>
      </c>
    </row>
    <row r="443" spans="1:7">
      <c r="A443" s="2">
        <v>442</v>
      </c>
      <c r="B443" s="2" t="s">
        <v>85</v>
      </c>
      <c r="C443" s="2" t="s">
        <v>22</v>
      </c>
      <c r="D443" s="2">
        <v>45</v>
      </c>
      <c r="E443" s="3">
        <v>82906</v>
      </c>
      <c r="F443" s="2" t="s">
        <v>32</v>
      </c>
      <c r="G443" s="2" t="s">
        <v>23</v>
      </c>
    </row>
    <row r="444" spans="1:7">
      <c r="A444" s="2">
        <v>443</v>
      </c>
      <c r="B444" s="2" t="s">
        <v>51</v>
      </c>
      <c r="C444" s="2" t="s">
        <v>12</v>
      </c>
      <c r="D444" s="2">
        <v>26</v>
      </c>
      <c r="E444" s="3">
        <v>89097</v>
      </c>
      <c r="F444" s="2" t="s">
        <v>17</v>
      </c>
      <c r="G444" s="2" t="s">
        <v>10</v>
      </c>
    </row>
    <row r="445" spans="1:7">
      <c r="A445" s="2">
        <v>444</v>
      </c>
      <c r="B445" s="2" t="s">
        <v>54</v>
      </c>
      <c r="C445" s="2" t="s">
        <v>8</v>
      </c>
      <c r="D445" s="2">
        <v>6</v>
      </c>
      <c r="E445" s="3">
        <v>69155</v>
      </c>
      <c r="F445" s="2" t="s">
        <v>38</v>
      </c>
      <c r="G445" s="2" t="s">
        <v>26</v>
      </c>
    </row>
    <row r="446" spans="1:7">
      <c r="A446" s="2">
        <v>445</v>
      </c>
      <c r="B446" s="2" t="s">
        <v>34</v>
      </c>
      <c r="C446" s="2" t="s">
        <v>12</v>
      </c>
      <c r="D446" s="2">
        <v>41</v>
      </c>
      <c r="E446" s="3">
        <v>52110</v>
      </c>
      <c r="F446" s="2" t="s">
        <v>32</v>
      </c>
      <c r="G446" s="2" t="s">
        <v>14</v>
      </c>
    </row>
    <row r="447" spans="1:7">
      <c r="A447" s="2">
        <v>446</v>
      </c>
      <c r="B447" s="2" t="s">
        <v>48</v>
      </c>
      <c r="C447" s="2" t="s">
        <v>22</v>
      </c>
      <c r="D447" s="2">
        <v>35</v>
      </c>
      <c r="E447" s="3">
        <v>98600</v>
      </c>
      <c r="F447" s="2" t="s">
        <v>20</v>
      </c>
      <c r="G447" s="2" t="s">
        <v>29</v>
      </c>
    </row>
    <row r="448" spans="1:7">
      <c r="A448" s="2">
        <v>447</v>
      </c>
      <c r="B448" s="2" t="s">
        <v>52</v>
      </c>
      <c r="C448" s="2" t="s">
        <v>16</v>
      </c>
      <c r="D448" s="2">
        <v>35</v>
      </c>
      <c r="E448" s="3">
        <v>97491</v>
      </c>
      <c r="F448" s="2" t="s">
        <v>32</v>
      </c>
      <c r="G448" s="2" t="s">
        <v>26</v>
      </c>
    </row>
    <row r="449" spans="1:7">
      <c r="A449" s="2">
        <v>448</v>
      </c>
      <c r="B449" s="2" t="s">
        <v>82</v>
      </c>
      <c r="C449" s="2" t="s">
        <v>22</v>
      </c>
      <c r="D449" s="2">
        <v>40</v>
      </c>
      <c r="E449" s="3">
        <v>31273</v>
      </c>
      <c r="F449" s="2" t="s">
        <v>13</v>
      </c>
      <c r="G449" s="2" t="s">
        <v>26</v>
      </c>
    </row>
    <row r="450" spans="1:7">
      <c r="A450" s="2">
        <v>449</v>
      </c>
      <c r="B450" s="2" t="s">
        <v>71</v>
      </c>
      <c r="C450" s="2" t="s">
        <v>16</v>
      </c>
      <c r="D450" s="2">
        <v>10</v>
      </c>
      <c r="E450" s="3">
        <v>85460</v>
      </c>
      <c r="F450" s="2" t="s">
        <v>17</v>
      </c>
      <c r="G450" s="2" t="s">
        <v>23</v>
      </c>
    </row>
    <row r="451" spans="1:7">
      <c r="A451" s="2">
        <v>450</v>
      </c>
      <c r="B451" s="2" t="s">
        <v>81</v>
      </c>
      <c r="C451" s="2" t="s">
        <v>12</v>
      </c>
      <c r="D451" s="2">
        <v>18</v>
      </c>
      <c r="E451" s="3">
        <v>73333</v>
      </c>
      <c r="F451" s="2" t="s">
        <v>38</v>
      </c>
      <c r="G451" s="2" t="s">
        <v>18</v>
      </c>
    </row>
    <row r="452" spans="1:7">
      <c r="A452" s="2">
        <v>451</v>
      </c>
      <c r="B452" s="2" t="s">
        <v>51</v>
      </c>
      <c r="C452" s="2" t="s">
        <v>12</v>
      </c>
      <c r="D452" s="2">
        <v>6</v>
      </c>
      <c r="E452" s="3">
        <v>63561</v>
      </c>
      <c r="F452" s="2" t="s">
        <v>25</v>
      </c>
      <c r="G452" s="2" t="s">
        <v>10</v>
      </c>
    </row>
    <row r="453" spans="1:7">
      <c r="A453" s="2">
        <v>452</v>
      </c>
      <c r="B453" s="2" t="s">
        <v>82</v>
      </c>
      <c r="C453" s="2" t="s">
        <v>12</v>
      </c>
      <c r="D453" s="2">
        <v>20</v>
      </c>
      <c r="E453" s="3">
        <v>33829</v>
      </c>
      <c r="F453" s="2" t="s">
        <v>28</v>
      </c>
      <c r="G453" s="2" t="s">
        <v>23</v>
      </c>
    </row>
    <row r="454" spans="1:7">
      <c r="A454" s="2">
        <v>453</v>
      </c>
      <c r="B454" s="2" t="s">
        <v>63</v>
      </c>
      <c r="C454" s="2" t="s">
        <v>16</v>
      </c>
      <c r="D454" s="2">
        <v>6</v>
      </c>
      <c r="E454" s="3">
        <v>70949</v>
      </c>
      <c r="F454" s="2" t="s">
        <v>20</v>
      </c>
      <c r="G454" s="2" t="s">
        <v>14</v>
      </c>
    </row>
    <row r="455" spans="1:7">
      <c r="A455" s="2">
        <v>454</v>
      </c>
      <c r="B455" s="2" t="s">
        <v>37</v>
      </c>
      <c r="C455" s="2" t="s">
        <v>8</v>
      </c>
      <c r="D455" s="2">
        <v>33</v>
      </c>
      <c r="E455" s="3">
        <v>78485</v>
      </c>
      <c r="F455" s="2" t="s">
        <v>13</v>
      </c>
      <c r="G455" s="2" t="s">
        <v>23</v>
      </c>
    </row>
    <row r="456" spans="1:7">
      <c r="A456" s="2">
        <v>455</v>
      </c>
      <c r="B456" s="2" t="s">
        <v>70</v>
      </c>
      <c r="C456" s="2" t="s">
        <v>8</v>
      </c>
      <c r="D456" s="2">
        <v>14</v>
      </c>
      <c r="E456" s="3">
        <v>97650</v>
      </c>
      <c r="F456" s="2" t="s">
        <v>32</v>
      </c>
      <c r="G456" s="2" t="s">
        <v>23</v>
      </c>
    </row>
    <row r="457" spans="1:7">
      <c r="A457" s="2">
        <v>456</v>
      </c>
      <c r="B457" s="2" t="s">
        <v>45</v>
      </c>
      <c r="C457" s="2" t="s">
        <v>8</v>
      </c>
      <c r="D457" s="2">
        <v>10</v>
      </c>
      <c r="E457" s="3">
        <v>50720</v>
      </c>
      <c r="F457" s="2" t="s">
        <v>38</v>
      </c>
      <c r="G457" s="2" t="s">
        <v>14</v>
      </c>
    </row>
    <row r="458" spans="1:7">
      <c r="A458" s="2">
        <v>457</v>
      </c>
      <c r="B458" s="2" t="s">
        <v>82</v>
      </c>
      <c r="C458" s="2" t="s">
        <v>22</v>
      </c>
      <c r="D458" s="2">
        <v>35</v>
      </c>
      <c r="E458" s="3">
        <v>95569</v>
      </c>
      <c r="F458" s="2" t="s">
        <v>38</v>
      </c>
      <c r="G458" s="2" t="s">
        <v>29</v>
      </c>
    </row>
    <row r="459" spans="1:7">
      <c r="A459" s="2">
        <v>458</v>
      </c>
      <c r="B459" s="2" t="s">
        <v>45</v>
      </c>
      <c r="C459" s="2" t="s">
        <v>22</v>
      </c>
      <c r="D459" s="2">
        <v>21</v>
      </c>
      <c r="E459" s="3">
        <v>84529</v>
      </c>
      <c r="F459" s="2" t="s">
        <v>9</v>
      </c>
      <c r="G459" s="2" t="s">
        <v>10</v>
      </c>
    </row>
    <row r="460" spans="1:7">
      <c r="A460" s="2">
        <v>459</v>
      </c>
      <c r="B460" s="2" t="s">
        <v>61</v>
      </c>
      <c r="C460" s="2" t="s">
        <v>16</v>
      </c>
      <c r="D460" s="2">
        <v>26</v>
      </c>
      <c r="E460" s="3">
        <v>78201</v>
      </c>
      <c r="F460" s="2" t="s">
        <v>25</v>
      </c>
      <c r="G460" s="2" t="s">
        <v>26</v>
      </c>
    </row>
    <row r="461" spans="1:7">
      <c r="A461" s="2">
        <v>460</v>
      </c>
      <c r="B461" s="2" t="s">
        <v>75</v>
      </c>
      <c r="C461" s="2" t="s">
        <v>22</v>
      </c>
      <c r="D461" s="2">
        <v>38</v>
      </c>
      <c r="E461" s="3">
        <v>50819</v>
      </c>
      <c r="F461" s="2" t="s">
        <v>17</v>
      </c>
      <c r="G461" s="2" t="s">
        <v>26</v>
      </c>
    </row>
    <row r="462" spans="1:7">
      <c r="A462" s="2">
        <v>461</v>
      </c>
      <c r="B462" s="2" t="s">
        <v>42</v>
      </c>
      <c r="C462" s="2" t="s">
        <v>16</v>
      </c>
      <c r="D462" s="2">
        <v>41</v>
      </c>
      <c r="E462" s="3">
        <v>93297</v>
      </c>
      <c r="F462" s="2" t="s">
        <v>20</v>
      </c>
      <c r="G462" s="2" t="s">
        <v>26</v>
      </c>
    </row>
    <row r="463" spans="1:7">
      <c r="A463" s="2">
        <v>462</v>
      </c>
      <c r="B463" s="2" t="s">
        <v>92</v>
      </c>
      <c r="C463" s="2" t="s">
        <v>12</v>
      </c>
      <c r="D463" s="2">
        <v>49</v>
      </c>
      <c r="E463" s="3">
        <v>96216</v>
      </c>
      <c r="F463" s="2" t="s">
        <v>32</v>
      </c>
      <c r="G463" s="2" t="s">
        <v>26</v>
      </c>
    </row>
    <row r="464" spans="1:7">
      <c r="A464" s="2">
        <v>463</v>
      </c>
      <c r="B464" s="2" t="s">
        <v>59</v>
      </c>
      <c r="C464" s="2" t="s">
        <v>16</v>
      </c>
      <c r="D464" s="2">
        <v>42</v>
      </c>
      <c r="E464" s="3">
        <v>64077</v>
      </c>
      <c r="F464" s="2" t="s">
        <v>25</v>
      </c>
      <c r="G464" s="2" t="s">
        <v>14</v>
      </c>
    </row>
    <row r="465" spans="1:7">
      <c r="A465" s="2">
        <v>464</v>
      </c>
      <c r="B465" s="2" t="s">
        <v>27</v>
      </c>
      <c r="C465" s="2" t="s">
        <v>22</v>
      </c>
      <c r="D465" s="2">
        <v>44</v>
      </c>
      <c r="E465" s="3">
        <v>45167</v>
      </c>
      <c r="F465" s="2" t="s">
        <v>9</v>
      </c>
      <c r="G465" s="2" t="s">
        <v>26</v>
      </c>
    </row>
    <row r="466" spans="1:7">
      <c r="A466" s="2">
        <v>465</v>
      </c>
      <c r="B466" s="2" t="s">
        <v>69</v>
      </c>
      <c r="C466" s="2" t="s">
        <v>12</v>
      </c>
      <c r="D466" s="2">
        <v>42</v>
      </c>
      <c r="E466" s="3">
        <v>72003</v>
      </c>
      <c r="F466" s="2" t="s">
        <v>20</v>
      </c>
      <c r="G466" s="2" t="s">
        <v>26</v>
      </c>
    </row>
    <row r="467" spans="1:7">
      <c r="A467" s="2">
        <v>466</v>
      </c>
      <c r="B467" s="2" t="s">
        <v>71</v>
      </c>
      <c r="C467" s="2" t="s">
        <v>12</v>
      </c>
      <c r="D467" s="2">
        <v>5</v>
      </c>
      <c r="E467" s="3">
        <v>67099</v>
      </c>
      <c r="F467" s="2" t="s">
        <v>17</v>
      </c>
      <c r="G467" s="2" t="s">
        <v>23</v>
      </c>
    </row>
    <row r="468" spans="1:7">
      <c r="A468" s="2">
        <v>467</v>
      </c>
      <c r="B468" s="2" t="s">
        <v>92</v>
      </c>
      <c r="C468" s="2" t="s">
        <v>16</v>
      </c>
      <c r="D468" s="2">
        <v>20</v>
      </c>
      <c r="E468" s="3">
        <v>93154</v>
      </c>
      <c r="F468" s="2" t="s">
        <v>38</v>
      </c>
      <c r="G468" s="2" t="s">
        <v>23</v>
      </c>
    </row>
    <row r="469" spans="1:7">
      <c r="A469" s="2">
        <v>468</v>
      </c>
      <c r="B469" s="2" t="s">
        <v>60</v>
      </c>
      <c r="C469" s="2" t="s">
        <v>8</v>
      </c>
      <c r="D469" s="2">
        <v>45</v>
      </c>
      <c r="E469" s="3">
        <v>46737</v>
      </c>
      <c r="F469" s="2" t="s">
        <v>38</v>
      </c>
      <c r="G469" s="2" t="s">
        <v>18</v>
      </c>
    </row>
    <row r="470" spans="1:7">
      <c r="A470" s="2">
        <v>469</v>
      </c>
      <c r="B470" s="2" t="s">
        <v>15</v>
      </c>
      <c r="C470" s="2" t="s">
        <v>22</v>
      </c>
      <c r="D470" s="2">
        <v>28</v>
      </c>
      <c r="E470" s="3">
        <v>72184</v>
      </c>
      <c r="F470" s="2" t="s">
        <v>17</v>
      </c>
      <c r="G470" s="2" t="s">
        <v>23</v>
      </c>
    </row>
    <row r="471" spans="1:7">
      <c r="A471" s="2">
        <v>470</v>
      </c>
      <c r="B471" s="2" t="s">
        <v>30</v>
      </c>
      <c r="C471" s="2" t="s">
        <v>22</v>
      </c>
      <c r="D471" s="2">
        <v>47</v>
      </c>
      <c r="E471" s="3">
        <v>58552</v>
      </c>
      <c r="F471" s="2" t="s">
        <v>25</v>
      </c>
      <c r="G471" s="2" t="s">
        <v>14</v>
      </c>
    </row>
    <row r="472" spans="1:7">
      <c r="A472" s="2">
        <v>471</v>
      </c>
      <c r="B472" s="2" t="s">
        <v>70</v>
      </c>
      <c r="C472" s="2" t="s">
        <v>8</v>
      </c>
      <c r="D472" s="2">
        <v>16</v>
      </c>
      <c r="E472" s="3">
        <v>81553</v>
      </c>
      <c r="F472" s="2" t="s">
        <v>20</v>
      </c>
      <c r="G472" s="2" t="s">
        <v>18</v>
      </c>
    </row>
    <row r="473" spans="1:7">
      <c r="A473" s="2">
        <v>472</v>
      </c>
      <c r="B473" s="2" t="s">
        <v>59</v>
      </c>
      <c r="C473" s="2" t="s">
        <v>22</v>
      </c>
      <c r="D473" s="2">
        <v>4</v>
      </c>
      <c r="E473" s="3">
        <v>42440</v>
      </c>
      <c r="F473" s="2" t="s">
        <v>25</v>
      </c>
      <c r="G473" s="2" t="s">
        <v>23</v>
      </c>
    </row>
    <row r="474" spans="1:7">
      <c r="A474" s="2">
        <v>473</v>
      </c>
      <c r="B474" s="2" t="s">
        <v>48</v>
      </c>
      <c r="C474" s="2" t="s">
        <v>8</v>
      </c>
      <c r="D474" s="2">
        <v>16</v>
      </c>
      <c r="E474" s="3">
        <v>97209</v>
      </c>
      <c r="F474" s="2" t="s">
        <v>9</v>
      </c>
      <c r="G474" s="2" t="s">
        <v>14</v>
      </c>
    </row>
    <row r="475" spans="1:7">
      <c r="A475" s="2">
        <v>474</v>
      </c>
      <c r="B475" s="2" t="s">
        <v>82</v>
      </c>
      <c r="C475" s="2" t="s">
        <v>8</v>
      </c>
      <c r="D475" s="2">
        <v>6</v>
      </c>
      <c r="E475" s="3">
        <v>69936</v>
      </c>
      <c r="F475" s="2" t="s">
        <v>32</v>
      </c>
      <c r="G475" s="2" t="s">
        <v>10</v>
      </c>
    </row>
    <row r="476" spans="1:7">
      <c r="A476" s="2">
        <v>475</v>
      </c>
      <c r="B476" s="2" t="s">
        <v>62</v>
      </c>
      <c r="C476" s="2" t="s">
        <v>12</v>
      </c>
      <c r="D476" s="2">
        <v>28</v>
      </c>
      <c r="E476" s="3">
        <v>63744</v>
      </c>
      <c r="F476" s="2" t="s">
        <v>17</v>
      </c>
      <c r="G476" s="2" t="s">
        <v>10</v>
      </c>
    </row>
    <row r="477" spans="1:7">
      <c r="A477" s="2">
        <v>476</v>
      </c>
      <c r="B477" s="2" t="s">
        <v>81</v>
      </c>
      <c r="C477" s="2" t="s">
        <v>12</v>
      </c>
      <c r="D477" s="2">
        <v>8</v>
      </c>
      <c r="E477" s="3">
        <v>62880</v>
      </c>
      <c r="F477" s="2" t="s">
        <v>17</v>
      </c>
      <c r="G477" s="2" t="s">
        <v>23</v>
      </c>
    </row>
    <row r="478" spans="1:7">
      <c r="A478" s="2">
        <v>477</v>
      </c>
      <c r="B478" s="2" t="s">
        <v>83</v>
      </c>
      <c r="C478" s="2" t="s">
        <v>16</v>
      </c>
      <c r="D478" s="2">
        <v>30</v>
      </c>
      <c r="E478" s="3">
        <v>83128</v>
      </c>
      <c r="F478" s="2" t="s">
        <v>9</v>
      </c>
      <c r="G478" s="2" t="s">
        <v>10</v>
      </c>
    </row>
    <row r="479" spans="1:7">
      <c r="A479" s="2">
        <v>478</v>
      </c>
      <c r="B479" s="2" t="s">
        <v>19</v>
      </c>
      <c r="C479" s="2" t="s">
        <v>12</v>
      </c>
      <c r="D479" s="2">
        <v>40</v>
      </c>
      <c r="E479" s="3">
        <v>54214</v>
      </c>
      <c r="F479" s="2" t="s">
        <v>32</v>
      </c>
      <c r="G479" s="2" t="s">
        <v>23</v>
      </c>
    </row>
    <row r="480" spans="1:7">
      <c r="A480" s="2">
        <v>479</v>
      </c>
      <c r="B480" s="2" t="s">
        <v>74</v>
      </c>
      <c r="C480" s="2" t="s">
        <v>8</v>
      </c>
      <c r="D480" s="2">
        <v>39</v>
      </c>
      <c r="E480" s="3">
        <v>57872</v>
      </c>
      <c r="F480" s="2" t="s">
        <v>38</v>
      </c>
      <c r="G480" s="2" t="s">
        <v>26</v>
      </c>
    </row>
    <row r="481" spans="1:7">
      <c r="A481" s="2">
        <v>480</v>
      </c>
      <c r="B481" s="2" t="s">
        <v>74</v>
      </c>
      <c r="C481" s="2" t="s">
        <v>16</v>
      </c>
      <c r="D481" s="2">
        <v>4</v>
      </c>
      <c r="E481" s="3">
        <v>87755</v>
      </c>
      <c r="F481" s="2" t="s">
        <v>13</v>
      </c>
      <c r="G481" s="2" t="s">
        <v>18</v>
      </c>
    </row>
    <row r="482" spans="1:7">
      <c r="A482" s="2">
        <v>481</v>
      </c>
      <c r="B482" s="2" t="s">
        <v>46</v>
      </c>
      <c r="C482" s="2" t="s">
        <v>22</v>
      </c>
      <c r="D482" s="2">
        <v>20</v>
      </c>
      <c r="E482" s="3">
        <v>35824</v>
      </c>
      <c r="F482" s="2" t="s">
        <v>17</v>
      </c>
      <c r="G482" s="2" t="s">
        <v>10</v>
      </c>
    </row>
    <row r="483" spans="1:7">
      <c r="A483" s="2">
        <v>482</v>
      </c>
      <c r="B483" s="2" t="s">
        <v>40</v>
      </c>
      <c r="C483" s="2" t="s">
        <v>8</v>
      </c>
      <c r="D483" s="2">
        <v>43</v>
      </c>
      <c r="E483" s="3">
        <v>37135</v>
      </c>
      <c r="F483" s="2" t="s">
        <v>25</v>
      </c>
      <c r="G483" s="2" t="s">
        <v>18</v>
      </c>
    </row>
    <row r="484" spans="1:7">
      <c r="A484" s="2">
        <v>483</v>
      </c>
      <c r="B484" s="2" t="s">
        <v>93</v>
      </c>
      <c r="C484" s="2" t="s">
        <v>16</v>
      </c>
      <c r="D484" s="2">
        <v>48</v>
      </c>
      <c r="E484" s="3">
        <v>49670</v>
      </c>
      <c r="F484" s="2" t="s">
        <v>28</v>
      </c>
      <c r="G484" s="2" t="s">
        <v>18</v>
      </c>
    </row>
    <row r="485" spans="1:7">
      <c r="A485" s="2">
        <v>484</v>
      </c>
      <c r="B485" s="2" t="s">
        <v>62</v>
      </c>
      <c r="C485" s="2" t="s">
        <v>12</v>
      </c>
      <c r="D485" s="2">
        <v>43</v>
      </c>
      <c r="E485" s="3">
        <v>38249</v>
      </c>
      <c r="F485" s="2" t="s">
        <v>38</v>
      </c>
      <c r="G485" s="2" t="s">
        <v>18</v>
      </c>
    </row>
    <row r="486" spans="1:7">
      <c r="A486" s="2">
        <v>485</v>
      </c>
      <c r="B486" s="2" t="s">
        <v>41</v>
      </c>
      <c r="C486" s="2" t="s">
        <v>8</v>
      </c>
      <c r="D486" s="2">
        <v>48</v>
      </c>
      <c r="E486" s="3">
        <v>59413</v>
      </c>
      <c r="F486" s="2" t="s">
        <v>9</v>
      </c>
      <c r="G486" s="2" t="s">
        <v>29</v>
      </c>
    </row>
    <row r="487" spans="1:7">
      <c r="A487" s="2">
        <v>486</v>
      </c>
      <c r="B487" s="2" t="s">
        <v>30</v>
      </c>
      <c r="C487" s="2" t="s">
        <v>16</v>
      </c>
      <c r="D487" s="2">
        <v>12</v>
      </c>
      <c r="E487" s="3">
        <v>39730</v>
      </c>
      <c r="F487" s="2" t="s">
        <v>9</v>
      </c>
      <c r="G487" s="2" t="s">
        <v>14</v>
      </c>
    </row>
    <row r="488" spans="1:7">
      <c r="A488" s="2">
        <v>487</v>
      </c>
      <c r="B488" s="2" t="s">
        <v>36</v>
      </c>
      <c r="C488" s="2" t="s">
        <v>22</v>
      </c>
      <c r="D488" s="2">
        <v>8</v>
      </c>
      <c r="E488" s="3">
        <v>67023</v>
      </c>
      <c r="F488" s="2" t="s">
        <v>28</v>
      </c>
      <c r="G488" s="2" t="s">
        <v>26</v>
      </c>
    </row>
    <row r="489" spans="1:7">
      <c r="A489" s="2">
        <v>488</v>
      </c>
      <c r="B489" s="2" t="s">
        <v>86</v>
      </c>
      <c r="C489" s="2" t="s">
        <v>8</v>
      </c>
      <c r="D489" s="2">
        <v>1</v>
      </c>
      <c r="E489" s="3">
        <v>58118</v>
      </c>
      <c r="F489" s="2" t="s">
        <v>9</v>
      </c>
      <c r="G489" s="2" t="s">
        <v>23</v>
      </c>
    </row>
    <row r="490" spans="1:7">
      <c r="A490" s="2">
        <v>489</v>
      </c>
      <c r="B490" s="2" t="s">
        <v>44</v>
      </c>
      <c r="C490" s="2" t="s">
        <v>8</v>
      </c>
      <c r="D490" s="2">
        <v>46</v>
      </c>
      <c r="E490" s="3">
        <v>49307</v>
      </c>
      <c r="F490" s="2" t="s">
        <v>32</v>
      </c>
      <c r="G490" s="2" t="s">
        <v>26</v>
      </c>
    </row>
    <row r="491" spans="1:7">
      <c r="A491" s="2">
        <v>490</v>
      </c>
      <c r="B491" s="2" t="s">
        <v>37</v>
      </c>
      <c r="C491" s="2" t="s">
        <v>16</v>
      </c>
      <c r="D491" s="2">
        <v>9</v>
      </c>
      <c r="E491" s="3">
        <v>41183</v>
      </c>
      <c r="F491" s="2" t="s">
        <v>25</v>
      </c>
      <c r="G491" s="2" t="s">
        <v>18</v>
      </c>
    </row>
    <row r="492" spans="1:7">
      <c r="A492" s="2">
        <v>491</v>
      </c>
      <c r="B492" s="2" t="s">
        <v>47</v>
      </c>
      <c r="C492" s="2" t="s">
        <v>16</v>
      </c>
      <c r="D492" s="2">
        <v>45</v>
      </c>
      <c r="E492" s="3">
        <v>95807</v>
      </c>
      <c r="F492" s="2" t="s">
        <v>17</v>
      </c>
      <c r="G492" s="2" t="s">
        <v>26</v>
      </c>
    </row>
    <row r="493" spans="1:7">
      <c r="A493" s="2">
        <v>492</v>
      </c>
      <c r="B493" s="2" t="s">
        <v>71</v>
      </c>
      <c r="C493" s="2" t="s">
        <v>12</v>
      </c>
      <c r="D493" s="2">
        <v>1</v>
      </c>
      <c r="E493" s="3">
        <v>61615</v>
      </c>
      <c r="F493" s="2" t="s">
        <v>17</v>
      </c>
      <c r="G493" s="2" t="s">
        <v>23</v>
      </c>
    </row>
    <row r="494" spans="1:7">
      <c r="A494" s="2">
        <v>493</v>
      </c>
      <c r="B494" s="2" t="s">
        <v>71</v>
      </c>
      <c r="C494" s="2" t="s">
        <v>12</v>
      </c>
      <c r="D494" s="2">
        <v>11</v>
      </c>
      <c r="E494" s="3">
        <v>66950</v>
      </c>
      <c r="F494" s="2" t="s">
        <v>9</v>
      </c>
      <c r="G494" s="2" t="s">
        <v>18</v>
      </c>
    </row>
    <row r="495" spans="1:7">
      <c r="A495" s="2">
        <v>494</v>
      </c>
      <c r="B495" s="2" t="s">
        <v>48</v>
      </c>
      <c r="C495" s="2" t="s">
        <v>8</v>
      </c>
      <c r="D495" s="2">
        <v>32</v>
      </c>
      <c r="E495" s="3">
        <v>35248</v>
      </c>
      <c r="F495" s="2" t="s">
        <v>28</v>
      </c>
      <c r="G495" s="2" t="s">
        <v>14</v>
      </c>
    </row>
    <row r="496" spans="1:7">
      <c r="A496" s="2">
        <v>495</v>
      </c>
      <c r="B496" s="2" t="s">
        <v>78</v>
      </c>
      <c r="C496" s="2" t="s">
        <v>22</v>
      </c>
      <c r="D496" s="2">
        <v>23</v>
      </c>
      <c r="E496" s="3">
        <v>69732</v>
      </c>
      <c r="F496" s="2" t="s">
        <v>25</v>
      </c>
      <c r="G496" s="2" t="s">
        <v>26</v>
      </c>
    </row>
    <row r="497" spans="1:7">
      <c r="A497" s="2">
        <v>496</v>
      </c>
      <c r="B497" s="2" t="s">
        <v>94</v>
      </c>
      <c r="C497" s="2" t="s">
        <v>12</v>
      </c>
      <c r="D497" s="2">
        <v>34</v>
      </c>
      <c r="E497" s="3">
        <v>83703</v>
      </c>
      <c r="F497" s="2" t="s">
        <v>20</v>
      </c>
      <c r="G497" s="2" t="s">
        <v>10</v>
      </c>
    </row>
    <row r="498" spans="1:7">
      <c r="A498" s="2">
        <v>497</v>
      </c>
      <c r="B498" s="2" t="s">
        <v>84</v>
      </c>
      <c r="C498" s="2" t="s">
        <v>22</v>
      </c>
      <c r="D498" s="2">
        <v>34</v>
      </c>
      <c r="E498" s="3">
        <v>68735</v>
      </c>
      <c r="F498" s="2" t="s">
        <v>25</v>
      </c>
      <c r="G498" s="2" t="s">
        <v>23</v>
      </c>
    </row>
    <row r="499" spans="1:7">
      <c r="A499" s="2">
        <v>498</v>
      </c>
      <c r="B499" s="2" t="s">
        <v>64</v>
      </c>
      <c r="C499" s="2" t="s">
        <v>16</v>
      </c>
      <c r="D499" s="2">
        <v>47</v>
      </c>
      <c r="E499" s="3">
        <v>52918</v>
      </c>
      <c r="F499" s="2" t="s">
        <v>9</v>
      </c>
      <c r="G499" s="2" t="s">
        <v>29</v>
      </c>
    </row>
    <row r="500" spans="1:7">
      <c r="A500" s="2">
        <v>499</v>
      </c>
      <c r="B500" s="2" t="s">
        <v>61</v>
      </c>
      <c r="C500" s="2" t="s">
        <v>16</v>
      </c>
      <c r="D500" s="2">
        <v>17</v>
      </c>
      <c r="E500" s="3">
        <v>90219</v>
      </c>
      <c r="F500" s="2" t="s">
        <v>28</v>
      </c>
      <c r="G500" s="2" t="s">
        <v>23</v>
      </c>
    </row>
    <row r="501" spans="1:7">
      <c r="A501" s="2">
        <v>500</v>
      </c>
      <c r="B501" s="2" t="s">
        <v>78</v>
      </c>
      <c r="C501" s="2" t="s">
        <v>12</v>
      </c>
      <c r="D501" s="2">
        <v>11</v>
      </c>
      <c r="E501" s="3">
        <v>84408</v>
      </c>
      <c r="F501" s="2" t="s">
        <v>28</v>
      </c>
      <c r="G501" s="2" t="s">
        <v>14</v>
      </c>
    </row>
    <row r="502" spans="1:7">
      <c r="A502" s="2">
        <v>501</v>
      </c>
      <c r="B502" s="2" t="s">
        <v>50</v>
      </c>
      <c r="C502" s="2" t="s">
        <v>8</v>
      </c>
      <c r="D502" s="2">
        <v>24</v>
      </c>
      <c r="E502" s="3">
        <v>45425</v>
      </c>
      <c r="F502" s="2" t="s">
        <v>17</v>
      </c>
      <c r="G502" s="2" t="s">
        <v>26</v>
      </c>
    </row>
    <row r="503" spans="1:7">
      <c r="A503" s="2">
        <v>502</v>
      </c>
      <c r="B503" s="2" t="s">
        <v>7</v>
      </c>
      <c r="C503" s="2" t="s">
        <v>16</v>
      </c>
      <c r="D503" s="2">
        <v>9</v>
      </c>
      <c r="E503" s="3">
        <v>49359</v>
      </c>
      <c r="F503" s="2" t="s">
        <v>9</v>
      </c>
      <c r="G503" s="2" t="s">
        <v>18</v>
      </c>
    </row>
    <row r="504" spans="1:7">
      <c r="A504" s="2">
        <v>503</v>
      </c>
      <c r="B504" s="2" t="s">
        <v>86</v>
      </c>
      <c r="C504" s="2" t="s">
        <v>22</v>
      </c>
      <c r="D504" s="2">
        <v>48</v>
      </c>
      <c r="E504" s="3">
        <v>77253</v>
      </c>
      <c r="F504" s="2" t="s">
        <v>38</v>
      </c>
      <c r="G504" s="2" t="s">
        <v>26</v>
      </c>
    </row>
    <row r="505" spans="1:7">
      <c r="A505" s="2">
        <v>504</v>
      </c>
      <c r="B505" s="2" t="s">
        <v>81</v>
      </c>
      <c r="C505" s="2" t="s">
        <v>8</v>
      </c>
      <c r="D505" s="2">
        <v>50</v>
      </c>
      <c r="E505" s="3">
        <v>85693</v>
      </c>
      <c r="F505" s="2" t="s">
        <v>13</v>
      </c>
      <c r="G505" s="2" t="s">
        <v>23</v>
      </c>
    </row>
    <row r="506" spans="1:7">
      <c r="A506" s="2">
        <v>505</v>
      </c>
      <c r="B506" s="2" t="s">
        <v>71</v>
      </c>
      <c r="C506" s="2" t="s">
        <v>12</v>
      </c>
      <c r="D506" s="2">
        <v>18</v>
      </c>
      <c r="E506" s="3">
        <v>65093</v>
      </c>
      <c r="F506" s="2" t="s">
        <v>25</v>
      </c>
      <c r="G506" s="2" t="s">
        <v>14</v>
      </c>
    </row>
    <row r="507" spans="1:7">
      <c r="A507" s="2">
        <v>506</v>
      </c>
      <c r="B507" s="2" t="s">
        <v>67</v>
      </c>
      <c r="C507" s="2" t="s">
        <v>16</v>
      </c>
      <c r="D507" s="2">
        <v>47</v>
      </c>
      <c r="E507" s="3">
        <v>91759</v>
      </c>
      <c r="F507" s="2" t="s">
        <v>38</v>
      </c>
      <c r="G507" s="2" t="s">
        <v>18</v>
      </c>
    </row>
    <row r="508" spans="1:7">
      <c r="A508" s="2">
        <v>507</v>
      </c>
      <c r="B508" s="2" t="s">
        <v>65</v>
      </c>
      <c r="C508" s="2" t="s">
        <v>12</v>
      </c>
      <c r="D508" s="2">
        <v>8</v>
      </c>
      <c r="E508" s="3">
        <v>56812</v>
      </c>
      <c r="F508" s="2" t="s">
        <v>17</v>
      </c>
      <c r="G508" s="2" t="s">
        <v>10</v>
      </c>
    </row>
    <row r="509" spans="1:7">
      <c r="A509" s="2">
        <v>508</v>
      </c>
      <c r="B509" s="2" t="s">
        <v>19</v>
      </c>
      <c r="C509" s="2" t="s">
        <v>8</v>
      </c>
      <c r="D509" s="2">
        <v>50</v>
      </c>
      <c r="E509" s="3">
        <v>77603</v>
      </c>
      <c r="F509" s="2" t="s">
        <v>32</v>
      </c>
      <c r="G509" s="2" t="s">
        <v>14</v>
      </c>
    </row>
    <row r="510" spans="1:7">
      <c r="A510" s="2">
        <v>509</v>
      </c>
      <c r="B510" s="2" t="s">
        <v>49</v>
      </c>
      <c r="C510" s="2" t="s">
        <v>8</v>
      </c>
      <c r="D510" s="2">
        <v>2</v>
      </c>
      <c r="E510" s="3">
        <v>75496</v>
      </c>
      <c r="F510" s="2" t="s">
        <v>17</v>
      </c>
      <c r="G510" s="2" t="s">
        <v>29</v>
      </c>
    </row>
    <row r="511" spans="1:7">
      <c r="A511" s="2">
        <v>510</v>
      </c>
      <c r="B511" s="2" t="s">
        <v>80</v>
      </c>
      <c r="C511" s="2" t="s">
        <v>8</v>
      </c>
      <c r="D511" s="2">
        <v>22</v>
      </c>
      <c r="E511" s="3">
        <v>75882</v>
      </c>
      <c r="F511" s="2" t="s">
        <v>20</v>
      </c>
      <c r="G511" s="2" t="s">
        <v>23</v>
      </c>
    </row>
    <row r="512" spans="1:7">
      <c r="A512" s="2">
        <v>511</v>
      </c>
      <c r="B512" s="2" t="s">
        <v>64</v>
      </c>
      <c r="C512" s="2" t="s">
        <v>22</v>
      </c>
      <c r="D512" s="2">
        <v>28</v>
      </c>
      <c r="E512" s="3">
        <v>91179</v>
      </c>
      <c r="F512" s="2" t="s">
        <v>13</v>
      </c>
      <c r="G512" s="2" t="s">
        <v>14</v>
      </c>
    </row>
    <row r="513" spans="1:7">
      <c r="A513" s="2">
        <v>512</v>
      </c>
      <c r="B513" s="2" t="s">
        <v>83</v>
      </c>
      <c r="C513" s="2" t="s">
        <v>8</v>
      </c>
      <c r="D513" s="2">
        <v>18</v>
      </c>
      <c r="E513" s="3">
        <v>84959</v>
      </c>
      <c r="F513" s="2" t="s">
        <v>32</v>
      </c>
      <c r="G513" s="2" t="s">
        <v>18</v>
      </c>
    </row>
    <row r="514" spans="1:7">
      <c r="A514" s="2">
        <v>513</v>
      </c>
      <c r="B514" s="2" t="s">
        <v>11</v>
      </c>
      <c r="C514" s="2" t="s">
        <v>8</v>
      </c>
      <c r="D514" s="2">
        <v>34</v>
      </c>
      <c r="E514" s="3">
        <v>76373</v>
      </c>
      <c r="F514" s="2" t="s">
        <v>9</v>
      </c>
      <c r="G514" s="2" t="s">
        <v>18</v>
      </c>
    </row>
    <row r="515" spans="1:7">
      <c r="A515" s="2">
        <v>514</v>
      </c>
      <c r="B515" s="2" t="s">
        <v>11</v>
      </c>
      <c r="C515" s="2" t="s">
        <v>16</v>
      </c>
      <c r="D515" s="2">
        <v>5</v>
      </c>
      <c r="E515" s="3">
        <v>57822</v>
      </c>
      <c r="F515" s="2" t="s">
        <v>25</v>
      </c>
      <c r="G515" s="2" t="s">
        <v>29</v>
      </c>
    </row>
    <row r="516" spans="1:7">
      <c r="A516" s="2">
        <v>515</v>
      </c>
      <c r="B516" s="2" t="s">
        <v>37</v>
      </c>
      <c r="C516" s="2" t="s">
        <v>22</v>
      </c>
      <c r="D516" s="2">
        <v>17</v>
      </c>
      <c r="E516" s="3">
        <v>74791</v>
      </c>
      <c r="F516" s="2" t="s">
        <v>28</v>
      </c>
      <c r="G516" s="2" t="s">
        <v>23</v>
      </c>
    </row>
    <row r="517" spans="1:7">
      <c r="A517" s="2">
        <v>516</v>
      </c>
      <c r="B517" s="2" t="s">
        <v>73</v>
      </c>
      <c r="C517" s="2" t="s">
        <v>22</v>
      </c>
      <c r="D517" s="2">
        <v>46</v>
      </c>
      <c r="E517" s="3">
        <v>68651</v>
      </c>
      <c r="F517" s="2" t="s">
        <v>17</v>
      </c>
      <c r="G517" s="2" t="s">
        <v>18</v>
      </c>
    </row>
    <row r="518" spans="1:7">
      <c r="A518" s="2">
        <v>517</v>
      </c>
      <c r="B518" s="2" t="s">
        <v>33</v>
      </c>
      <c r="C518" s="2" t="s">
        <v>12</v>
      </c>
      <c r="D518" s="2">
        <v>37</v>
      </c>
      <c r="E518" s="3">
        <v>55349</v>
      </c>
      <c r="F518" s="2" t="s">
        <v>13</v>
      </c>
      <c r="G518" s="2" t="s">
        <v>18</v>
      </c>
    </row>
    <row r="519" spans="1:7">
      <c r="A519" s="2">
        <v>518</v>
      </c>
      <c r="B519" s="2" t="s">
        <v>60</v>
      </c>
      <c r="C519" s="2" t="s">
        <v>8</v>
      </c>
      <c r="D519" s="2">
        <v>41</v>
      </c>
      <c r="E519" s="3">
        <v>90580</v>
      </c>
      <c r="F519" s="2" t="s">
        <v>17</v>
      </c>
      <c r="G519" s="2" t="s">
        <v>18</v>
      </c>
    </row>
    <row r="520" spans="1:7">
      <c r="A520" s="2">
        <v>519</v>
      </c>
      <c r="B520" s="2" t="s">
        <v>94</v>
      </c>
      <c r="C520" s="2" t="s">
        <v>16</v>
      </c>
      <c r="D520" s="2">
        <v>5</v>
      </c>
      <c r="E520" s="3">
        <v>85240</v>
      </c>
      <c r="F520" s="2" t="s">
        <v>20</v>
      </c>
      <c r="G520" s="2" t="s">
        <v>14</v>
      </c>
    </row>
    <row r="521" spans="1:7">
      <c r="A521" s="2">
        <v>520</v>
      </c>
      <c r="B521" s="2" t="s">
        <v>59</v>
      </c>
      <c r="C521" s="2" t="s">
        <v>12</v>
      </c>
      <c r="D521" s="2">
        <v>32</v>
      </c>
      <c r="E521" s="3">
        <v>80364</v>
      </c>
      <c r="F521" s="2" t="s">
        <v>20</v>
      </c>
      <c r="G521" s="2" t="s">
        <v>26</v>
      </c>
    </row>
    <row r="522" spans="1:7">
      <c r="A522" s="2">
        <v>521</v>
      </c>
      <c r="B522" s="2" t="s">
        <v>40</v>
      </c>
      <c r="C522" s="2" t="s">
        <v>8</v>
      </c>
      <c r="D522" s="2">
        <v>30</v>
      </c>
      <c r="E522" s="3">
        <v>59766</v>
      </c>
      <c r="F522" s="2" t="s">
        <v>20</v>
      </c>
      <c r="G522" s="2" t="s">
        <v>14</v>
      </c>
    </row>
    <row r="523" spans="1:7">
      <c r="A523" s="2">
        <v>522</v>
      </c>
      <c r="B523" s="2" t="s">
        <v>21</v>
      </c>
      <c r="C523" s="2" t="s">
        <v>22</v>
      </c>
      <c r="D523" s="2">
        <v>33</v>
      </c>
      <c r="E523" s="3">
        <v>37650</v>
      </c>
      <c r="F523" s="2" t="s">
        <v>38</v>
      </c>
      <c r="G523" s="2" t="s">
        <v>23</v>
      </c>
    </row>
    <row r="524" spans="1:7">
      <c r="A524" s="2">
        <v>523</v>
      </c>
      <c r="B524" s="2" t="s">
        <v>79</v>
      </c>
      <c r="C524" s="2" t="s">
        <v>8</v>
      </c>
      <c r="D524" s="2">
        <v>24</v>
      </c>
      <c r="E524" s="3">
        <v>92025</v>
      </c>
      <c r="F524" s="2" t="s">
        <v>25</v>
      </c>
      <c r="G524" s="2" t="s">
        <v>29</v>
      </c>
    </row>
    <row r="525" spans="1:7">
      <c r="A525" s="2">
        <v>524</v>
      </c>
      <c r="B525" s="2" t="s">
        <v>78</v>
      </c>
      <c r="C525" s="2" t="s">
        <v>8</v>
      </c>
      <c r="D525" s="2">
        <v>4</v>
      </c>
      <c r="E525" s="3">
        <v>26303</v>
      </c>
      <c r="F525" s="2" t="s">
        <v>25</v>
      </c>
      <c r="G525" s="2" t="s">
        <v>23</v>
      </c>
    </row>
    <row r="526" spans="1:7">
      <c r="A526" s="2">
        <v>525</v>
      </c>
      <c r="B526" s="2" t="s">
        <v>82</v>
      </c>
      <c r="C526" s="2" t="s">
        <v>16</v>
      </c>
      <c r="D526" s="2">
        <v>32</v>
      </c>
      <c r="E526" s="3">
        <v>55668</v>
      </c>
      <c r="F526" s="2" t="s">
        <v>38</v>
      </c>
      <c r="G526" s="2" t="s">
        <v>26</v>
      </c>
    </row>
    <row r="527" spans="1:7">
      <c r="A527" s="2">
        <v>526</v>
      </c>
      <c r="B527" s="2" t="s">
        <v>64</v>
      </c>
      <c r="C527" s="2" t="s">
        <v>16</v>
      </c>
      <c r="D527" s="2">
        <v>37</v>
      </c>
      <c r="E527" s="3">
        <v>79334</v>
      </c>
      <c r="F527" s="2" t="s">
        <v>32</v>
      </c>
      <c r="G527" s="2" t="s">
        <v>29</v>
      </c>
    </row>
    <row r="528" spans="1:7">
      <c r="A528" s="2">
        <v>527</v>
      </c>
      <c r="B528" s="2" t="s">
        <v>50</v>
      </c>
      <c r="C528" s="2" t="s">
        <v>16</v>
      </c>
      <c r="D528" s="2">
        <v>11</v>
      </c>
      <c r="E528" s="3">
        <v>38842</v>
      </c>
      <c r="F528" s="2" t="s">
        <v>20</v>
      </c>
      <c r="G528" s="2" t="s">
        <v>26</v>
      </c>
    </row>
    <row r="529" spans="1:7">
      <c r="A529" s="2">
        <v>528</v>
      </c>
      <c r="B529" s="2" t="s">
        <v>76</v>
      </c>
      <c r="C529" s="2" t="s">
        <v>12</v>
      </c>
      <c r="D529" s="2">
        <v>24</v>
      </c>
      <c r="E529" s="3">
        <v>36596</v>
      </c>
      <c r="F529" s="2" t="s">
        <v>9</v>
      </c>
      <c r="G529" s="2" t="s">
        <v>10</v>
      </c>
    </row>
    <row r="530" spans="1:7">
      <c r="A530" s="2">
        <v>529</v>
      </c>
      <c r="B530" s="2" t="s">
        <v>27</v>
      </c>
      <c r="C530" s="2" t="s">
        <v>16</v>
      </c>
      <c r="D530" s="2">
        <v>11</v>
      </c>
      <c r="E530" s="3">
        <v>29286</v>
      </c>
      <c r="F530" s="2" t="s">
        <v>32</v>
      </c>
      <c r="G530" s="2" t="s">
        <v>18</v>
      </c>
    </row>
    <row r="531" spans="1:7">
      <c r="A531" s="2">
        <v>530</v>
      </c>
      <c r="B531" s="2" t="s">
        <v>47</v>
      </c>
      <c r="C531" s="2" t="s">
        <v>12</v>
      </c>
      <c r="D531" s="2">
        <v>17</v>
      </c>
      <c r="E531" s="3">
        <v>61575</v>
      </c>
      <c r="F531" s="2" t="s">
        <v>20</v>
      </c>
      <c r="G531" s="2" t="s">
        <v>29</v>
      </c>
    </row>
    <row r="532" spans="1:7">
      <c r="A532" s="2">
        <v>531</v>
      </c>
      <c r="B532" s="2" t="s">
        <v>64</v>
      </c>
      <c r="C532" s="2" t="s">
        <v>8</v>
      </c>
      <c r="D532" s="2">
        <v>50</v>
      </c>
      <c r="E532" s="3">
        <v>98320</v>
      </c>
      <c r="F532" s="2" t="s">
        <v>38</v>
      </c>
      <c r="G532" s="2" t="s">
        <v>18</v>
      </c>
    </row>
    <row r="533" spans="1:7">
      <c r="A533" s="2">
        <v>532</v>
      </c>
      <c r="B533" s="2" t="s">
        <v>46</v>
      </c>
      <c r="C533" s="2" t="s">
        <v>12</v>
      </c>
      <c r="D533" s="2">
        <v>7</v>
      </c>
      <c r="E533" s="3">
        <v>36375</v>
      </c>
      <c r="F533" s="2" t="s">
        <v>13</v>
      </c>
      <c r="G533" s="2" t="s">
        <v>26</v>
      </c>
    </row>
    <row r="534" spans="1:7">
      <c r="A534" s="2">
        <v>533</v>
      </c>
      <c r="B534" s="2" t="s">
        <v>81</v>
      </c>
      <c r="C534" s="2" t="s">
        <v>12</v>
      </c>
      <c r="D534" s="2">
        <v>37</v>
      </c>
      <c r="E534" s="3">
        <v>90916</v>
      </c>
      <c r="F534" s="2" t="s">
        <v>9</v>
      </c>
      <c r="G534" s="2" t="s">
        <v>29</v>
      </c>
    </row>
    <row r="535" spans="1:7">
      <c r="A535" s="2">
        <v>534</v>
      </c>
      <c r="B535" s="2" t="s">
        <v>94</v>
      </c>
      <c r="C535" s="2" t="s">
        <v>16</v>
      </c>
      <c r="D535" s="2">
        <v>44</v>
      </c>
      <c r="E535" s="3">
        <v>29614</v>
      </c>
      <c r="F535" s="2" t="s">
        <v>28</v>
      </c>
      <c r="G535" s="2" t="s">
        <v>10</v>
      </c>
    </row>
    <row r="536" spans="1:7">
      <c r="A536" s="2">
        <v>535</v>
      </c>
      <c r="B536" s="2" t="s">
        <v>89</v>
      </c>
      <c r="C536" s="2" t="s">
        <v>16</v>
      </c>
      <c r="D536" s="2">
        <v>47</v>
      </c>
      <c r="E536" s="3">
        <v>30280</v>
      </c>
      <c r="F536" s="2" t="s">
        <v>38</v>
      </c>
      <c r="G536" s="2" t="s">
        <v>29</v>
      </c>
    </row>
    <row r="537" spans="1:7">
      <c r="A537" s="2">
        <v>536</v>
      </c>
      <c r="B537" s="2" t="s">
        <v>75</v>
      </c>
      <c r="C537" s="2" t="s">
        <v>22</v>
      </c>
      <c r="D537" s="2">
        <v>8</v>
      </c>
      <c r="E537" s="3">
        <v>40452</v>
      </c>
      <c r="F537" s="2" t="s">
        <v>17</v>
      </c>
      <c r="G537" s="2" t="s">
        <v>23</v>
      </c>
    </row>
    <row r="538" spans="1:7">
      <c r="A538" s="2">
        <v>537</v>
      </c>
      <c r="B538" s="2" t="s">
        <v>37</v>
      </c>
      <c r="C538" s="2" t="s">
        <v>12</v>
      </c>
      <c r="D538" s="2">
        <v>15</v>
      </c>
      <c r="E538" s="3">
        <v>73087</v>
      </c>
      <c r="F538" s="2" t="s">
        <v>32</v>
      </c>
      <c r="G538" s="2" t="s">
        <v>14</v>
      </c>
    </row>
    <row r="539" spans="1:7">
      <c r="A539" s="2">
        <v>538</v>
      </c>
      <c r="B539" s="2" t="s">
        <v>7</v>
      </c>
      <c r="C539" s="2" t="s">
        <v>8</v>
      </c>
      <c r="D539" s="2">
        <v>48</v>
      </c>
      <c r="E539" s="3">
        <v>41300</v>
      </c>
      <c r="F539" s="2" t="s">
        <v>20</v>
      </c>
      <c r="G539" s="2" t="s">
        <v>18</v>
      </c>
    </row>
    <row r="540" spans="1:7">
      <c r="A540" s="2">
        <v>539</v>
      </c>
      <c r="B540" s="2" t="s">
        <v>94</v>
      </c>
      <c r="C540" s="2" t="s">
        <v>22</v>
      </c>
      <c r="D540" s="2">
        <v>33</v>
      </c>
      <c r="E540" s="3">
        <v>36819</v>
      </c>
      <c r="F540" s="2" t="s">
        <v>38</v>
      </c>
      <c r="G540" s="2" t="s">
        <v>14</v>
      </c>
    </row>
    <row r="541" spans="1:7">
      <c r="A541" s="2">
        <v>540</v>
      </c>
      <c r="B541" s="2" t="s">
        <v>24</v>
      </c>
      <c r="C541" s="2" t="s">
        <v>22</v>
      </c>
      <c r="D541" s="2">
        <v>1</v>
      </c>
      <c r="E541" s="3">
        <v>97304</v>
      </c>
      <c r="F541" s="2" t="s">
        <v>32</v>
      </c>
      <c r="G541" s="2" t="s">
        <v>29</v>
      </c>
    </row>
    <row r="542" spans="1:7">
      <c r="A542" s="2">
        <v>541</v>
      </c>
      <c r="B542" s="2" t="s">
        <v>88</v>
      </c>
      <c r="C542" s="2" t="s">
        <v>22</v>
      </c>
      <c r="D542" s="2">
        <v>3</v>
      </c>
      <c r="E542" s="3">
        <v>76299</v>
      </c>
      <c r="F542" s="2" t="s">
        <v>9</v>
      </c>
      <c r="G542" s="2" t="s">
        <v>23</v>
      </c>
    </row>
    <row r="543" spans="1:7">
      <c r="A543" s="2">
        <v>542</v>
      </c>
      <c r="B543" s="2" t="s">
        <v>87</v>
      </c>
      <c r="C543" s="2" t="s">
        <v>16</v>
      </c>
      <c r="D543" s="2">
        <v>1</v>
      </c>
      <c r="E543" s="3">
        <v>32137</v>
      </c>
      <c r="F543" s="2" t="s">
        <v>20</v>
      </c>
      <c r="G543" s="2" t="s">
        <v>29</v>
      </c>
    </row>
    <row r="544" spans="1:7">
      <c r="A544" s="2">
        <v>543</v>
      </c>
      <c r="B544" s="2" t="s">
        <v>87</v>
      </c>
      <c r="C544" s="2" t="s">
        <v>16</v>
      </c>
      <c r="D544" s="2">
        <v>16</v>
      </c>
      <c r="E544" s="3">
        <v>85083</v>
      </c>
      <c r="F544" s="2" t="s">
        <v>9</v>
      </c>
      <c r="G544" s="2" t="s">
        <v>10</v>
      </c>
    </row>
    <row r="545" spans="1:7">
      <c r="A545" s="2">
        <v>544</v>
      </c>
      <c r="B545" s="2" t="s">
        <v>93</v>
      </c>
      <c r="C545" s="2" t="s">
        <v>16</v>
      </c>
      <c r="D545" s="2">
        <v>3</v>
      </c>
      <c r="E545" s="3">
        <v>93655</v>
      </c>
      <c r="F545" s="2" t="s">
        <v>38</v>
      </c>
      <c r="G545" s="2" t="s">
        <v>10</v>
      </c>
    </row>
    <row r="546" spans="1:7">
      <c r="A546" s="2">
        <v>545</v>
      </c>
      <c r="B546" s="2" t="s">
        <v>48</v>
      </c>
      <c r="C546" s="2" t="s">
        <v>8</v>
      </c>
      <c r="D546" s="2">
        <v>31</v>
      </c>
      <c r="E546" s="3">
        <v>90693</v>
      </c>
      <c r="F546" s="2" t="s">
        <v>17</v>
      </c>
      <c r="G546" s="2" t="s">
        <v>10</v>
      </c>
    </row>
    <row r="547" spans="1:7">
      <c r="A547" s="2">
        <v>546</v>
      </c>
      <c r="B547" s="2" t="s">
        <v>43</v>
      </c>
      <c r="C547" s="2" t="s">
        <v>12</v>
      </c>
      <c r="D547" s="2">
        <v>24</v>
      </c>
      <c r="E547" s="3">
        <v>39973</v>
      </c>
      <c r="F547" s="2" t="s">
        <v>13</v>
      </c>
      <c r="G547" s="2" t="s">
        <v>29</v>
      </c>
    </row>
    <row r="548" spans="1:7">
      <c r="A548" s="2">
        <v>547</v>
      </c>
      <c r="B548" s="2" t="s">
        <v>54</v>
      </c>
      <c r="C548" s="2" t="s">
        <v>22</v>
      </c>
      <c r="D548" s="2">
        <v>25</v>
      </c>
      <c r="E548" s="3">
        <v>89748</v>
      </c>
      <c r="F548" s="2" t="s">
        <v>17</v>
      </c>
      <c r="G548" s="2" t="s">
        <v>26</v>
      </c>
    </row>
    <row r="549" spans="1:7">
      <c r="A549" s="2">
        <v>548</v>
      </c>
      <c r="B549" s="2" t="s">
        <v>57</v>
      </c>
      <c r="C549" s="2" t="s">
        <v>16</v>
      </c>
      <c r="D549" s="2">
        <v>10</v>
      </c>
      <c r="E549" s="3">
        <v>64646</v>
      </c>
      <c r="F549" s="2" t="s">
        <v>38</v>
      </c>
      <c r="G549" s="2" t="s">
        <v>10</v>
      </c>
    </row>
    <row r="550" spans="1:7">
      <c r="A550" s="2">
        <v>549</v>
      </c>
      <c r="B550" s="2" t="s">
        <v>79</v>
      </c>
      <c r="C550" s="2" t="s">
        <v>12</v>
      </c>
      <c r="D550" s="2">
        <v>12</v>
      </c>
      <c r="E550" s="3">
        <v>76522</v>
      </c>
      <c r="F550" s="2" t="s">
        <v>28</v>
      </c>
      <c r="G550" s="2" t="s">
        <v>26</v>
      </c>
    </row>
    <row r="551" spans="1:7">
      <c r="A551" s="2">
        <v>550</v>
      </c>
      <c r="B551" s="2" t="s">
        <v>39</v>
      </c>
      <c r="C551" s="2" t="s">
        <v>22</v>
      </c>
      <c r="D551" s="2">
        <v>3</v>
      </c>
      <c r="E551" s="3">
        <v>99360</v>
      </c>
      <c r="F551" s="2" t="s">
        <v>38</v>
      </c>
      <c r="G551" s="2" t="s">
        <v>26</v>
      </c>
    </row>
    <row r="552" spans="1:7">
      <c r="A552" s="2">
        <v>551</v>
      </c>
      <c r="B552" s="2" t="s">
        <v>88</v>
      </c>
      <c r="C552" s="2" t="s">
        <v>12</v>
      </c>
      <c r="D552" s="2">
        <v>36</v>
      </c>
      <c r="E552" s="3">
        <v>36497</v>
      </c>
      <c r="F552" s="2" t="s">
        <v>20</v>
      </c>
      <c r="G552" s="2" t="s">
        <v>29</v>
      </c>
    </row>
    <row r="553" spans="1:7">
      <c r="A553" s="2">
        <v>552</v>
      </c>
      <c r="B553" s="2" t="s">
        <v>50</v>
      </c>
      <c r="C553" s="2" t="s">
        <v>22</v>
      </c>
      <c r="D553" s="2">
        <v>46</v>
      </c>
      <c r="E553" s="3">
        <v>91104</v>
      </c>
      <c r="F553" s="2" t="s">
        <v>28</v>
      </c>
      <c r="G553" s="2" t="s">
        <v>29</v>
      </c>
    </row>
    <row r="554" spans="1:7">
      <c r="A554" s="2">
        <v>553</v>
      </c>
      <c r="B554" s="2" t="s">
        <v>94</v>
      </c>
      <c r="C554" s="2" t="s">
        <v>12</v>
      </c>
      <c r="D554" s="2">
        <v>48</v>
      </c>
      <c r="E554" s="3">
        <v>43921</v>
      </c>
      <c r="F554" s="2" t="s">
        <v>20</v>
      </c>
      <c r="G554" s="2" t="s">
        <v>23</v>
      </c>
    </row>
    <row r="555" spans="1:7">
      <c r="A555" s="2">
        <v>554</v>
      </c>
      <c r="B555" s="2" t="s">
        <v>73</v>
      </c>
      <c r="C555" s="2" t="s">
        <v>16</v>
      </c>
      <c r="D555" s="2">
        <v>42</v>
      </c>
      <c r="E555" s="3">
        <v>93215</v>
      </c>
      <c r="F555" s="2" t="s">
        <v>32</v>
      </c>
      <c r="G555" s="2" t="s">
        <v>26</v>
      </c>
    </row>
    <row r="556" spans="1:7">
      <c r="A556" s="2">
        <v>555</v>
      </c>
      <c r="B556" s="2" t="s">
        <v>15</v>
      </c>
      <c r="C556" s="2" t="s">
        <v>12</v>
      </c>
      <c r="D556" s="2">
        <v>27</v>
      </c>
      <c r="E556" s="3">
        <v>72467</v>
      </c>
      <c r="F556" s="2" t="s">
        <v>20</v>
      </c>
      <c r="G556" s="2" t="s">
        <v>18</v>
      </c>
    </row>
    <row r="557" spans="1:7">
      <c r="A557" s="2">
        <v>556</v>
      </c>
      <c r="B557" s="2" t="s">
        <v>21</v>
      </c>
      <c r="C557" s="2" t="s">
        <v>12</v>
      </c>
      <c r="D557" s="2">
        <v>15</v>
      </c>
      <c r="E557" s="3">
        <v>73063</v>
      </c>
      <c r="F557" s="2" t="s">
        <v>20</v>
      </c>
      <c r="G557" s="2" t="s">
        <v>14</v>
      </c>
    </row>
    <row r="558" spans="1:7">
      <c r="A558" s="2">
        <v>557</v>
      </c>
      <c r="B558" s="2" t="s">
        <v>86</v>
      </c>
      <c r="C558" s="2" t="s">
        <v>22</v>
      </c>
      <c r="D558" s="2">
        <v>21</v>
      </c>
      <c r="E558" s="3">
        <v>66942</v>
      </c>
      <c r="F558" s="2" t="s">
        <v>32</v>
      </c>
      <c r="G558" s="2" t="s">
        <v>26</v>
      </c>
    </row>
    <row r="559" spans="1:7">
      <c r="A559" s="2">
        <v>558</v>
      </c>
      <c r="B559" s="2" t="s">
        <v>39</v>
      </c>
      <c r="C559" s="2" t="s">
        <v>12</v>
      </c>
      <c r="D559" s="2">
        <v>16</v>
      </c>
      <c r="E559" s="3">
        <v>35441</v>
      </c>
      <c r="F559" s="2" t="s">
        <v>13</v>
      </c>
      <c r="G559" s="2" t="s">
        <v>18</v>
      </c>
    </row>
    <row r="560" spans="1:7">
      <c r="A560" s="2">
        <v>559</v>
      </c>
      <c r="B560" s="2" t="s">
        <v>56</v>
      </c>
      <c r="C560" s="2" t="s">
        <v>8</v>
      </c>
      <c r="D560" s="2">
        <v>27</v>
      </c>
      <c r="E560" s="3">
        <v>74626</v>
      </c>
      <c r="F560" s="2" t="s">
        <v>32</v>
      </c>
      <c r="G560" s="2" t="s">
        <v>14</v>
      </c>
    </row>
    <row r="561" spans="1:7">
      <c r="A561" s="2">
        <v>560</v>
      </c>
      <c r="B561" s="2" t="s">
        <v>19</v>
      </c>
      <c r="C561" s="2" t="s">
        <v>22</v>
      </c>
      <c r="D561" s="2">
        <v>47</v>
      </c>
      <c r="E561" s="3">
        <v>28491</v>
      </c>
      <c r="F561" s="2" t="s">
        <v>32</v>
      </c>
      <c r="G561" s="2" t="s">
        <v>14</v>
      </c>
    </row>
    <row r="562" spans="1:7">
      <c r="A562" s="2">
        <v>561</v>
      </c>
      <c r="B562" s="2" t="s">
        <v>70</v>
      </c>
      <c r="C562" s="2" t="s">
        <v>12</v>
      </c>
      <c r="D562" s="2">
        <v>21</v>
      </c>
      <c r="E562" s="3">
        <v>33673</v>
      </c>
      <c r="F562" s="2" t="s">
        <v>32</v>
      </c>
      <c r="G562" s="2" t="s">
        <v>29</v>
      </c>
    </row>
    <row r="563" spans="1:7">
      <c r="A563" s="2">
        <v>562</v>
      </c>
      <c r="B563" s="2" t="s">
        <v>73</v>
      </c>
      <c r="C563" s="2" t="s">
        <v>8</v>
      </c>
      <c r="D563" s="2">
        <v>18</v>
      </c>
      <c r="E563" s="3">
        <v>48239</v>
      </c>
      <c r="F563" s="2" t="s">
        <v>25</v>
      </c>
      <c r="G563" s="2" t="s">
        <v>10</v>
      </c>
    </row>
    <row r="564" spans="1:7">
      <c r="A564" s="2">
        <v>563</v>
      </c>
      <c r="B564" s="2" t="s">
        <v>31</v>
      </c>
      <c r="C564" s="2" t="s">
        <v>22</v>
      </c>
      <c r="D564" s="2">
        <v>5</v>
      </c>
      <c r="E564" s="3">
        <v>34831</v>
      </c>
      <c r="F564" s="2" t="s">
        <v>13</v>
      </c>
      <c r="G564" s="2" t="s">
        <v>10</v>
      </c>
    </row>
    <row r="565" spans="1:7">
      <c r="A565" s="2">
        <v>564</v>
      </c>
      <c r="B565" s="2" t="s">
        <v>70</v>
      </c>
      <c r="C565" s="2" t="s">
        <v>16</v>
      </c>
      <c r="D565" s="2">
        <v>37</v>
      </c>
      <c r="E565" s="3">
        <v>57389</v>
      </c>
      <c r="F565" s="2" t="s">
        <v>20</v>
      </c>
      <c r="G565" s="2" t="s">
        <v>10</v>
      </c>
    </row>
    <row r="566" spans="1:7">
      <c r="A566" s="2">
        <v>565</v>
      </c>
      <c r="B566" s="2" t="s">
        <v>21</v>
      </c>
      <c r="C566" s="2" t="s">
        <v>22</v>
      </c>
      <c r="D566" s="2">
        <v>24</v>
      </c>
      <c r="E566" s="3">
        <v>71636</v>
      </c>
      <c r="F566" s="2" t="s">
        <v>17</v>
      </c>
      <c r="G566" s="2" t="s">
        <v>18</v>
      </c>
    </row>
    <row r="567" spans="1:7">
      <c r="A567" s="2">
        <v>566</v>
      </c>
      <c r="B567" s="2" t="s">
        <v>55</v>
      </c>
      <c r="C567" s="2" t="s">
        <v>22</v>
      </c>
      <c r="D567" s="2">
        <v>8</v>
      </c>
      <c r="E567" s="3">
        <v>81508</v>
      </c>
      <c r="F567" s="2" t="s">
        <v>9</v>
      </c>
      <c r="G567" s="2" t="s">
        <v>10</v>
      </c>
    </row>
    <row r="568" spans="1:7">
      <c r="A568" s="2">
        <v>567</v>
      </c>
      <c r="B568" s="2" t="s">
        <v>52</v>
      </c>
      <c r="C568" s="2" t="s">
        <v>12</v>
      </c>
      <c r="D568" s="2">
        <v>33</v>
      </c>
      <c r="E568" s="3">
        <v>42911</v>
      </c>
      <c r="F568" s="2" t="s">
        <v>13</v>
      </c>
      <c r="G568" s="2" t="s">
        <v>26</v>
      </c>
    </row>
    <row r="569" spans="1:7">
      <c r="A569" s="2">
        <v>568</v>
      </c>
      <c r="B569" s="2" t="s">
        <v>92</v>
      </c>
      <c r="C569" s="2" t="s">
        <v>8</v>
      </c>
      <c r="D569" s="2">
        <v>44</v>
      </c>
      <c r="E569" s="3">
        <v>37120</v>
      </c>
      <c r="F569" s="2" t="s">
        <v>20</v>
      </c>
      <c r="G569" s="2" t="s">
        <v>23</v>
      </c>
    </row>
    <row r="570" spans="1:7">
      <c r="A570" s="2">
        <v>569</v>
      </c>
      <c r="B570" s="2" t="s">
        <v>57</v>
      </c>
      <c r="C570" s="2" t="s">
        <v>22</v>
      </c>
      <c r="D570" s="2">
        <v>4</v>
      </c>
      <c r="E570" s="3">
        <v>60164</v>
      </c>
      <c r="F570" s="2" t="s">
        <v>25</v>
      </c>
      <c r="G570" s="2" t="s">
        <v>29</v>
      </c>
    </row>
    <row r="571" spans="1:7">
      <c r="A571" s="2">
        <v>570</v>
      </c>
      <c r="B571" s="2" t="s">
        <v>60</v>
      </c>
      <c r="C571" s="2" t="s">
        <v>22</v>
      </c>
      <c r="D571" s="2">
        <v>12</v>
      </c>
      <c r="E571" s="3">
        <v>43911</v>
      </c>
      <c r="F571" s="2" t="s">
        <v>25</v>
      </c>
      <c r="G571" s="2" t="s">
        <v>10</v>
      </c>
    </row>
    <row r="572" spans="1:7">
      <c r="A572" s="2">
        <v>571</v>
      </c>
      <c r="B572" s="2" t="s">
        <v>72</v>
      </c>
      <c r="C572" s="2" t="s">
        <v>22</v>
      </c>
      <c r="D572" s="2">
        <v>15</v>
      </c>
      <c r="E572" s="3">
        <v>25829</v>
      </c>
      <c r="F572" s="2" t="s">
        <v>13</v>
      </c>
      <c r="G572" s="2" t="s">
        <v>26</v>
      </c>
    </row>
    <row r="573" spans="1:7">
      <c r="A573" s="2">
        <v>572</v>
      </c>
      <c r="B573" s="2" t="s">
        <v>46</v>
      </c>
      <c r="C573" s="2" t="s">
        <v>12</v>
      </c>
      <c r="D573" s="2">
        <v>34</v>
      </c>
      <c r="E573" s="3">
        <v>60216</v>
      </c>
      <c r="F573" s="2" t="s">
        <v>17</v>
      </c>
      <c r="G573" s="2" t="s">
        <v>26</v>
      </c>
    </row>
    <row r="574" spans="1:7">
      <c r="A574" s="2">
        <v>573</v>
      </c>
      <c r="B574" s="2" t="s">
        <v>42</v>
      </c>
      <c r="C574" s="2" t="s">
        <v>22</v>
      </c>
      <c r="D574" s="2">
        <v>3</v>
      </c>
      <c r="E574" s="3">
        <v>82999</v>
      </c>
      <c r="F574" s="2" t="s">
        <v>25</v>
      </c>
      <c r="G574" s="2" t="s">
        <v>10</v>
      </c>
    </row>
    <row r="575" spans="1:7">
      <c r="A575" s="2">
        <v>574</v>
      </c>
      <c r="B575" s="2" t="s">
        <v>79</v>
      </c>
      <c r="C575" s="2" t="s">
        <v>8</v>
      </c>
      <c r="D575" s="2">
        <v>26</v>
      </c>
      <c r="E575" s="3">
        <v>99562</v>
      </c>
      <c r="F575" s="2" t="s">
        <v>9</v>
      </c>
      <c r="G575" s="2" t="s">
        <v>10</v>
      </c>
    </row>
    <row r="576" spans="1:7">
      <c r="A576" s="2">
        <v>575</v>
      </c>
      <c r="B576" s="2" t="s">
        <v>83</v>
      </c>
      <c r="C576" s="2" t="s">
        <v>12</v>
      </c>
      <c r="D576" s="2">
        <v>5</v>
      </c>
      <c r="E576" s="3">
        <v>81867</v>
      </c>
      <c r="F576" s="2" t="s">
        <v>17</v>
      </c>
      <c r="G576" s="2" t="s">
        <v>18</v>
      </c>
    </row>
    <row r="577" spans="1:7">
      <c r="A577" s="2">
        <v>576</v>
      </c>
      <c r="B577" s="2" t="s">
        <v>66</v>
      </c>
      <c r="C577" s="2" t="s">
        <v>16</v>
      </c>
      <c r="D577" s="2">
        <v>30</v>
      </c>
      <c r="E577" s="3">
        <v>50802</v>
      </c>
      <c r="F577" s="2" t="s">
        <v>17</v>
      </c>
      <c r="G577" s="2" t="s">
        <v>29</v>
      </c>
    </row>
    <row r="578" spans="1:7">
      <c r="A578" s="2">
        <v>577</v>
      </c>
      <c r="B578" s="2" t="s">
        <v>7</v>
      </c>
      <c r="C578" s="2" t="s">
        <v>16</v>
      </c>
      <c r="D578" s="2">
        <v>19</v>
      </c>
      <c r="E578" s="3">
        <v>70947</v>
      </c>
      <c r="F578" s="2" t="s">
        <v>17</v>
      </c>
      <c r="G578" s="2" t="s">
        <v>23</v>
      </c>
    </row>
    <row r="579" spans="1:7">
      <c r="A579" s="2">
        <v>578</v>
      </c>
      <c r="B579" s="2" t="s">
        <v>74</v>
      </c>
      <c r="C579" s="2" t="s">
        <v>12</v>
      </c>
      <c r="D579" s="2">
        <v>50</v>
      </c>
      <c r="E579" s="3">
        <v>46825</v>
      </c>
      <c r="F579" s="2" t="s">
        <v>17</v>
      </c>
      <c r="G579" s="2" t="s">
        <v>10</v>
      </c>
    </row>
    <row r="580" spans="1:7">
      <c r="A580" s="2">
        <v>579</v>
      </c>
      <c r="B580" s="2" t="s">
        <v>47</v>
      </c>
      <c r="C580" s="2" t="s">
        <v>8</v>
      </c>
      <c r="D580" s="2">
        <v>20</v>
      </c>
      <c r="E580" s="3">
        <v>95044</v>
      </c>
      <c r="F580" s="2" t="s">
        <v>13</v>
      </c>
      <c r="G580" s="2" t="s">
        <v>14</v>
      </c>
    </row>
    <row r="581" spans="1:7">
      <c r="A581" s="2">
        <v>580</v>
      </c>
      <c r="B581" s="2" t="s">
        <v>69</v>
      </c>
      <c r="C581" s="2" t="s">
        <v>12</v>
      </c>
      <c r="D581" s="2">
        <v>21</v>
      </c>
      <c r="E581" s="3">
        <v>91142</v>
      </c>
      <c r="F581" s="2" t="s">
        <v>13</v>
      </c>
      <c r="G581" s="2" t="s">
        <v>18</v>
      </c>
    </row>
    <row r="582" spans="1:7">
      <c r="A582" s="2">
        <v>581</v>
      </c>
      <c r="B582" s="2" t="s">
        <v>61</v>
      </c>
      <c r="C582" s="2" t="s">
        <v>12</v>
      </c>
      <c r="D582" s="2">
        <v>6</v>
      </c>
      <c r="E582" s="3">
        <v>64988</v>
      </c>
      <c r="F582" s="2" t="s">
        <v>17</v>
      </c>
      <c r="G582" s="2" t="s">
        <v>10</v>
      </c>
    </row>
    <row r="583" spans="1:7">
      <c r="A583" s="2">
        <v>582</v>
      </c>
      <c r="B583" s="2" t="s">
        <v>84</v>
      </c>
      <c r="C583" s="2" t="s">
        <v>12</v>
      </c>
      <c r="D583" s="2">
        <v>36</v>
      </c>
      <c r="E583" s="3">
        <v>71250</v>
      </c>
      <c r="F583" s="2" t="s">
        <v>32</v>
      </c>
      <c r="G583" s="2" t="s">
        <v>10</v>
      </c>
    </row>
    <row r="584" spans="1:7">
      <c r="A584" s="2">
        <v>583</v>
      </c>
      <c r="B584" s="2" t="s">
        <v>82</v>
      </c>
      <c r="C584" s="2" t="s">
        <v>12</v>
      </c>
      <c r="D584" s="2">
        <v>30</v>
      </c>
      <c r="E584" s="3">
        <v>36853</v>
      </c>
      <c r="F584" s="2" t="s">
        <v>32</v>
      </c>
      <c r="G584" s="2" t="s">
        <v>26</v>
      </c>
    </row>
    <row r="585" spans="1:7">
      <c r="A585" s="2">
        <v>584</v>
      </c>
      <c r="B585" s="2" t="s">
        <v>45</v>
      </c>
      <c r="C585" s="2" t="s">
        <v>22</v>
      </c>
      <c r="D585" s="2">
        <v>1</v>
      </c>
      <c r="E585" s="3">
        <v>95347</v>
      </c>
      <c r="F585" s="2" t="s">
        <v>13</v>
      </c>
      <c r="G585" s="2" t="s">
        <v>18</v>
      </c>
    </row>
    <row r="586" spans="1:7">
      <c r="A586" s="2">
        <v>585</v>
      </c>
      <c r="B586" s="2" t="s">
        <v>19</v>
      </c>
      <c r="C586" s="2" t="s">
        <v>16</v>
      </c>
      <c r="D586" s="2">
        <v>24</v>
      </c>
      <c r="E586" s="3">
        <v>83598</v>
      </c>
      <c r="F586" s="2" t="s">
        <v>28</v>
      </c>
      <c r="G586" s="2" t="s">
        <v>23</v>
      </c>
    </row>
    <row r="587" spans="1:7">
      <c r="A587" s="2">
        <v>586</v>
      </c>
      <c r="B587" s="2" t="s">
        <v>41</v>
      </c>
      <c r="C587" s="2" t="s">
        <v>8</v>
      </c>
      <c r="D587" s="2">
        <v>13</v>
      </c>
      <c r="E587" s="3">
        <v>91231</v>
      </c>
      <c r="F587" s="2" t="s">
        <v>17</v>
      </c>
      <c r="G587" s="2" t="s">
        <v>26</v>
      </c>
    </row>
    <row r="588" spans="1:7">
      <c r="A588" s="2">
        <v>587</v>
      </c>
      <c r="B588" s="2" t="s">
        <v>59</v>
      </c>
      <c r="C588" s="2" t="s">
        <v>22</v>
      </c>
      <c r="D588" s="2">
        <v>19</v>
      </c>
      <c r="E588" s="3">
        <v>62001</v>
      </c>
      <c r="F588" s="2" t="s">
        <v>9</v>
      </c>
      <c r="G588" s="2" t="s">
        <v>14</v>
      </c>
    </row>
    <row r="589" spans="1:7">
      <c r="A589" s="2">
        <v>588</v>
      </c>
      <c r="B589" s="2" t="s">
        <v>93</v>
      </c>
      <c r="C589" s="2" t="s">
        <v>16</v>
      </c>
      <c r="D589" s="2">
        <v>37</v>
      </c>
      <c r="E589" s="3">
        <v>84428</v>
      </c>
      <c r="F589" s="2" t="s">
        <v>9</v>
      </c>
      <c r="G589" s="2" t="s">
        <v>14</v>
      </c>
    </row>
    <row r="590" spans="1:7">
      <c r="A590" s="2">
        <v>589</v>
      </c>
      <c r="B590" s="2" t="s">
        <v>36</v>
      </c>
      <c r="C590" s="2" t="s">
        <v>12</v>
      </c>
      <c r="D590" s="2">
        <v>20</v>
      </c>
      <c r="E590" s="3">
        <v>42380</v>
      </c>
      <c r="F590" s="2" t="s">
        <v>13</v>
      </c>
      <c r="G590" s="2" t="s">
        <v>23</v>
      </c>
    </row>
    <row r="591" spans="1:7">
      <c r="A591" s="2">
        <v>590</v>
      </c>
      <c r="B591" s="2" t="s">
        <v>63</v>
      </c>
      <c r="C591" s="2" t="s">
        <v>16</v>
      </c>
      <c r="D591" s="2">
        <v>48</v>
      </c>
      <c r="E591" s="3">
        <v>98201</v>
      </c>
      <c r="F591" s="2" t="s">
        <v>38</v>
      </c>
      <c r="G591" s="2" t="s">
        <v>26</v>
      </c>
    </row>
    <row r="592" spans="1:7">
      <c r="A592" s="2">
        <v>591</v>
      </c>
      <c r="B592" s="2" t="s">
        <v>41</v>
      </c>
      <c r="C592" s="2" t="s">
        <v>16</v>
      </c>
      <c r="D592" s="2">
        <v>40</v>
      </c>
      <c r="E592" s="3">
        <v>67108</v>
      </c>
      <c r="F592" s="2" t="s">
        <v>38</v>
      </c>
      <c r="G592" s="2" t="s">
        <v>18</v>
      </c>
    </row>
    <row r="593" spans="1:7">
      <c r="A593" s="2">
        <v>592</v>
      </c>
      <c r="B593" s="2" t="s">
        <v>78</v>
      </c>
      <c r="C593" s="2" t="s">
        <v>22</v>
      </c>
      <c r="D593" s="2">
        <v>16</v>
      </c>
      <c r="E593" s="3">
        <v>45986</v>
      </c>
      <c r="F593" s="2" t="s">
        <v>28</v>
      </c>
      <c r="G593" s="2" t="s">
        <v>10</v>
      </c>
    </row>
    <row r="594" spans="1:7">
      <c r="A594" s="2">
        <v>593</v>
      </c>
      <c r="B594" s="2" t="s">
        <v>11</v>
      </c>
      <c r="C594" s="2" t="s">
        <v>22</v>
      </c>
      <c r="D594" s="2">
        <v>30</v>
      </c>
      <c r="E594" s="3">
        <v>80023</v>
      </c>
      <c r="F594" s="2" t="s">
        <v>38</v>
      </c>
      <c r="G594" s="2" t="s">
        <v>23</v>
      </c>
    </row>
    <row r="595" spans="1:7">
      <c r="A595" s="2">
        <v>594</v>
      </c>
      <c r="B595" s="2" t="s">
        <v>67</v>
      </c>
      <c r="C595" s="2" t="s">
        <v>8</v>
      </c>
      <c r="D595" s="2">
        <v>24</v>
      </c>
      <c r="E595" s="3">
        <v>76205</v>
      </c>
      <c r="F595" s="2" t="s">
        <v>25</v>
      </c>
      <c r="G595" s="2" t="s">
        <v>26</v>
      </c>
    </row>
    <row r="596" spans="1:7">
      <c r="A596" s="2">
        <v>595</v>
      </c>
      <c r="B596" s="2" t="s">
        <v>49</v>
      </c>
      <c r="C596" s="2" t="s">
        <v>12</v>
      </c>
      <c r="D596" s="2">
        <v>38</v>
      </c>
      <c r="E596" s="3">
        <v>79130</v>
      </c>
      <c r="F596" s="2" t="s">
        <v>28</v>
      </c>
      <c r="G596" s="2" t="s">
        <v>18</v>
      </c>
    </row>
    <row r="597" spans="1:7">
      <c r="A597" s="2">
        <v>596</v>
      </c>
      <c r="B597" s="2" t="s">
        <v>74</v>
      </c>
      <c r="C597" s="2" t="s">
        <v>12</v>
      </c>
      <c r="D597" s="2">
        <v>32</v>
      </c>
      <c r="E597" s="3">
        <v>58279</v>
      </c>
      <c r="F597" s="2" t="s">
        <v>38</v>
      </c>
      <c r="G597" s="2" t="s">
        <v>18</v>
      </c>
    </row>
    <row r="598" spans="1:7">
      <c r="A598" s="2">
        <v>597</v>
      </c>
      <c r="B598" s="2" t="s">
        <v>59</v>
      </c>
      <c r="C598" s="2" t="s">
        <v>12</v>
      </c>
      <c r="D598" s="2">
        <v>50</v>
      </c>
      <c r="E598" s="3">
        <v>76277</v>
      </c>
      <c r="F598" s="2" t="s">
        <v>28</v>
      </c>
      <c r="G598" s="2" t="s">
        <v>18</v>
      </c>
    </row>
    <row r="599" spans="1:7">
      <c r="A599" s="2">
        <v>598</v>
      </c>
      <c r="B599" s="2" t="s">
        <v>87</v>
      </c>
      <c r="C599" s="2" t="s">
        <v>16</v>
      </c>
      <c r="D599" s="2">
        <v>50</v>
      </c>
      <c r="E599" s="3">
        <v>67774</v>
      </c>
      <c r="F599" s="2" t="s">
        <v>32</v>
      </c>
      <c r="G599" s="2" t="s">
        <v>18</v>
      </c>
    </row>
    <row r="600" spans="1:7">
      <c r="A600" s="2">
        <v>599</v>
      </c>
      <c r="B600" s="2" t="s">
        <v>30</v>
      </c>
      <c r="C600" s="2" t="s">
        <v>16</v>
      </c>
      <c r="D600" s="2">
        <v>13</v>
      </c>
      <c r="E600" s="3">
        <v>87684</v>
      </c>
      <c r="F600" s="2" t="s">
        <v>32</v>
      </c>
      <c r="G600" s="2" t="s">
        <v>14</v>
      </c>
    </row>
    <row r="601" spans="1:7">
      <c r="A601" s="2">
        <v>600</v>
      </c>
      <c r="B601" s="2" t="s">
        <v>71</v>
      </c>
      <c r="C601" s="2" t="s">
        <v>12</v>
      </c>
      <c r="D601" s="2">
        <v>47</v>
      </c>
      <c r="E601" s="3">
        <v>91588</v>
      </c>
      <c r="F601" s="2" t="s">
        <v>17</v>
      </c>
      <c r="G601" s="2" t="s">
        <v>18</v>
      </c>
    </row>
    <row r="602" spans="1:7">
      <c r="A602" s="2">
        <v>601</v>
      </c>
      <c r="B602" s="2" t="s">
        <v>64</v>
      </c>
      <c r="C602" s="2" t="s">
        <v>8</v>
      </c>
      <c r="D602" s="2">
        <v>35</v>
      </c>
      <c r="E602" s="3">
        <v>92000</v>
      </c>
      <c r="F602" s="2" t="s">
        <v>38</v>
      </c>
      <c r="G602" s="2" t="s">
        <v>26</v>
      </c>
    </row>
    <row r="603" spans="1:7">
      <c r="A603" s="2">
        <v>602</v>
      </c>
      <c r="B603" s="2" t="s">
        <v>84</v>
      </c>
      <c r="C603" s="2" t="s">
        <v>16</v>
      </c>
      <c r="D603" s="2">
        <v>49</v>
      </c>
      <c r="E603" s="3">
        <v>65108</v>
      </c>
      <c r="F603" s="2" t="s">
        <v>28</v>
      </c>
      <c r="G603" s="2" t="s">
        <v>23</v>
      </c>
    </row>
    <row r="604" spans="1:7">
      <c r="A604" s="2">
        <v>603</v>
      </c>
      <c r="B604" s="2" t="s">
        <v>66</v>
      </c>
      <c r="C604" s="2" t="s">
        <v>8</v>
      </c>
      <c r="D604" s="2">
        <v>16</v>
      </c>
      <c r="E604" s="3">
        <v>46916</v>
      </c>
      <c r="F604" s="2" t="s">
        <v>25</v>
      </c>
      <c r="G604" s="2" t="s">
        <v>10</v>
      </c>
    </row>
    <row r="605" spans="1:7">
      <c r="A605" s="2">
        <v>604</v>
      </c>
      <c r="B605" s="2" t="s">
        <v>15</v>
      </c>
      <c r="C605" s="2" t="s">
        <v>16</v>
      </c>
      <c r="D605" s="2">
        <v>10</v>
      </c>
      <c r="E605" s="3">
        <v>80206</v>
      </c>
      <c r="F605" s="2" t="s">
        <v>20</v>
      </c>
      <c r="G605" s="2" t="s">
        <v>10</v>
      </c>
    </row>
    <row r="606" spans="1:7">
      <c r="A606" s="2">
        <v>605</v>
      </c>
      <c r="B606" s="2" t="s">
        <v>79</v>
      </c>
      <c r="C606" s="2" t="s">
        <v>22</v>
      </c>
      <c r="D606" s="2">
        <v>1</v>
      </c>
      <c r="E606" s="3">
        <v>82751</v>
      </c>
      <c r="F606" s="2" t="s">
        <v>38</v>
      </c>
      <c r="G606" s="2" t="s">
        <v>26</v>
      </c>
    </row>
    <row r="607" spans="1:7">
      <c r="A607" s="2">
        <v>606</v>
      </c>
      <c r="B607" s="2" t="s">
        <v>78</v>
      </c>
      <c r="C607" s="2" t="s">
        <v>22</v>
      </c>
      <c r="D607" s="2">
        <v>27</v>
      </c>
      <c r="E607" s="3">
        <v>26835</v>
      </c>
      <c r="F607" s="2" t="s">
        <v>9</v>
      </c>
      <c r="G607" s="2" t="s">
        <v>26</v>
      </c>
    </row>
    <row r="608" spans="1:7">
      <c r="A608" s="2">
        <v>607</v>
      </c>
      <c r="B608" s="2" t="s">
        <v>89</v>
      </c>
      <c r="C608" s="2" t="s">
        <v>12</v>
      </c>
      <c r="D608" s="2">
        <v>2</v>
      </c>
      <c r="E608" s="3">
        <v>72724</v>
      </c>
      <c r="F608" s="2" t="s">
        <v>17</v>
      </c>
      <c r="G608" s="2" t="s">
        <v>29</v>
      </c>
    </row>
    <row r="609" spans="1:7">
      <c r="A609" s="2">
        <v>608</v>
      </c>
      <c r="B609" s="2" t="s">
        <v>47</v>
      </c>
      <c r="C609" s="2" t="s">
        <v>22</v>
      </c>
      <c r="D609" s="2">
        <v>15</v>
      </c>
      <c r="E609" s="3">
        <v>61554</v>
      </c>
      <c r="F609" s="2" t="s">
        <v>25</v>
      </c>
      <c r="G609" s="2" t="s">
        <v>26</v>
      </c>
    </row>
    <row r="610" spans="1:7">
      <c r="A610" s="2">
        <v>609</v>
      </c>
      <c r="B610" s="2" t="s">
        <v>92</v>
      </c>
      <c r="C610" s="2" t="s">
        <v>16</v>
      </c>
      <c r="D610" s="2">
        <v>35</v>
      </c>
      <c r="E610" s="3">
        <v>45733</v>
      </c>
      <c r="F610" s="2" t="s">
        <v>25</v>
      </c>
      <c r="G610" s="2" t="s">
        <v>26</v>
      </c>
    </row>
    <row r="611" spans="1:7">
      <c r="A611" s="2">
        <v>610</v>
      </c>
      <c r="B611" s="2" t="s">
        <v>59</v>
      </c>
      <c r="C611" s="2" t="s">
        <v>16</v>
      </c>
      <c r="D611" s="2">
        <v>23</v>
      </c>
      <c r="E611" s="3">
        <v>43442</v>
      </c>
      <c r="F611" s="2" t="s">
        <v>28</v>
      </c>
      <c r="G611" s="2" t="s">
        <v>23</v>
      </c>
    </row>
    <row r="612" spans="1:7">
      <c r="A612" s="2">
        <v>611</v>
      </c>
      <c r="B612" s="2" t="s">
        <v>83</v>
      </c>
      <c r="C612" s="2" t="s">
        <v>22</v>
      </c>
      <c r="D612" s="2">
        <v>41</v>
      </c>
      <c r="E612" s="3">
        <v>73196</v>
      </c>
      <c r="F612" s="2" t="s">
        <v>17</v>
      </c>
      <c r="G612" s="2" t="s">
        <v>29</v>
      </c>
    </row>
    <row r="613" spans="1:7">
      <c r="A613" s="2">
        <v>612</v>
      </c>
      <c r="B613" s="2" t="s">
        <v>94</v>
      </c>
      <c r="C613" s="2" t="s">
        <v>22</v>
      </c>
      <c r="D613" s="2">
        <v>45</v>
      </c>
      <c r="E613" s="3">
        <v>65906</v>
      </c>
      <c r="F613" s="2" t="s">
        <v>32</v>
      </c>
      <c r="G613" s="2" t="s">
        <v>23</v>
      </c>
    </row>
    <row r="614" spans="1:7">
      <c r="A614" s="2">
        <v>613</v>
      </c>
      <c r="B614" s="2" t="s">
        <v>91</v>
      </c>
      <c r="C614" s="2" t="s">
        <v>22</v>
      </c>
      <c r="D614" s="2">
        <v>1</v>
      </c>
      <c r="E614" s="3">
        <v>35450</v>
      </c>
      <c r="F614" s="2" t="s">
        <v>32</v>
      </c>
      <c r="G614" s="2" t="s">
        <v>18</v>
      </c>
    </row>
    <row r="615" spans="1:7">
      <c r="A615" s="2">
        <v>614</v>
      </c>
      <c r="B615" s="2" t="s">
        <v>33</v>
      </c>
      <c r="C615" s="2" t="s">
        <v>12</v>
      </c>
      <c r="D615" s="2">
        <v>22</v>
      </c>
      <c r="E615" s="3">
        <v>50789</v>
      </c>
      <c r="F615" s="2" t="s">
        <v>28</v>
      </c>
      <c r="G615" s="2" t="s">
        <v>26</v>
      </c>
    </row>
    <row r="616" spans="1:7">
      <c r="A616" s="2">
        <v>615</v>
      </c>
      <c r="B616" s="2" t="s">
        <v>39</v>
      </c>
      <c r="C616" s="2" t="s">
        <v>22</v>
      </c>
      <c r="D616" s="2">
        <v>1</v>
      </c>
      <c r="E616" s="3">
        <v>85804</v>
      </c>
      <c r="F616" s="2" t="s">
        <v>28</v>
      </c>
      <c r="G616" s="2" t="s">
        <v>26</v>
      </c>
    </row>
    <row r="617" spans="1:7">
      <c r="A617" s="2">
        <v>616</v>
      </c>
      <c r="B617" s="2" t="s">
        <v>35</v>
      </c>
      <c r="C617" s="2" t="s">
        <v>16</v>
      </c>
      <c r="D617" s="2">
        <v>49</v>
      </c>
      <c r="E617" s="3">
        <v>49006</v>
      </c>
      <c r="F617" s="2" t="s">
        <v>20</v>
      </c>
      <c r="G617" s="2" t="s">
        <v>29</v>
      </c>
    </row>
    <row r="618" spans="1:7">
      <c r="A618" s="2">
        <v>617</v>
      </c>
      <c r="B618" s="2" t="s">
        <v>82</v>
      </c>
      <c r="C618" s="2" t="s">
        <v>22</v>
      </c>
      <c r="D618" s="2">
        <v>43</v>
      </c>
      <c r="E618" s="3">
        <v>93489</v>
      </c>
      <c r="F618" s="2" t="s">
        <v>13</v>
      </c>
      <c r="G618" s="2" t="s">
        <v>18</v>
      </c>
    </row>
    <row r="619" spans="1:7">
      <c r="A619" s="2">
        <v>618</v>
      </c>
      <c r="B619" s="2" t="s">
        <v>93</v>
      </c>
      <c r="C619" s="2" t="s">
        <v>12</v>
      </c>
      <c r="D619" s="2">
        <v>25</v>
      </c>
      <c r="E619" s="3">
        <v>98934</v>
      </c>
      <c r="F619" s="2" t="s">
        <v>32</v>
      </c>
      <c r="G619" s="2" t="s">
        <v>23</v>
      </c>
    </row>
    <row r="620" spans="1:7">
      <c r="A620" s="2">
        <v>619</v>
      </c>
      <c r="B620" s="2" t="s">
        <v>63</v>
      </c>
      <c r="C620" s="2" t="s">
        <v>12</v>
      </c>
      <c r="D620" s="2">
        <v>48</v>
      </c>
      <c r="E620" s="3">
        <v>62581</v>
      </c>
      <c r="F620" s="2" t="s">
        <v>20</v>
      </c>
      <c r="G620" s="2" t="s">
        <v>14</v>
      </c>
    </row>
    <row r="621" spans="1:7">
      <c r="A621" s="2">
        <v>620</v>
      </c>
      <c r="B621" s="2" t="s">
        <v>89</v>
      </c>
      <c r="C621" s="2" t="s">
        <v>16</v>
      </c>
      <c r="D621" s="2">
        <v>47</v>
      </c>
      <c r="E621" s="3">
        <v>27103</v>
      </c>
      <c r="F621" s="2" t="s">
        <v>17</v>
      </c>
      <c r="G621" s="2" t="s">
        <v>26</v>
      </c>
    </row>
    <row r="622" spans="1:7">
      <c r="A622" s="2">
        <v>621</v>
      </c>
      <c r="B622" s="2" t="s">
        <v>51</v>
      </c>
      <c r="C622" s="2" t="s">
        <v>16</v>
      </c>
      <c r="D622" s="2">
        <v>20</v>
      </c>
      <c r="E622" s="3">
        <v>40433</v>
      </c>
      <c r="F622" s="2" t="s">
        <v>9</v>
      </c>
      <c r="G622" s="2" t="s">
        <v>14</v>
      </c>
    </row>
    <row r="623" spans="1:7">
      <c r="A623" s="2">
        <v>622</v>
      </c>
      <c r="B623" s="2" t="s">
        <v>74</v>
      </c>
      <c r="C623" s="2" t="s">
        <v>22</v>
      </c>
      <c r="D623" s="2">
        <v>7</v>
      </c>
      <c r="E623" s="3">
        <v>48810</v>
      </c>
      <c r="F623" s="2" t="s">
        <v>25</v>
      </c>
      <c r="G623" s="2" t="s">
        <v>14</v>
      </c>
    </row>
    <row r="624" spans="1:7">
      <c r="A624" s="2">
        <v>623</v>
      </c>
      <c r="B624" s="2" t="s">
        <v>68</v>
      </c>
      <c r="C624" s="2" t="s">
        <v>16</v>
      </c>
      <c r="D624" s="2">
        <v>14</v>
      </c>
      <c r="E624" s="3">
        <v>28815</v>
      </c>
      <c r="F624" s="2" t="s">
        <v>9</v>
      </c>
      <c r="G624" s="2" t="s">
        <v>14</v>
      </c>
    </row>
    <row r="625" spans="1:7">
      <c r="A625" s="2">
        <v>624</v>
      </c>
      <c r="B625" s="2" t="s">
        <v>56</v>
      </c>
      <c r="C625" s="2" t="s">
        <v>8</v>
      </c>
      <c r="D625" s="2">
        <v>34</v>
      </c>
      <c r="E625" s="3">
        <v>28127</v>
      </c>
      <c r="F625" s="2" t="s">
        <v>20</v>
      </c>
      <c r="G625" s="2" t="s">
        <v>10</v>
      </c>
    </row>
    <row r="626" spans="1:7">
      <c r="A626" s="2">
        <v>625</v>
      </c>
      <c r="B626" s="2" t="s">
        <v>24</v>
      </c>
      <c r="C626" s="2" t="s">
        <v>16</v>
      </c>
      <c r="D626" s="2">
        <v>16</v>
      </c>
      <c r="E626" s="3">
        <v>34188</v>
      </c>
      <c r="F626" s="2" t="s">
        <v>28</v>
      </c>
      <c r="G626" s="2" t="s">
        <v>14</v>
      </c>
    </row>
    <row r="627" spans="1:7">
      <c r="A627" s="2">
        <v>626</v>
      </c>
      <c r="B627" s="2" t="s">
        <v>36</v>
      </c>
      <c r="C627" s="2" t="s">
        <v>8</v>
      </c>
      <c r="D627" s="2">
        <v>27</v>
      </c>
      <c r="E627" s="3">
        <v>66580</v>
      </c>
      <c r="F627" s="2" t="s">
        <v>38</v>
      </c>
      <c r="G627" s="2" t="s">
        <v>23</v>
      </c>
    </row>
    <row r="628" spans="1:7">
      <c r="A628" s="2">
        <v>627</v>
      </c>
      <c r="B628" s="2" t="s">
        <v>44</v>
      </c>
      <c r="C628" s="2" t="s">
        <v>8</v>
      </c>
      <c r="D628" s="2">
        <v>32</v>
      </c>
      <c r="E628" s="3">
        <v>89391</v>
      </c>
      <c r="F628" s="2" t="s">
        <v>13</v>
      </c>
      <c r="G628" s="2" t="s">
        <v>14</v>
      </c>
    </row>
    <row r="629" spans="1:7">
      <c r="A629" s="2">
        <v>628</v>
      </c>
      <c r="B629" s="2" t="s">
        <v>79</v>
      </c>
      <c r="C629" s="2" t="s">
        <v>16</v>
      </c>
      <c r="D629" s="2">
        <v>4</v>
      </c>
      <c r="E629" s="3">
        <v>75598</v>
      </c>
      <c r="F629" s="2" t="s">
        <v>20</v>
      </c>
      <c r="G629" s="2" t="s">
        <v>26</v>
      </c>
    </row>
    <row r="630" spans="1:7">
      <c r="A630" s="2">
        <v>629</v>
      </c>
      <c r="B630" s="2" t="s">
        <v>77</v>
      </c>
      <c r="C630" s="2" t="s">
        <v>8</v>
      </c>
      <c r="D630" s="2">
        <v>10</v>
      </c>
      <c r="E630" s="3">
        <v>39512</v>
      </c>
      <c r="F630" s="2" t="s">
        <v>38</v>
      </c>
      <c r="G630" s="2" t="s">
        <v>10</v>
      </c>
    </row>
    <row r="631" spans="1:7">
      <c r="A631" s="2">
        <v>630</v>
      </c>
      <c r="B631" s="2" t="s">
        <v>19</v>
      </c>
      <c r="C631" s="2" t="s">
        <v>16</v>
      </c>
      <c r="D631" s="2">
        <v>46</v>
      </c>
      <c r="E631" s="3">
        <v>67858</v>
      </c>
      <c r="F631" s="2" t="s">
        <v>17</v>
      </c>
      <c r="G631" s="2" t="s">
        <v>18</v>
      </c>
    </row>
    <row r="632" spans="1:7">
      <c r="A632" s="2">
        <v>631</v>
      </c>
      <c r="B632" s="2" t="s">
        <v>88</v>
      </c>
      <c r="C632" s="2" t="s">
        <v>16</v>
      </c>
      <c r="D632" s="2">
        <v>18</v>
      </c>
      <c r="E632" s="3">
        <v>78673</v>
      </c>
      <c r="F632" s="2" t="s">
        <v>17</v>
      </c>
      <c r="G632" s="2" t="s">
        <v>29</v>
      </c>
    </row>
    <row r="633" spans="1:7">
      <c r="A633" s="2">
        <v>632</v>
      </c>
      <c r="B633" s="2" t="s">
        <v>67</v>
      </c>
      <c r="C633" s="2" t="s">
        <v>12</v>
      </c>
      <c r="D633" s="2">
        <v>6</v>
      </c>
      <c r="E633" s="3">
        <v>48734</v>
      </c>
      <c r="F633" s="2" t="s">
        <v>13</v>
      </c>
      <c r="G633" s="2" t="s">
        <v>26</v>
      </c>
    </row>
    <row r="634" spans="1:7">
      <c r="A634" s="2">
        <v>633</v>
      </c>
      <c r="B634" s="2" t="s">
        <v>69</v>
      </c>
      <c r="C634" s="2" t="s">
        <v>8</v>
      </c>
      <c r="D634" s="2">
        <v>3</v>
      </c>
      <c r="E634" s="3">
        <v>66197</v>
      </c>
      <c r="F634" s="2" t="s">
        <v>13</v>
      </c>
      <c r="G634" s="2" t="s">
        <v>18</v>
      </c>
    </row>
    <row r="635" spans="1:7">
      <c r="A635" s="2">
        <v>634</v>
      </c>
      <c r="B635" s="2" t="s">
        <v>34</v>
      </c>
      <c r="C635" s="2" t="s">
        <v>8</v>
      </c>
      <c r="D635" s="2">
        <v>15</v>
      </c>
      <c r="E635" s="3">
        <v>67244</v>
      </c>
      <c r="F635" s="2" t="s">
        <v>20</v>
      </c>
      <c r="G635" s="2" t="s">
        <v>18</v>
      </c>
    </row>
    <row r="636" spans="1:7">
      <c r="A636" s="2">
        <v>635</v>
      </c>
      <c r="B636" s="2" t="s">
        <v>49</v>
      </c>
      <c r="C636" s="2" t="s">
        <v>22</v>
      </c>
      <c r="D636" s="2">
        <v>34</v>
      </c>
      <c r="E636" s="3">
        <v>63720</v>
      </c>
      <c r="F636" s="2" t="s">
        <v>32</v>
      </c>
      <c r="G636" s="2" t="s">
        <v>29</v>
      </c>
    </row>
    <row r="637" spans="1:7">
      <c r="A637" s="2">
        <v>636</v>
      </c>
      <c r="B637" s="2" t="s">
        <v>79</v>
      </c>
      <c r="C637" s="2" t="s">
        <v>16</v>
      </c>
      <c r="D637" s="2">
        <v>27</v>
      </c>
      <c r="E637" s="3">
        <v>87623</v>
      </c>
      <c r="F637" s="2" t="s">
        <v>38</v>
      </c>
      <c r="G637" s="2" t="s">
        <v>14</v>
      </c>
    </row>
    <row r="638" spans="1:7">
      <c r="A638" s="2">
        <v>637</v>
      </c>
      <c r="B638" s="2" t="s">
        <v>55</v>
      </c>
      <c r="C638" s="2" t="s">
        <v>12</v>
      </c>
      <c r="D638" s="2">
        <v>45</v>
      </c>
      <c r="E638" s="3">
        <v>55787</v>
      </c>
      <c r="F638" s="2" t="s">
        <v>13</v>
      </c>
      <c r="G638" s="2" t="s">
        <v>14</v>
      </c>
    </row>
    <row r="639" spans="1:7">
      <c r="A639" s="2">
        <v>638</v>
      </c>
      <c r="B639" s="2" t="s">
        <v>27</v>
      </c>
      <c r="C639" s="2" t="s">
        <v>12</v>
      </c>
      <c r="D639" s="2">
        <v>24</v>
      </c>
      <c r="E639" s="3">
        <v>28290</v>
      </c>
      <c r="F639" s="2" t="s">
        <v>38</v>
      </c>
      <c r="G639" s="2" t="s">
        <v>23</v>
      </c>
    </row>
    <row r="640" spans="1:7">
      <c r="A640" s="2">
        <v>639</v>
      </c>
      <c r="B640" s="2" t="s">
        <v>88</v>
      </c>
      <c r="C640" s="2" t="s">
        <v>22</v>
      </c>
      <c r="D640" s="2">
        <v>30</v>
      </c>
      <c r="E640" s="3">
        <v>30532</v>
      </c>
      <c r="F640" s="2" t="s">
        <v>28</v>
      </c>
      <c r="G640" s="2" t="s">
        <v>14</v>
      </c>
    </row>
    <row r="641" spans="1:7">
      <c r="A641" s="2">
        <v>640</v>
      </c>
      <c r="B641" s="2" t="s">
        <v>36</v>
      </c>
      <c r="C641" s="2" t="s">
        <v>8</v>
      </c>
      <c r="D641" s="2">
        <v>48</v>
      </c>
      <c r="E641" s="3">
        <v>89417</v>
      </c>
      <c r="F641" s="2" t="s">
        <v>38</v>
      </c>
      <c r="G641" s="2" t="s">
        <v>14</v>
      </c>
    </row>
    <row r="642" spans="1:7">
      <c r="A642" s="2">
        <v>641</v>
      </c>
      <c r="B642" s="2" t="s">
        <v>75</v>
      </c>
      <c r="C642" s="2" t="s">
        <v>12</v>
      </c>
      <c r="D642" s="2">
        <v>6</v>
      </c>
      <c r="E642" s="3">
        <v>57366</v>
      </c>
      <c r="F642" s="2" t="s">
        <v>17</v>
      </c>
      <c r="G642" s="2" t="s">
        <v>23</v>
      </c>
    </row>
    <row r="643" spans="1:7">
      <c r="A643" s="2">
        <v>642</v>
      </c>
      <c r="B643" s="2" t="s">
        <v>11</v>
      </c>
      <c r="C643" s="2" t="s">
        <v>8</v>
      </c>
      <c r="D643" s="2">
        <v>38</v>
      </c>
      <c r="E643" s="3">
        <v>36870</v>
      </c>
      <c r="F643" s="2" t="s">
        <v>25</v>
      </c>
      <c r="G643" s="2" t="s">
        <v>26</v>
      </c>
    </row>
    <row r="644" spans="1:7">
      <c r="A644" s="2">
        <v>643</v>
      </c>
      <c r="B644" s="2" t="s">
        <v>69</v>
      </c>
      <c r="C644" s="2" t="s">
        <v>12</v>
      </c>
      <c r="D644" s="2">
        <v>7</v>
      </c>
      <c r="E644" s="3">
        <v>28210</v>
      </c>
      <c r="F644" s="2" t="s">
        <v>17</v>
      </c>
      <c r="G644" s="2" t="s">
        <v>29</v>
      </c>
    </row>
    <row r="645" spans="1:7">
      <c r="A645" s="2">
        <v>644</v>
      </c>
      <c r="B645" s="2" t="s">
        <v>80</v>
      </c>
      <c r="C645" s="2" t="s">
        <v>12</v>
      </c>
      <c r="D645" s="2">
        <v>33</v>
      </c>
      <c r="E645" s="3">
        <v>44620</v>
      </c>
      <c r="F645" s="2" t="s">
        <v>32</v>
      </c>
      <c r="G645" s="2" t="s">
        <v>23</v>
      </c>
    </row>
    <row r="646" spans="1:7">
      <c r="A646" s="2">
        <v>645</v>
      </c>
      <c r="B646" s="2" t="s">
        <v>58</v>
      </c>
      <c r="C646" s="2" t="s">
        <v>16</v>
      </c>
      <c r="D646" s="2">
        <v>9</v>
      </c>
      <c r="E646" s="3">
        <v>71210</v>
      </c>
      <c r="F646" s="2" t="s">
        <v>25</v>
      </c>
      <c r="G646" s="2" t="s">
        <v>26</v>
      </c>
    </row>
    <row r="647" spans="1:7">
      <c r="A647" s="2">
        <v>646</v>
      </c>
      <c r="B647" s="2" t="s">
        <v>36</v>
      </c>
      <c r="C647" s="2" t="s">
        <v>8</v>
      </c>
      <c r="D647" s="2">
        <v>41</v>
      </c>
      <c r="E647" s="3">
        <v>70822</v>
      </c>
      <c r="F647" s="2" t="s">
        <v>38</v>
      </c>
      <c r="G647" s="2" t="s">
        <v>14</v>
      </c>
    </row>
    <row r="648" spans="1:7">
      <c r="A648" s="2">
        <v>647</v>
      </c>
      <c r="B648" s="2" t="s">
        <v>35</v>
      </c>
      <c r="C648" s="2" t="s">
        <v>12</v>
      </c>
      <c r="D648" s="2">
        <v>26</v>
      </c>
      <c r="E648" s="3">
        <v>81009</v>
      </c>
      <c r="F648" s="2" t="s">
        <v>13</v>
      </c>
      <c r="G648" s="2" t="s">
        <v>26</v>
      </c>
    </row>
    <row r="649" spans="1:7">
      <c r="A649" s="2">
        <v>648</v>
      </c>
      <c r="B649" s="2" t="s">
        <v>80</v>
      </c>
      <c r="C649" s="2" t="s">
        <v>16</v>
      </c>
      <c r="D649" s="2">
        <v>5</v>
      </c>
      <c r="E649" s="3">
        <v>55078</v>
      </c>
      <c r="F649" s="2" t="s">
        <v>9</v>
      </c>
      <c r="G649" s="2" t="s">
        <v>14</v>
      </c>
    </row>
    <row r="650" spans="1:7">
      <c r="A650" s="2">
        <v>649</v>
      </c>
      <c r="B650" s="2" t="s">
        <v>80</v>
      </c>
      <c r="C650" s="2" t="s">
        <v>12</v>
      </c>
      <c r="D650" s="2">
        <v>38</v>
      </c>
      <c r="E650" s="3">
        <v>96112</v>
      </c>
      <c r="F650" s="2" t="s">
        <v>20</v>
      </c>
      <c r="G650" s="2" t="s">
        <v>14</v>
      </c>
    </row>
    <row r="651" spans="1:7">
      <c r="A651" s="2">
        <v>650</v>
      </c>
      <c r="B651" s="2" t="s">
        <v>45</v>
      </c>
      <c r="C651" s="2" t="s">
        <v>16</v>
      </c>
      <c r="D651" s="2">
        <v>37</v>
      </c>
      <c r="E651" s="3">
        <v>29584</v>
      </c>
      <c r="F651" s="2" t="s">
        <v>32</v>
      </c>
      <c r="G651" s="2" t="s">
        <v>23</v>
      </c>
    </row>
    <row r="652" spans="1:7">
      <c r="A652" s="2">
        <v>651</v>
      </c>
      <c r="B652" s="2" t="s">
        <v>90</v>
      </c>
      <c r="C652" s="2" t="s">
        <v>16</v>
      </c>
      <c r="D652" s="2">
        <v>4</v>
      </c>
      <c r="E652" s="3">
        <v>91573</v>
      </c>
      <c r="F652" s="2" t="s">
        <v>13</v>
      </c>
      <c r="G652" s="2" t="s">
        <v>29</v>
      </c>
    </row>
    <row r="653" spans="1:7">
      <c r="A653" s="2">
        <v>652</v>
      </c>
      <c r="B653" s="2" t="s">
        <v>91</v>
      </c>
      <c r="C653" s="2" t="s">
        <v>8</v>
      </c>
      <c r="D653" s="2">
        <v>28</v>
      </c>
      <c r="E653" s="3">
        <v>82713</v>
      </c>
      <c r="F653" s="2" t="s">
        <v>28</v>
      </c>
      <c r="G653" s="2" t="s">
        <v>10</v>
      </c>
    </row>
    <row r="654" spans="1:7">
      <c r="A654" s="2">
        <v>653</v>
      </c>
      <c r="B654" s="2" t="s">
        <v>19</v>
      </c>
      <c r="C654" s="2" t="s">
        <v>16</v>
      </c>
      <c r="D654" s="2">
        <v>43</v>
      </c>
      <c r="E654" s="3">
        <v>81762</v>
      </c>
      <c r="F654" s="2" t="s">
        <v>13</v>
      </c>
      <c r="G654" s="2" t="s">
        <v>26</v>
      </c>
    </row>
    <row r="655" spans="1:7">
      <c r="A655" s="2">
        <v>654</v>
      </c>
      <c r="B655" s="2" t="s">
        <v>91</v>
      </c>
      <c r="C655" s="2" t="s">
        <v>12</v>
      </c>
      <c r="D655" s="2">
        <v>9</v>
      </c>
      <c r="E655" s="3">
        <v>74063</v>
      </c>
      <c r="F655" s="2" t="s">
        <v>25</v>
      </c>
      <c r="G655" s="2" t="s">
        <v>26</v>
      </c>
    </row>
    <row r="656" spans="1:7">
      <c r="A656" s="2">
        <v>655</v>
      </c>
      <c r="B656" s="2" t="s">
        <v>73</v>
      </c>
      <c r="C656" s="2" t="s">
        <v>22</v>
      </c>
      <c r="D656" s="2">
        <v>16</v>
      </c>
      <c r="E656" s="3">
        <v>74589</v>
      </c>
      <c r="F656" s="2" t="s">
        <v>25</v>
      </c>
      <c r="G656" s="2" t="s">
        <v>23</v>
      </c>
    </row>
    <row r="657" spans="1:7">
      <c r="A657" s="2">
        <v>656</v>
      </c>
      <c r="B657" s="2" t="s">
        <v>7</v>
      </c>
      <c r="C657" s="2" t="s">
        <v>12</v>
      </c>
      <c r="D657" s="2">
        <v>19</v>
      </c>
      <c r="E657" s="3">
        <v>55769</v>
      </c>
      <c r="F657" s="2" t="s">
        <v>17</v>
      </c>
      <c r="G657" s="2" t="s">
        <v>29</v>
      </c>
    </row>
    <row r="658" spans="1:7">
      <c r="A658" s="2">
        <v>657</v>
      </c>
      <c r="B658" s="2" t="s">
        <v>90</v>
      </c>
      <c r="C658" s="2" t="s">
        <v>12</v>
      </c>
      <c r="D658" s="2">
        <v>17</v>
      </c>
      <c r="E658" s="3">
        <v>69770</v>
      </c>
      <c r="F658" s="2" t="s">
        <v>20</v>
      </c>
      <c r="G658" s="2" t="s">
        <v>14</v>
      </c>
    </row>
    <row r="659" spans="1:7">
      <c r="A659" s="2">
        <v>658</v>
      </c>
      <c r="B659" s="2" t="s">
        <v>37</v>
      </c>
      <c r="C659" s="2" t="s">
        <v>16</v>
      </c>
      <c r="D659" s="2">
        <v>21</v>
      </c>
      <c r="E659" s="3">
        <v>91477</v>
      </c>
      <c r="F659" s="2" t="s">
        <v>9</v>
      </c>
      <c r="G659" s="2" t="s">
        <v>26</v>
      </c>
    </row>
    <row r="660" spans="1:7">
      <c r="A660" s="2">
        <v>659</v>
      </c>
      <c r="B660" s="2" t="s">
        <v>94</v>
      </c>
      <c r="C660" s="2" t="s">
        <v>12</v>
      </c>
      <c r="D660" s="2">
        <v>26</v>
      </c>
      <c r="E660" s="3">
        <v>27338</v>
      </c>
      <c r="F660" s="2" t="s">
        <v>38</v>
      </c>
      <c r="G660" s="2" t="s">
        <v>29</v>
      </c>
    </row>
    <row r="661" spans="1:7">
      <c r="A661" s="2">
        <v>660</v>
      </c>
      <c r="B661" s="2" t="s">
        <v>49</v>
      </c>
      <c r="C661" s="2" t="s">
        <v>16</v>
      </c>
      <c r="D661" s="2">
        <v>45</v>
      </c>
      <c r="E661" s="3">
        <v>42992</v>
      </c>
      <c r="F661" s="2" t="s">
        <v>13</v>
      </c>
      <c r="G661" s="2" t="s">
        <v>18</v>
      </c>
    </row>
    <row r="662" spans="1:7">
      <c r="A662" s="2">
        <v>661</v>
      </c>
      <c r="B662" s="2" t="s">
        <v>48</v>
      </c>
      <c r="C662" s="2" t="s">
        <v>8</v>
      </c>
      <c r="D662" s="2">
        <v>48</v>
      </c>
      <c r="E662" s="3">
        <v>33633</v>
      </c>
      <c r="F662" s="2" t="s">
        <v>28</v>
      </c>
      <c r="G662" s="2" t="s">
        <v>18</v>
      </c>
    </row>
    <row r="663" spans="1:7">
      <c r="A663" s="2">
        <v>662</v>
      </c>
      <c r="B663" s="2" t="s">
        <v>72</v>
      </c>
      <c r="C663" s="2" t="s">
        <v>16</v>
      </c>
      <c r="D663" s="2">
        <v>21</v>
      </c>
      <c r="E663" s="3">
        <v>68092</v>
      </c>
      <c r="F663" s="2" t="s">
        <v>20</v>
      </c>
      <c r="G663" s="2" t="s">
        <v>10</v>
      </c>
    </row>
    <row r="664" spans="1:7">
      <c r="A664" s="2">
        <v>663</v>
      </c>
      <c r="B664" s="2" t="s">
        <v>71</v>
      </c>
      <c r="C664" s="2" t="s">
        <v>8</v>
      </c>
      <c r="D664" s="2">
        <v>21</v>
      </c>
      <c r="E664" s="3">
        <v>82789</v>
      </c>
      <c r="F664" s="2" t="s">
        <v>13</v>
      </c>
      <c r="G664" s="2" t="s">
        <v>26</v>
      </c>
    </row>
    <row r="665" spans="1:7">
      <c r="A665" s="2">
        <v>664</v>
      </c>
      <c r="B665" s="2" t="s">
        <v>33</v>
      </c>
      <c r="C665" s="2" t="s">
        <v>22</v>
      </c>
      <c r="D665" s="2">
        <v>29</v>
      </c>
      <c r="E665" s="3">
        <v>85688</v>
      </c>
      <c r="F665" s="2" t="s">
        <v>13</v>
      </c>
      <c r="G665" s="2" t="s">
        <v>14</v>
      </c>
    </row>
    <row r="666" spans="1:7">
      <c r="A666" s="2">
        <v>665</v>
      </c>
      <c r="B666" s="2" t="s">
        <v>58</v>
      </c>
      <c r="C666" s="2" t="s">
        <v>12</v>
      </c>
      <c r="D666" s="2">
        <v>18</v>
      </c>
      <c r="E666" s="3">
        <v>32943</v>
      </c>
      <c r="F666" s="2" t="s">
        <v>25</v>
      </c>
      <c r="G666" s="2" t="s">
        <v>26</v>
      </c>
    </row>
    <row r="667" spans="1:7">
      <c r="A667" s="2">
        <v>666</v>
      </c>
      <c r="B667" s="2" t="s">
        <v>68</v>
      </c>
      <c r="C667" s="2" t="s">
        <v>8</v>
      </c>
      <c r="D667" s="2">
        <v>15</v>
      </c>
      <c r="E667" s="3">
        <v>49207</v>
      </c>
      <c r="F667" s="2" t="s">
        <v>25</v>
      </c>
      <c r="G667" s="2" t="s">
        <v>10</v>
      </c>
    </row>
    <row r="668" spans="1:7">
      <c r="A668" s="2">
        <v>667</v>
      </c>
      <c r="B668" s="2" t="s">
        <v>70</v>
      </c>
      <c r="C668" s="2" t="s">
        <v>22</v>
      </c>
      <c r="D668" s="2">
        <v>5</v>
      </c>
      <c r="E668" s="3">
        <v>99210</v>
      </c>
      <c r="F668" s="2" t="s">
        <v>9</v>
      </c>
      <c r="G668" s="2" t="s">
        <v>18</v>
      </c>
    </row>
    <row r="669" spans="1:7">
      <c r="A669" s="2">
        <v>668</v>
      </c>
      <c r="B669" s="2" t="s">
        <v>27</v>
      </c>
      <c r="C669" s="2" t="s">
        <v>16</v>
      </c>
      <c r="D669" s="2">
        <v>13</v>
      </c>
      <c r="E669" s="3">
        <v>72120</v>
      </c>
      <c r="F669" s="2" t="s">
        <v>32</v>
      </c>
      <c r="G669" s="2" t="s">
        <v>10</v>
      </c>
    </row>
    <row r="670" spans="1:7">
      <c r="A670" s="2">
        <v>669</v>
      </c>
      <c r="B670" s="2" t="s">
        <v>33</v>
      </c>
      <c r="C670" s="2" t="s">
        <v>22</v>
      </c>
      <c r="D670" s="2">
        <v>9</v>
      </c>
      <c r="E670" s="3">
        <v>93989</v>
      </c>
      <c r="F670" s="2" t="s">
        <v>9</v>
      </c>
      <c r="G670" s="2" t="s">
        <v>26</v>
      </c>
    </row>
    <row r="671" spans="1:7">
      <c r="A671" s="2">
        <v>670</v>
      </c>
      <c r="B671" s="2" t="s">
        <v>35</v>
      </c>
      <c r="C671" s="2" t="s">
        <v>8</v>
      </c>
      <c r="D671" s="2">
        <v>50</v>
      </c>
      <c r="E671" s="3">
        <v>54864</v>
      </c>
      <c r="F671" s="2" t="s">
        <v>13</v>
      </c>
      <c r="G671" s="2" t="s">
        <v>26</v>
      </c>
    </row>
    <row r="672" spans="1:7">
      <c r="A672" s="2">
        <v>671</v>
      </c>
      <c r="B672" s="2" t="s">
        <v>70</v>
      </c>
      <c r="C672" s="2" t="s">
        <v>12</v>
      </c>
      <c r="D672" s="2">
        <v>50</v>
      </c>
      <c r="E672" s="3">
        <v>76992</v>
      </c>
      <c r="F672" s="2" t="s">
        <v>32</v>
      </c>
      <c r="G672" s="2" t="s">
        <v>18</v>
      </c>
    </row>
    <row r="673" spans="1:7">
      <c r="A673" s="2">
        <v>672</v>
      </c>
      <c r="B673" s="2" t="s">
        <v>54</v>
      </c>
      <c r="C673" s="2" t="s">
        <v>22</v>
      </c>
      <c r="D673" s="2">
        <v>38</v>
      </c>
      <c r="E673" s="3">
        <v>39073</v>
      </c>
      <c r="F673" s="2" t="s">
        <v>32</v>
      </c>
      <c r="G673" s="2" t="s">
        <v>18</v>
      </c>
    </row>
    <row r="674" spans="1:7">
      <c r="A674" s="2">
        <v>673</v>
      </c>
      <c r="B674" s="2" t="s">
        <v>74</v>
      </c>
      <c r="C674" s="2" t="s">
        <v>22</v>
      </c>
      <c r="D674" s="2">
        <v>7</v>
      </c>
      <c r="E674" s="3">
        <v>41348</v>
      </c>
      <c r="F674" s="2" t="s">
        <v>32</v>
      </c>
      <c r="G674" s="2" t="s">
        <v>29</v>
      </c>
    </row>
    <row r="675" spans="1:7">
      <c r="A675" s="2">
        <v>674</v>
      </c>
      <c r="B675" s="2" t="s">
        <v>47</v>
      </c>
      <c r="C675" s="2" t="s">
        <v>16</v>
      </c>
      <c r="D675" s="2">
        <v>10</v>
      </c>
      <c r="E675" s="3">
        <v>51867</v>
      </c>
      <c r="F675" s="2" t="s">
        <v>20</v>
      </c>
      <c r="G675" s="2" t="s">
        <v>14</v>
      </c>
    </row>
    <row r="676" spans="1:7">
      <c r="A676" s="2">
        <v>675</v>
      </c>
      <c r="B676" s="2" t="s">
        <v>37</v>
      </c>
      <c r="C676" s="2" t="s">
        <v>16</v>
      </c>
      <c r="D676" s="2">
        <v>7</v>
      </c>
      <c r="E676" s="3">
        <v>43988</v>
      </c>
      <c r="F676" s="2" t="s">
        <v>28</v>
      </c>
      <c r="G676" s="2" t="s">
        <v>18</v>
      </c>
    </row>
    <row r="677" spans="1:7">
      <c r="A677" s="2">
        <v>676</v>
      </c>
      <c r="B677" s="2" t="s">
        <v>65</v>
      </c>
      <c r="C677" s="2" t="s">
        <v>12</v>
      </c>
      <c r="D677" s="2">
        <v>11</v>
      </c>
      <c r="E677" s="3">
        <v>57380</v>
      </c>
      <c r="F677" s="2" t="s">
        <v>13</v>
      </c>
      <c r="G677" s="2" t="s">
        <v>14</v>
      </c>
    </row>
    <row r="678" spans="1:7">
      <c r="A678" s="2">
        <v>677</v>
      </c>
      <c r="B678" s="2" t="s">
        <v>71</v>
      </c>
      <c r="C678" s="2" t="s">
        <v>16</v>
      </c>
      <c r="D678" s="2">
        <v>29</v>
      </c>
      <c r="E678" s="3">
        <v>57829</v>
      </c>
      <c r="F678" s="2" t="s">
        <v>17</v>
      </c>
      <c r="G678" s="2" t="s">
        <v>10</v>
      </c>
    </row>
    <row r="679" spans="1:7">
      <c r="A679" s="2">
        <v>678</v>
      </c>
      <c r="B679" s="2" t="s">
        <v>19</v>
      </c>
      <c r="C679" s="2" t="s">
        <v>8</v>
      </c>
      <c r="D679" s="2">
        <v>30</v>
      </c>
      <c r="E679" s="3">
        <v>43265</v>
      </c>
      <c r="F679" s="2" t="s">
        <v>20</v>
      </c>
      <c r="G679" s="2" t="s">
        <v>10</v>
      </c>
    </row>
    <row r="680" spans="1:7">
      <c r="A680" s="2">
        <v>679</v>
      </c>
      <c r="B680" s="2" t="s">
        <v>27</v>
      </c>
      <c r="C680" s="2" t="s">
        <v>8</v>
      </c>
      <c r="D680" s="2">
        <v>21</v>
      </c>
      <c r="E680" s="3">
        <v>29018</v>
      </c>
      <c r="F680" s="2" t="s">
        <v>20</v>
      </c>
      <c r="G680" s="2" t="s">
        <v>18</v>
      </c>
    </row>
    <row r="681" spans="1:7">
      <c r="A681" s="2">
        <v>680</v>
      </c>
      <c r="B681" s="2" t="s">
        <v>49</v>
      </c>
      <c r="C681" s="2" t="s">
        <v>22</v>
      </c>
      <c r="D681" s="2">
        <v>27</v>
      </c>
      <c r="E681" s="3">
        <v>98816</v>
      </c>
      <c r="F681" s="2" t="s">
        <v>13</v>
      </c>
      <c r="G681" s="2" t="s">
        <v>14</v>
      </c>
    </row>
    <row r="682" spans="1:7">
      <c r="A682" s="2">
        <v>681</v>
      </c>
      <c r="B682" s="2" t="s">
        <v>71</v>
      </c>
      <c r="C682" s="2" t="s">
        <v>16</v>
      </c>
      <c r="D682" s="2">
        <v>8</v>
      </c>
      <c r="E682" s="3">
        <v>80290</v>
      </c>
      <c r="F682" s="2" t="s">
        <v>13</v>
      </c>
      <c r="G682" s="2" t="s">
        <v>18</v>
      </c>
    </row>
    <row r="683" spans="1:7">
      <c r="A683" s="2">
        <v>682</v>
      </c>
      <c r="B683" s="2" t="s">
        <v>65</v>
      </c>
      <c r="C683" s="2" t="s">
        <v>16</v>
      </c>
      <c r="D683" s="2">
        <v>35</v>
      </c>
      <c r="E683" s="3">
        <v>58306</v>
      </c>
      <c r="F683" s="2" t="s">
        <v>17</v>
      </c>
      <c r="G683" s="2" t="s">
        <v>18</v>
      </c>
    </row>
    <row r="684" spans="1:7">
      <c r="A684" s="2">
        <v>683</v>
      </c>
      <c r="B684" s="2" t="s">
        <v>71</v>
      </c>
      <c r="C684" s="2" t="s">
        <v>22</v>
      </c>
      <c r="D684" s="2">
        <v>23</v>
      </c>
      <c r="E684" s="3">
        <v>55615</v>
      </c>
      <c r="F684" s="2" t="s">
        <v>17</v>
      </c>
      <c r="G684" s="2" t="s">
        <v>29</v>
      </c>
    </row>
    <row r="685" spans="1:7">
      <c r="A685" s="2">
        <v>684</v>
      </c>
      <c r="B685" s="2" t="s">
        <v>85</v>
      </c>
      <c r="C685" s="2" t="s">
        <v>12</v>
      </c>
      <c r="D685" s="2">
        <v>50</v>
      </c>
      <c r="E685" s="3">
        <v>62013</v>
      </c>
      <c r="F685" s="2" t="s">
        <v>32</v>
      </c>
      <c r="G685" s="2" t="s">
        <v>10</v>
      </c>
    </row>
    <row r="686" spans="1:7">
      <c r="A686" s="2">
        <v>685</v>
      </c>
      <c r="B686" s="2" t="s">
        <v>53</v>
      </c>
      <c r="C686" s="2" t="s">
        <v>16</v>
      </c>
      <c r="D686" s="2">
        <v>14</v>
      </c>
      <c r="E686" s="3">
        <v>67872</v>
      </c>
      <c r="F686" s="2" t="s">
        <v>17</v>
      </c>
      <c r="G686" s="2" t="s">
        <v>14</v>
      </c>
    </row>
    <row r="687" spans="1:7">
      <c r="A687" s="2">
        <v>686</v>
      </c>
      <c r="B687" s="2" t="s">
        <v>61</v>
      </c>
      <c r="C687" s="2" t="s">
        <v>16</v>
      </c>
      <c r="D687" s="2">
        <v>29</v>
      </c>
      <c r="E687" s="3">
        <v>40096</v>
      </c>
      <c r="F687" s="2" t="s">
        <v>17</v>
      </c>
      <c r="G687" s="2" t="s">
        <v>10</v>
      </c>
    </row>
    <row r="688" spans="1:7">
      <c r="A688" s="2">
        <v>687</v>
      </c>
      <c r="B688" s="2" t="s">
        <v>59</v>
      </c>
      <c r="C688" s="2" t="s">
        <v>12</v>
      </c>
      <c r="D688" s="2">
        <v>20</v>
      </c>
      <c r="E688" s="3">
        <v>27708</v>
      </c>
      <c r="F688" s="2" t="s">
        <v>38</v>
      </c>
      <c r="G688" s="2" t="s">
        <v>29</v>
      </c>
    </row>
    <row r="689" spans="1:7">
      <c r="A689" s="2">
        <v>688</v>
      </c>
      <c r="B689" s="2" t="s">
        <v>48</v>
      </c>
      <c r="C689" s="2" t="s">
        <v>16</v>
      </c>
      <c r="D689" s="2">
        <v>30</v>
      </c>
      <c r="E689" s="3">
        <v>87283</v>
      </c>
      <c r="F689" s="2" t="s">
        <v>28</v>
      </c>
      <c r="G689" s="2" t="s">
        <v>23</v>
      </c>
    </row>
    <row r="690" spans="1:7">
      <c r="A690" s="2">
        <v>689</v>
      </c>
      <c r="B690" s="2" t="s">
        <v>60</v>
      </c>
      <c r="C690" s="2" t="s">
        <v>8</v>
      </c>
      <c r="D690" s="2">
        <v>17</v>
      </c>
      <c r="E690" s="3">
        <v>54764</v>
      </c>
      <c r="F690" s="2" t="s">
        <v>25</v>
      </c>
      <c r="G690" s="2" t="s">
        <v>10</v>
      </c>
    </row>
    <row r="691" spans="1:7">
      <c r="A691" s="2">
        <v>690</v>
      </c>
      <c r="B691" s="2" t="s">
        <v>30</v>
      </c>
      <c r="C691" s="2" t="s">
        <v>8</v>
      </c>
      <c r="D691" s="2">
        <v>8</v>
      </c>
      <c r="E691" s="3">
        <v>26048</v>
      </c>
      <c r="F691" s="2" t="s">
        <v>17</v>
      </c>
      <c r="G691" s="2" t="s">
        <v>29</v>
      </c>
    </row>
    <row r="692" spans="1:7">
      <c r="A692" s="2">
        <v>691</v>
      </c>
      <c r="B692" s="2" t="s">
        <v>52</v>
      </c>
      <c r="C692" s="2" t="s">
        <v>12</v>
      </c>
      <c r="D692" s="2">
        <v>6</v>
      </c>
      <c r="E692" s="3">
        <v>61933</v>
      </c>
      <c r="F692" s="2" t="s">
        <v>9</v>
      </c>
      <c r="G692" s="2" t="s">
        <v>26</v>
      </c>
    </row>
    <row r="693" spans="1:7">
      <c r="A693" s="2">
        <v>692</v>
      </c>
      <c r="B693" s="2" t="s">
        <v>11</v>
      </c>
      <c r="C693" s="2" t="s">
        <v>12</v>
      </c>
      <c r="D693" s="2">
        <v>11</v>
      </c>
      <c r="E693" s="3">
        <v>94774</v>
      </c>
      <c r="F693" s="2" t="s">
        <v>25</v>
      </c>
      <c r="G693" s="2" t="s">
        <v>10</v>
      </c>
    </row>
    <row r="694" spans="1:7">
      <c r="A694" s="2">
        <v>693</v>
      </c>
      <c r="B694" s="2" t="s">
        <v>34</v>
      </c>
      <c r="C694" s="2" t="s">
        <v>8</v>
      </c>
      <c r="D694" s="2">
        <v>44</v>
      </c>
      <c r="E694" s="3">
        <v>68674</v>
      </c>
      <c r="F694" s="2" t="s">
        <v>9</v>
      </c>
      <c r="G694" s="2" t="s">
        <v>14</v>
      </c>
    </row>
    <row r="695" spans="1:7">
      <c r="A695" s="2">
        <v>694</v>
      </c>
      <c r="B695" s="2" t="s">
        <v>84</v>
      </c>
      <c r="C695" s="2" t="s">
        <v>8</v>
      </c>
      <c r="D695" s="2">
        <v>20</v>
      </c>
      <c r="E695" s="3">
        <v>67227</v>
      </c>
      <c r="F695" s="2" t="s">
        <v>38</v>
      </c>
      <c r="G695" s="2" t="s">
        <v>29</v>
      </c>
    </row>
    <row r="696" spans="1:7">
      <c r="A696" s="2">
        <v>695</v>
      </c>
      <c r="B696" s="2" t="s">
        <v>65</v>
      </c>
      <c r="C696" s="2" t="s">
        <v>8</v>
      </c>
      <c r="D696" s="2">
        <v>46</v>
      </c>
      <c r="E696" s="3">
        <v>68037</v>
      </c>
      <c r="F696" s="2" t="s">
        <v>32</v>
      </c>
      <c r="G696" s="2" t="s">
        <v>23</v>
      </c>
    </row>
    <row r="697" spans="1:7">
      <c r="A697" s="2">
        <v>696</v>
      </c>
      <c r="B697" s="2" t="s">
        <v>34</v>
      </c>
      <c r="C697" s="2" t="s">
        <v>8</v>
      </c>
      <c r="D697" s="2">
        <v>45</v>
      </c>
      <c r="E697" s="3">
        <v>58113</v>
      </c>
      <c r="F697" s="2" t="s">
        <v>32</v>
      </c>
      <c r="G697" s="2" t="s">
        <v>10</v>
      </c>
    </row>
    <row r="698" spans="1:7">
      <c r="A698" s="2">
        <v>697</v>
      </c>
      <c r="B698" s="2" t="s">
        <v>67</v>
      </c>
      <c r="C698" s="2" t="s">
        <v>12</v>
      </c>
      <c r="D698" s="2">
        <v>39</v>
      </c>
      <c r="E698" s="3">
        <v>40966</v>
      </c>
      <c r="F698" s="2" t="s">
        <v>17</v>
      </c>
      <c r="G698" s="2" t="s">
        <v>29</v>
      </c>
    </row>
    <row r="699" spans="1:7">
      <c r="A699" s="2">
        <v>698</v>
      </c>
      <c r="B699" s="2" t="s">
        <v>84</v>
      </c>
      <c r="C699" s="2" t="s">
        <v>12</v>
      </c>
      <c r="D699" s="2">
        <v>3</v>
      </c>
      <c r="E699" s="3">
        <v>36899</v>
      </c>
      <c r="F699" s="2" t="s">
        <v>25</v>
      </c>
      <c r="G699" s="2" t="s">
        <v>23</v>
      </c>
    </row>
    <row r="700" spans="1:7">
      <c r="A700" s="2">
        <v>699</v>
      </c>
      <c r="B700" s="2" t="s">
        <v>91</v>
      </c>
      <c r="C700" s="2" t="s">
        <v>22</v>
      </c>
      <c r="D700" s="2">
        <v>14</v>
      </c>
      <c r="E700" s="3">
        <v>71117</v>
      </c>
      <c r="F700" s="2" t="s">
        <v>20</v>
      </c>
      <c r="G700" s="2" t="s">
        <v>26</v>
      </c>
    </row>
    <row r="701" spans="1:7">
      <c r="A701" s="2">
        <v>700</v>
      </c>
      <c r="B701" s="2" t="s">
        <v>47</v>
      </c>
      <c r="C701" s="2" t="s">
        <v>12</v>
      </c>
      <c r="D701" s="2">
        <v>21</v>
      </c>
      <c r="E701" s="3">
        <v>46269</v>
      </c>
      <c r="F701" s="2" t="s">
        <v>20</v>
      </c>
      <c r="G701" s="2" t="s">
        <v>14</v>
      </c>
    </row>
    <row r="702" spans="1:7">
      <c r="A702" s="2">
        <v>701</v>
      </c>
      <c r="B702" s="2" t="s">
        <v>24</v>
      </c>
      <c r="C702" s="2" t="s">
        <v>8</v>
      </c>
      <c r="D702" s="2">
        <v>10</v>
      </c>
      <c r="E702" s="3">
        <v>33320</v>
      </c>
      <c r="F702" s="2" t="s">
        <v>38</v>
      </c>
      <c r="G702" s="2" t="s">
        <v>10</v>
      </c>
    </row>
    <row r="703" spans="1:7">
      <c r="A703" s="2">
        <v>702</v>
      </c>
      <c r="B703" s="2" t="s">
        <v>30</v>
      </c>
      <c r="C703" s="2" t="s">
        <v>16</v>
      </c>
      <c r="D703" s="2">
        <v>6</v>
      </c>
      <c r="E703" s="3">
        <v>64977</v>
      </c>
      <c r="F703" s="2" t="s">
        <v>32</v>
      </c>
      <c r="G703" s="2" t="s">
        <v>26</v>
      </c>
    </row>
    <row r="704" spans="1:7">
      <c r="A704" s="2">
        <v>703</v>
      </c>
      <c r="B704" s="2" t="s">
        <v>62</v>
      </c>
      <c r="C704" s="2" t="s">
        <v>8</v>
      </c>
      <c r="D704" s="2">
        <v>46</v>
      </c>
      <c r="E704" s="3">
        <v>33685</v>
      </c>
      <c r="F704" s="2" t="s">
        <v>25</v>
      </c>
      <c r="G704" s="2" t="s">
        <v>18</v>
      </c>
    </row>
    <row r="705" spans="1:7">
      <c r="A705" s="2">
        <v>704</v>
      </c>
      <c r="B705" s="2" t="s">
        <v>93</v>
      </c>
      <c r="C705" s="2" t="s">
        <v>8</v>
      </c>
      <c r="D705" s="2">
        <v>16</v>
      </c>
      <c r="E705" s="3">
        <v>47510</v>
      </c>
      <c r="F705" s="2" t="s">
        <v>28</v>
      </c>
      <c r="G705" s="2" t="s">
        <v>14</v>
      </c>
    </row>
    <row r="706" spans="1:7">
      <c r="A706" s="2">
        <v>705</v>
      </c>
      <c r="B706" s="2" t="s">
        <v>61</v>
      </c>
      <c r="C706" s="2" t="s">
        <v>12</v>
      </c>
      <c r="D706" s="2">
        <v>23</v>
      </c>
      <c r="E706" s="3">
        <v>60667</v>
      </c>
      <c r="F706" s="2" t="s">
        <v>38</v>
      </c>
      <c r="G706" s="2" t="s">
        <v>14</v>
      </c>
    </row>
    <row r="707" spans="1:7">
      <c r="A707" s="2">
        <v>706</v>
      </c>
      <c r="B707" s="2" t="s">
        <v>94</v>
      </c>
      <c r="C707" s="2" t="s">
        <v>22</v>
      </c>
      <c r="D707" s="2">
        <v>26</v>
      </c>
      <c r="E707" s="3">
        <v>25142</v>
      </c>
      <c r="F707" s="2" t="s">
        <v>17</v>
      </c>
      <c r="G707" s="2" t="s">
        <v>14</v>
      </c>
    </row>
    <row r="708" spans="1:7">
      <c r="A708" s="2">
        <v>707</v>
      </c>
      <c r="B708" s="2" t="s">
        <v>56</v>
      </c>
      <c r="C708" s="2" t="s">
        <v>16</v>
      </c>
      <c r="D708" s="2">
        <v>33</v>
      </c>
      <c r="E708" s="3">
        <v>86382</v>
      </c>
      <c r="F708" s="2" t="s">
        <v>20</v>
      </c>
      <c r="G708" s="2" t="s">
        <v>14</v>
      </c>
    </row>
    <row r="709" spans="1:7">
      <c r="A709" s="2">
        <v>708</v>
      </c>
      <c r="B709" s="2" t="s">
        <v>47</v>
      </c>
      <c r="C709" s="2" t="s">
        <v>16</v>
      </c>
      <c r="D709" s="2">
        <v>4</v>
      </c>
      <c r="E709" s="3">
        <v>39574</v>
      </c>
      <c r="F709" s="2" t="s">
        <v>28</v>
      </c>
      <c r="G709" s="2" t="s">
        <v>23</v>
      </c>
    </row>
    <row r="710" spans="1:7">
      <c r="A710" s="2">
        <v>709</v>
      </c>
      <c r="B710" s="2" t="s">
        <v>63</v>
      </c>
      <c r="C710" s="2" t="s">
        <v>22</v>
      </c>
      <c r="D710" s="2">
        <v>44</v>
      </c>
      <c r="E710" s="3">
        <v>35981</v>
      </c>
      <c r="F710" s="2" t="s">
        <v>9</v>
      </c>
      <c r="G710" s="2" t="s">
        <v>26</v>
      </c>
    </row>
    <row r="711" spans="1:7">
      <c r="A711" s="2">
        <v>710</v>
      </c>
      <c r="B711" s="2" t="s">
        <v>86</v>
      </c>
      <c r="C711" s="2" t="s">
        <v>8</v>
      </c>
      <c r="D711" s="2">
        <v>20</v>
      </c>
      <c r="E711" s="3">
        <v>60846</v>
      </c>
      <c r="F711" s="2" t="s">
        <v>9</v>
      </c>
      <c r="G711" s="2" t="s">
        <v>18</v>
      </c>
    </row>
    <row r="712" spans="1:7">
      <c r="A712" s="2">
        <v>711</v>
      </c>
      <c r="B712" s="2" t="s">
        <v>48</v>
      </c>
      <c r="C712" s="2" t="s">
        <v>12</v>
      </c>
      <c r="D712" s="2">
        <v>17</v>
      </c>
      <c r="E712" s="3">
        <v>97067</v>
      </c>
      <c r="F712" s="2" t="s">
        <v>38</v>
      </c>
      <c r="G712" s="2" t="s">
        <v>10</v>
      </c>
    </row>
    <row r="713" spans="1:7">
      <c r="A713" s="2">
        <v>712</v>
      </c>
      <c r="B713" s="2" t="s">
        <v>21</v>
      </c>
      <c r="C713" s="2" t="s">
        <v>8</v>
      </c>
      <c r="D713" s="2">
        <v>12</v>
      </c>
      <c r="E713" s="3">
        <v>72575</v>
      </c>
      <c r="F713" s="2" t="s">
        <v>17</v>
      </c>
      <c r="G713" s="2" t="s">
        <v>14</v>
      </c>
    </row>
    <row r="714" spans="1:7">
      <c r="A714" s="2">
        <v>713</v>
      </c>
      <c r="B714" s="2" t="s">
        <v>51</v>
      </c>
      <c r="C714" s="2" t="s">
        <v>16</v>
      </c>
      <c r="D714" s="2">
        <v>2</v>
      </c>
      <c r="E714" s="3">
        <v>53446</v>
      </c>
      <c r="F714" s="2" t="s">
        <v>32</v>
      </c>
      <c r="G714" s="2" t="s">
        <v>10</v>
      </c>
    </row>
    <row r="715" spans="1:7">
      <c r="A715" s="2">
        <v>714</v>
      </c>
      <c r="B715" s="2" t="s">
        <v>70</v>
      </c>
      <c r="C715" s="2" t="s">
        <v>16</v>
      </c>
      <c r="D715" s="2">
        <v>26</v>
      </c>
      <c r="E715" s="3">
        <v>73658</v>
      </c>
      <c r="F715" s="2" t="s">
        <v>32</v>
      </c>
      <c r="G715" s="2" t="s">
        <v>29</v>
      </c>
    </row>
    <row r="716" spans="1:7">
      <c r="A716" s="2">
        <v>715</v>
      </c>
      <c r="B716" s="2" t="s">
        <v>94</v>
      </c>
      <c r="C716" s="2" t="s">
        <v>8</v>
      </c>
      <c r="D716" s="2">
        <v>29</v>
      </c>
      <c r="E716" s="3">
        <v>67188</v>
      </c>
      <c r="F716" s="2" t="s">
        <v>32</v>
      </c>
      <c r="G716" s="2" t="s">
        <v>26</v>
      </c>
    </row>
    <row r="717" spans="1:7">
      <c r="A717" s="2">
        <v>716</v>
      </c>
      <c r="B717" s="2" t="s">
        <v>64</v>
      </c>
      <c r="C717" s="2" t="s">
        <v>16</v>
      </c>
      <c r="D717" s="2">
        <v>36</v>
      </c>
      <c r="E717" s="3">
        <v>52939</v>
      </c>
      <c r="F717" s="2" t="s">
        <v>28</v>
      </c>
      <c r="G717" s="2" t="s">
        <v>26</v>
      </c>
    </row>
    <row r="718" spans="1:7">
      <c r="A718" s="2">
        <v>717</v>
      </c>
      <c r="B718" s="2" t="s">
        <v>73</v>
      </c>
      <c r="C718" s="2" t="s">
        <v>12</v>
      </c>
      <c r="D718" s="2">
        <v>48</v>
      </c>
      <c r="E718" s="3">
        <v>45150</v>
      </c>
      <c r="F718" s="2" t="s">
        <v>9</v>
      </c>
      <c r="G718" s="2" t="s">
        <v>14</v>
      </c>
    </row>
    <row r="719" spans="1:7">
      <c r="A719" s="2">
        <v>718</v>
      </c>
      <c r="B719" s="2" t="s">
        <v>90</v>
      </c>
      <c r="C719" s="2" t="s">
        <v>16</v>
      </c>
      <c r="D719" s="2">
        <v>36</v>
      </c>
      <c r="E719" s="3">
        <v>99948</v>
      </c>
      <c r="F719" s="2" t="s">
        <v>25</v>
      </c>
      <c r="G719" s="2" t="s">
        <v>14</v>
      </c>
    </row>
    <row r="720" spans="1:7">
      <c r="A720" s="2">
        <v>719</v>
      </c>
      <c r="B720" s="2" t="s">
        <v>93</v>
      </c>
      <c r="C720" s="2" t="s">
        <v>12</v>
      </c>
      <c r="D720" s="2">
        <v>16</v>
      </c>
      <c r="E720" s="3">
        <v>29467</v>
      </c>
      <c r="F720" s="2" t="s">
        <v>38</v>
      </c>
      <c r="G720" s="2" t="s">
        <v>26</v>
      </c>
    </row>
    <row r="721" spans="1:7">
      <c r="A721" s="2">
        <v>720</v>
      </c>
      <c r="B721" s="2" t="s">
        <v>79</v>
      </c>
      <c r="C721" s="2" t="s">
        <v>8</v>
      </c>
      <c r="D721" s="2">
        <v>7</v>
      </c>
      <c r="E721" s="3">
        <v>45959</v>
      </c>
      <c r="F721" s="2" t="s">
        <v>13</v>
      </c>
      <c r="G721" s="2" t="s">
        <v>10</v>
      </c>
    </row>
    <row r="722" spans="1:7">
      <c r="A722" s="2">
        <v>721</v>
      </c>
      <c r="B722" s="2" t="s">
        <v>77</v>
      </c>
      <c r="C722" s="2" t="s">
        <v>8</v>
      </c>
      <c r="D722" s="2">
        <v>30</v>
      </c>
      <c r="E722" s="3">
        <v>91618</v>
      </c>
      <c r="F722" s="2" t="s">
        <v>38</v>
      </c>
      <c r="G722" s="2" t="s">
        <v>18</v>
      </c>
    </row>
    <row r="723" spans="1:7">
      <c r="A723" s="2">
        <v>722</v>
      </c>
      <c r="B723" s="2" t="s">
        <v>89</v>
      </c>
      <c r="C723" s="2" t="s">
        <v>12</v>
      </c>
      <c r="D723" s="2">
        <v>7</v>
      </c>
      <c r="E723" s="3">
        <v>75196</v>
      </c>
      <c r="F723" s="2" t="s">
        <v>28</v>
      </c>
      <c r="G723" s="2" t="s">
        <v>29</v>
      </c>
    </row>
    <row r="724" spans="1:7">
      <c r="A724" s="2">
        <v>723</v>
      </c>
      <c r="B724" s="2" t="s">
        <v>73</v>
      </c>
      <c r="C724" s="2" t="s">
        <v>12</v>
      </c>
      <c r="D724" s="2">
        <v>9</v>
      </c>
      <c r="E724" s="3">
        <v>88321</v>
      </c>
      <c r="F724" s="2" t="s">
        <v>25</v>
      </c>
      <c r="G724" s="2" t="s">
        <v>26</v>
      </c>
    </row>
    <row r="725" spans="1:7">
      <c r="A725" s="2">
        <v>724</v>
      </c>
      <c r="B725" s="2" t="s">
        <v>77</v>
      </c>
      <c r="C725" s="2" t="s">
        <v>12</v>
      </c>
      <c r="D725" s="2">
        <v>8</v>
      </c>
      <c r="E725" s="3">
        <v>44166</v>
      </c>
      <c r="F725" s="2" t="s">
        <v>38</v>
      </c>
      <c r="G725" s="2" t="s">
        <v>18</v>
      </c>
    </row>
    <row r="726" spans="1:7">
      <c r="A726" s="2">
        <v>725</v>
      </c>
      <c r="B726" s="2" t="s">
        <v>83</v>
      </c>
      <c r="C726" s="2" t="s">
        <v>16</v>
      </c>
      <c r="D726" s="2">
        <v>1</v>
      </c>
      <c r="E726" s="3">
        <v>33462</v>
      </c>
      <c r="F726" s="2" t="s">
        <v>28</v>
      </c>
      <c r="G726" s="2" t="s">
        <v>10</v>
      </c>
    </row>
    <row r="727" spans="1:7">
      <c r="A727" s="2">
        <v>726</v>
      </c>
      <c r="B727" s="2" t="s">
        <v>88</v>
      </c>
      <c r="C727" s="2" t="s">
        <v>8</v>
      </c>
      <c r="D727" s="2">
        <v>4</v>
      </c>
      <c r="E727" s="3">
        <v>37436</v>
      </c>
      <c r="F727" s="2" t="s">
        <v>32</v>
      </c>
      <c r="G727" s="2" t="s">
        <v>23</v>
      </c>
    </row>
    <row r="728" spans="1:7">
      <c r="A728" s="2">
        <v>727</v>
      </c>
      <c r="B728" s="2" t="s">
        <v>42</v>
      </c>
      <c r="C728" s="2" t="s">
        <v>16</v>
      </c>
      <c r="D728" s="2">
        <v>50</v>
      </c>
      <c r="E728" s="3">
        <v>57618</v>
      </c>
      <c r="F728" s="2" t="s">
        <v>28</v>
      </c>
      <c r="G728" s="2" t="s">
        <v>14</v>
      </c>
    </row>
    <row r="729" spans="1:7">
      <c r="A729" s="2">
        <v>728</v>
      </c>
      <c r="B729" s="2" t="s">
        <v>67</v>
      </c>
      <c r="C729" s="2" t="s">
        <v>16</v>
      </c>
      <c r="D729" s="2">
        <v>15</v>
      </c>
      <c r="E729" s="3">
        <v>71659</v>
      </c>
      <c r="F729" s="2" t="s">
        <v>38</v>
      </c>
      <c r="G729" s="2" t="s">
        <v>23</v>
      </c>
    </row>
    <row r="730" spans="1:7">
      <c r="A730" s="2">
        <v>729</v>
      </c>
      <c r="B730" s="2" t="s">
        <v>70</v>
      </c>
      <c r="C730" s="2" t="s">
        <v>12</v>
      </c>
      <c r="D730" s="2">
        <v>9</v>
      </c>
      <c r="E730" s="3">
        <v>28355</v>
      </c>
      <c r="F730" s="2" t="s">
        <v>9</v>
      </c>
      <c r="G730" s="2" t="s">
        <v>26</v>
      </c>
    </row>
    <row r="731" spans="1:7">
      <c r="A731" s="2">
        <v>730</v>
      </c>
      <c r="B731" s="2" t="s">
        <v>92</v>
      </c>
      <c r="C731" s="2" t="s">
        <v>16</v>
      </c>
      <c r="D731" s="2">
        <v>13</v>
      </c>
      <c r="E731" s="3">
        <v>26655</v>
      </c>
      <c r="F731" s="2" t="s">
        <v>38</v>
      </c>
      <c r="G731" s="2" t="s">
        <v>10</v>
      </c>
    </row>
    <row r="732" spans="1:7">
      <c r="A732" s="2">
        <v>731</v>
      </c>
      <c r="B732" s="2" t="s">
        <v>86</v>
      </c>
      <c r="C732" s="2" t="s">
        <v>22</v>
      </c>
      <c r="D732" s="2">
        <v>26</v>
      </c>
      <c r="E732" s="3">
        <v>75072</v>
      </c>
      <c r="F732" s="2" t="s">
        <v>20</v>
      </c>
      <c r="G732" s="2" t="s">
        <v>10</v>
      </c>
    </row>
    <row r="733" spans="1:7">
      <c r="A733" s="2">
        <v>732</v>
      </c>
      <c r="B733" s="2" t="s">
        <v>54</v>
      </c>
      <c r="C733" s="2" t="s">
        <v>22</v>
      </c>
      <c r="D733" s="2">
        <v>24</v>
      </c>
      <c r="E733" s="3">
        <v>80603</v>
      </c>
      <c r="F733" s="2" t="s">
        <v>13</v>
      </c>
      <c r="G733" s="2" t="s">
        <v>10</v>
      </c>
    </row>
    <row r="734" spans="1:7">
      <c r="A734" s="2">
        <v>733</v>
      </c>
      <c r="B734" s="2" t="s">
        <v>15</v>
      </c>
      <c r="C734" s="2" t="s">
        <v>22</v>
      </c>
      <c r="D734" s="2">
        <v>44</v>
      </c>
      <c r="E734" s="3">
        <v>87206</v>
      </c>
      <c r="F734" s="2" t="s">
        <v>28</v>
      </c>
      <c r="G734" s="2" t="s">
        <v>10</v>
      </c>
    </row>
    <row r="735" spans="1:7">
      <c r="A735" s="2">
        <v>734</v>
      </c>
      <c r="B735" s="2" t="s">
        <v>61</v>
      </c>
      <c r="C735" s="2" t="s">
        <v>22</v>
      </c>
      <c r="D735" s="2">
        <v>41</v>
      </c>
      <c r="E735" s="3">
        <v>33067</v>
      </c>
      <c r="F735" s="2" t="s">
        <v>17</v>
      </c>
      <c r="G735" s="2" t="s">
        <v>26</v>
      </c>
    </row>
    <row r="736" spans="1:7">
      <c r="A736" s="2">
        <v>735</v>
      </c>
      <c r="B736" s="2" t="s">
        <v>11</v>
      </c>
      <c r="C736" s="2" t="s">
        <v>22</v>
      </c>
      <c r="D736" s="2">
        <v>42</v>
      </c>
      <c r="E736" s="3">
        <v>39973</v>
      </c>
      <c r="F736" s="2" t="s">
        <v>20</v>
      </c>
      <c r="G736" s="2" t="s">
        <v>14</v>
      </c>
    </row>
    <row r="737" spans="1:7">
      <c r="A737" s="2">
        <v>736</v>
      </c>
      <c r="B737" s="2" t="s">
        <v>39</v>
      </c>
      <c r="C737" s="2" t="s">
        <v>12</v>
      </c>
      <c r="D737" s="2">
        <v>6</v>
      </c>
      <c r="E737" s="3">
        <v>56984</v>
      </c>
      <c r="F737" s="2" t="s">
        <v>38</v>
      </c>
      <c r="G737" s="2" t="s">
        <v>23</v>
      </c>
    </row>
    <row r="738" spans="1:7">
      <c r="A738" s="2">
        <v>737</v>
      </c>
      <c r="B738" s="2" t="s">
        <v>42</v>
      </c>
      <c r="C738" s="2" t="s">
        <v>16</v>
      </c>
      <c r="D738" s="2">
        <v>38</v>
      </c>
      <c r="E738" s="3">
        <v>55043</v>
      </c>
      <c r="F738" s="2" t="s">
        <v>28</v>
      </c>
      <c r="G738" s="2" t="s">
        <v>29</v>
      </c>
    </row>
    <row r="739" spans="1:7">
      <c r="A739" s="2">
        <v>738</v>
      </c>
      <c r="B739" s="2" t="s">
        <v>31</v>
      </c>
      <c r="C739" s="2" t="s">
        <v>16</v>
      </c>
      <c r="D739" s="2">
        <v>38</v>
      </c>
      <c r="E739" s="3">
        <v>92323</v>
      </c>
      <c r="F739" s="2" t="s">
        <v>13</v>
      </c>
      <c r="G739" s="2" t="s">
        <v>14</v>
      </c>
    </row>
    <row r="740" spans="1:7">
      <c r="A740" s="2">
        <v>739</v>
      </c>
      <c r="B740" s="2" t="s">
        <v>66</v>
      </c>
      <c r="C740" s="2" t="s">
        <v>22</v>
      </c>
      <c r="D740" s="2">
        <v>17</v>
      </c>
      <c r="E740" s="3">
        <v>50443</v>
      </c>
      <c r="F740" s="2" t="s">
        <v>32</v>
      </c>
      <c r="G740" s="2" t="s">
        <v>10</v>
      </c>
    </row>
    <row r="741" spans="1:7">
      <c r="A741" s="2">
        <v>740</v>
      </c>
      <c r="B741" s="2" t="s">
        <v>41</v>
      </c>
      <c r="C741" s="2" t="s">
        <v>16</v>
      </c>
      <c r="D741" s="2">
        <v>5</v>
      </c>
      <c r="E741" s="3">
        <v>36790</v>
      </c>
      <c r="F741" s="2" t="s">
        <v>13</v>
      </c>
      <c r="G741" s="2" t="s">
        <v>26</v>
      </c>
    </row>
    <row r="742" spans="1:7">
      <c r="A742" s="2">
        <v>741</v>
      </c>
      <c r="B742" s="2" t="s">
        <v>94</v>
      </c>
      <c r="C742" s="2" t="s">
        <v>22</v>
      </c>
      <c r="D742" s="2">
        <v>2</v>
      </c>
      <c r="E742" s="3">
        <v>53377</v>
      </c>
      <c r="F742" s="2" t="s">
        <v>20</v>
      </c>
      <c r="G742" s="2" t="s">
        <v>10</v>
      </c>
    </row>
    <row r="743" spans="1:7">
      <c r="A743" s="2">
        <v>742</v>
      </c>
      <c r="B743" s="2" t="s">
        <v>87</v>
      </c>
      <c r="C743" s="2" t="s">
        <v>16</v>
      </c>
      <c r="D743" s="2">
        <v>5</v>
      </c>
      <c r="E743" s="3">
        <v>79403</v>
      </c>
      <c r="F743" s="2" t="s">
        <v>17</v>
      </c>
      <c r="G743" s="2" t="s">
        <v>14</v>
      </c>
    </row>
    <row r="744" spans="1:7">
      <c r="A744" s="2">
        <v>743</v>
      </c>
      <c r="B744" s="2" t="s">
        <v>37</v>
      </c>
      <c r="C744" s="2" t="s">
        <v>12</v>
      </c>
      <c r="D744" s="2">
        <v>13</v>
      </c>
      <c r="E744" s="3">
        <v>75684</v>
      </c>
      <c r="F744" s="2" t="s">
        <v>9</v>
      </c>
      <c r="G744" s="2" t="s">
        <v>23</v>
      </c>
    </row>
    <row r="745" spans="1:7">
      <c r="A745" s="2">
        <v>744</v>
      </c>
      <c r="B745" s="2" t="s">
        <v>43</v>
      </c>
      <c r="C745" s="2" t="s">
        <v>8</v>
      </c>
      <c r="D745" s="2">
        <v>42</v>
      </c>
      <c r="E745" s="3">
        <v>49608</v>
      </c>
      <c r="F745" s="2" t="s">
        <v>20</v>
      </c>
      <c r="G745" s="2" t="s">
        <v>23</v>
      </c>
    </row>
    <row r="746" spans="1:7">
      <c r="A746" s="2">
        <v>745</v>
      </c>
      <c r="B746" s="2" t="s">
        <v>43</v>
      </c>
      <c r="C746" s="2" t="s">
        <v>22</v>
      </c>
      <c r="D746" s="2">
        <v>29</v>
      </c>
      <c r="E746" s="3">
        <v>31609</v>
      </c>
      <c r="F746" s="2" t="s">
        <v>25</v>
      </c>
      <c r="G746" s="2" t="s">
        <v>18</v>
      </c>
    </row>
    <row r="747" spans="1:7">
      <c r="A747" s="2">
        <v>746</v>
      </c>
      <c r="B747" s="2" t="s">
        <v>88</v>
      </c>
      <c r="C747" s="2" t="s">
        <v>12</v>
      </c>
      <c r="D747" s="2">
        <v>9</v>
      </c>
      <c r="E747" s="3">
        <v>77229</v>
      </c>
      <c r="F747" s="2" t="s">
        <v>32</v>
      </c>
      <c r="G747" s="2" t="s">
        <v>18</v>
      </c>
    </row>
    <row r="748" spans="1:7">
      <c r="A748" s="2">
        <v>747</v>
      </c>
      <c r="B748" s="2" t="s">
        <v>45</v>
      </c>
      <c r="C748" s="2" t="s">
        <v>12</v>
      </c>
      <c r="D748" s="2">
        <v>6</v>
      </c>
      <c r="E748" s="3">
        <v>78859</v>
      </c>
      <c r="F748" s="2" t="s">
        <v>9</v>
      </c>
      <c r="G748" s="2" t="s">
        <v>26</v>
      </c>
    </row>
    <row r="749" spans="1:7">
      <c r="A749" s="2">
        <v>748</v>
      </c>
      <c r="B749" s="2" t="s">
        <v>31</v>
      </c>
      <c r="C749" s="2" t="s">
        <v>22</v>
      </c>
      <c r="D749" s="2">
        <v>22</v>
      </c>
      <c r="E749" s="3">
        <v>30846</v>
      </c>
      <c r="F749" s="2" t="s">
        <v>38</v>
      </c>
      <c r="G749" s="2" t="s">
        <v>18</v>
      </c>
    </row>
    <row r="750" spans="1:7">
      <c r="A750" s="2">
        <v>749</v>
      </c>
      <c r="B750" s="2" t="s">
        <v>62</v>
      </c>
      <c r="C750" s="2" t="s">
        <v>22</v>
      </c>
      <c r="D750" s="2">
        <v>8</v>
      </c>
      <c r="E750" s="3">
        <v>44187</v>
      </c>
      <c r="F750" s="2" t="s">
        <v>38</v>
      </c>
      <c r="G750" s="2" t="s">
        <v>10</v>
      </c>
    </row>
    <row r="751" spans="1:7">
      <c r="A751" s="2">
        <v>750</v>
      </c>
      <c r="B751" s="2" t="s">
        <v>42</v>
      </c>
      <c r="C751" s="2" t="s">
        <v>12</v>
      </c>
      <c r="D751" s="2">
        <v>3</v>
      </c>
      <c r="E751" s="3">
        <v>34896</v>
      </c>
      <c r="F751" s="2" t="s">
        <v>32</v>
      </c>
      <c r="G751" s="2" t="s">
        <v>14</v>
      </c>
    </row>
    <row r="752" spans="1:7">
      <c r="A752" s="2">
        <v>751</v>
      </c>
      <c r="B752" s="2" t="s">
        <v>82</v>
      </c>
      <c r="C752" s="2" t="s">
        <v>22</v>
      </c>
      <c r="D752" s="2">
        <v>30</v>
      </c>
      <c r="E752" s="3">
        <v>80209</v>
      </c>
      <c r="F752" s="2" t="s">
        <v>28</v>
      </c>
      <c r="G752" s="2" t="s">
        <v>26</v>
      </c>
    </row>
    <row r="753" spans="1:7">
      <c r="A753" s="2">
        <v>752</v>
      </c>
      <c r="B753" s="2" t="s">
        <v>66</v>
      </c>
      <c r="C753" s="2" t="s">
        <v>22</v>
      </c>
      <c r="D753" s="2">
        <v>4</v>
      </c>
      <c r="E753" s="3">
        <v>84582</v>
      </c>
      <c r="F753" s="2" t="s">
        <v>17</v>
      </c>
      <c r="G753" s="2" t="s">
        <v>26</v>
      </c>
    </row>
    <row r="754" spans="1:7">
      <c r="A754" s="2">
        <v>753</v>
      </c>
      <c r="B754" s="2" t="s">
        <v>62</v>
      </c>
      <c r="C754" s="2" t="s">
        <v>8</v>
      </c>
      <c r="D754" s="2">
        <v>11</v>
      </c>
      <c r="E754" s="3">
        <v>87310</v>
      </c>
      <c r="F754" s="2" t="s">
        <v>9</v>
      </c>
      <c r="G754" s="2" t="s">
        <v>14</v>
      </c>
    </row>
    <row r="755" spans="1:7">
      <c r="A755" s="2">
        <v>754</v>
      </c>
      <c r="B755" s="2" t="s">
        <v>93</v>
      </c>
      <c r="C755" s="2" t="s">
        <v>8</v>
      </c>
      <c r="D755" s="2">
        <v>37</v>
      </c>
      <c r="E755" s="3">
        <v>92277</v>
      </c>
      <c r="F755" s="2" t="s">
        <v>13</v>
      </c>
      <c r="G755" s="2" t="s">
        <v>18</v>
      </c>
    </row>
    <row r="756" spans="1:7">
      <c r="A756" s="2">
        <v>755</v>
      </c>
      <c r="B756" s="2" t="s">
        <v>48</v>
      </c>
      <c r="C756" s="2" t="s">
        <v>22</v>
      </c>
      <c r="D756" s="2">
        <v>28</v>
      </c>
      <c r="E756" s="3">
        <v>85145</v>
      </c>
      <c r="F756" s="2" t="s">
        <v>25</v>
      </c>
      <c r="G756" s="2" t="s">
        <v>23</v>
      </c>
    </row>
    <row r="757" spans="1:7">
      <c r="A757" s="2">
        <v>756</v>
      </c>
      <c r="B757" s="2" t="s">
        <v>56</v>
      </c>
      <c r="C757" s="2" t="s">
        <v>12</v>
      </c>
      <c r="D757" s="2">
        <v>47</v>
      </c>
      <c r="E757" s="3">
        <v>25410</v>
      </c>
      <c r="F757" s="2" t="s">
        <v>38</v>
      </c>
      <c r="G757" s="2" t="s">
        <v>18</v>
      </c>
    </row>
    <row r="758" spans="1:7">
      <c r="A758" s="2">
        <v>757</v>
      </c>
      <c r="B758" s="2" t="s">
        <v>39</v>
      </c>
      <c r="C758" s="2" t="s">
        <v>16</v>
      </c>
      <c r="D758" s="2">
        <v>26</v>
      </c>
      <c r="E758" s="3">
        <v>99518</v>
      </c>
      <c r="F758" s="2" t="s">
        <v>17</v>
      </c>
      <c r="G758" s="2" t="s">
        <v>14</v>
      </c>
    </row>
    <row r="759" spans="1:7">
      <c r="A759" s="2">
        <v>758</v>
      </c>
      <c r="B759" s="2" t="s">
        <v>75</v>
      </c>
      <c r="C759" s="2" t="s">
        <v>22</v>
      </c>
      <c r="D759" s="2">
        <v>32</v>
      </c>
      <c r="E759" s="3">
        <v>98532</v>
      </c>
      <c r="F759" s="2" t="s">
        <v>17</v>
      </c>
      <c r="G759" s="2" t="s">
        <v>10</v>
      </c>
    </row>
    <row r="760" spans="1:7">
      <c r="A760" s="2">
        <v>759</v>
      </c>
      <c r="B760" s="2" t="s">
        <v>53</v>
      </c>
      <c r="C760" s="2" t="s">
        <v>22</v>
      </c>
      <c r="D760" s="2">
        <v>2</v>
      </c>
      <c r="E760" s="3">
        <v>35731</v>
      </c>
      <c r="F760" s="2" t="s">
        <v>17</v>
      </c>
      <c r="G760" s="2" t="s">
        <v>18</v>
      </c>
    </row>
    <row r="761" spans="1:7">
      <c r="A761" s="2">
        <v>760</v>
      </c>
      <c r="B761" s="2" t="s">
        <v>59</v>
      </c>
      <c r="C761" s="2" t="s">
        <v>16</v>
      </c>
      <c r="D761" s="2">
        <v>25</v>
      </c>
      <c r="E761" s="3">
        <v>56729</v>
      </c>
      <c r="F761" s="2" t="s">
        <v>28</v>
      </c>
      <c r="G761" s="2" t="s">
        <v>26</v>
      </c>
    </row>
    <row r="762" spans="1:7">
      <c r="A762" s="2">
        <v>761</v>
      </c>
      <c r="B762" s="2" t="s">
        <v>30</v>
      </c>
      <c r="C762" s="2" t="s">
        <v>16</v>
      </c>
      <c r="D762" s="2">
        <v>44</v>
      </c>
      <c r="E762" s="3">
        <v>41642</v>
      </c>
      <c r="F762" s="2" t="s">
        <v>32</v>
      </c>
      <c r="G762" s="2" t="s">
        <v>29</v>
      </c>
    </row>
    <row r="763" spans="1:7">
      <c r="A763" s="2">
        <v>762</v>
      </c>
      <c r="B763" s="2" t="s">
        <v>52</v>
      </c>
      <c r="C763" s="2" t="s">
        <v>16</v>
      </c>
      <c r="D763" s="2">
        <v>28</v>
      </c>
      <c r="E763" s="3">
        <v>32277</v>
      </c>
      <c r="F763" s="2" t="s">
        <v>28</v>
      </c>
      <c r="G763" s="2" t="s">
        <v>29</v>
      </c>
    </row>
    <row r="764" spans="1:7">
      <c r="A764" s="2">
        <v>763</v>
      </c>
      <c r="B764" s="2" t="s">
        <v>92</v>
      </c>
      <c r="C764" s="2" t="s">
        <v>8</v>
      </c>
      <c r="D764" s="2">
        <v>12</v>
      </c>
      <c r="E764" s="3">
        <v>54389</v>
      </c>
      <c r="F764" s="2" t="s">
        <v>38</v>
      </c>
      <c r="G764" s="2" t="s">
        <v>23</v>
      </c>
    </row>
    <row r="765" spans="1:7">
      <c r="A765" s="2">
        <v>764</v>
      </c>
      <c r="B765" s="2" t="s">
        <v>78</v>
      </c>
      <c r="C765" s="2" t="s">
        <v>8</v>
      </c>
      <c r="D765" s="2">
        <v>23</v>
      </c>
      <c r="E765" s="3">
        <v>50704</v>
      </c>
      <c r="F765" s="2" t="s">
        <v>28</v>
      </c>
      <c r="G765" s="2" t="s">
        <v>14</v>
      </c>
    </row>
    <row r="766" spans="1:7">
      <c r="A766" s="2">
        <v>765</v>
      </c>
      <c r="B766" s="2" t="s">
        <v>55</v>
      </c>
      <c r="C766" s="2" t="s">
        <v>8</v>
      </c>
      <c r="D766" s="2">
        <v>14</v>
      </c>
      <c r="E766" s="3">
        <v>59903</v>
      </c>
      <c r="F766" s="2" t="s">
        <v>13</v>
      </c>
      <c r="G766" s="2" t="s">
        <v>10</v>
      </c>
    </row>
    <row r="767" spans="1:7">
      <c r="A767" s="2">
        <v>766</v>
      </c>
      <c r="B767" s="2" t="s">
        <v>70</v>
      </c>
      <c r="C767" s="2" t="s">
        <v>12</v>
      </c>
      <c r="D767" s="2">
        <v>12</v>
      </c>
      <c r="E767" s="3">
        <v>67192</v>
      </c>
      <c r="F767" s="2" t="s">
        <v>38</v>
      </c>
      <c r="G767" s="2" t="s">
        <v>26</v>
      </c>
    </row>
    <row r="768" spans="1:7">
      <c r="A768" s="2">
        <v>767</v>
      </c>
      <c r="B768" s="2" t="s">
        <v>15</v>
      </c>
      <c r="C768" s="2" t="s">
        <v>22</v>
      </c>
      <c r="D768" s="2">
        <v>18</v>
      </c>
      <c r="E768" s="3">
        <v>87999</v>
      </c>
      <c r="F768" s="2" t="s">
        <v>28</v>
      </c>
      <c r="G768" s="2" t="s">
        <v>29</v>
      </c>
    </row>
    <row r="769" spans="1:7">
      <c r="A769" s="2">
        <v>768</v>
      </c>
      <c r="B769" s="2" t="s">
        <v>19</v>
      </c>
      <c r="C769" s="2" t="s">
        <v>8</v>
      </c>
      <c r="D769" s="2">
        <v>18</v>
      </c>
      <c r="E769" s="3">
        <v>96123</v>
      </c>
      <c r="F769" s="2" t="s">
        <v>32</v>
      </c>
      <c r="G769" s="2" t="s">
        <v>18</v>
      </c>
    </row>
    <row r="770" spans="1:7">
      <c r="A770" s="2">
        <v>769</v>
      </c>
      <c r="B770" s="2" t="s">
        <v>27</v>
      </c>
      <c r="C770" s="2" t="s">
        <v>12</v>
      </c>
      <c r="D770" s="2">
        <v>29</v>
      </c>
      <c r="E770" s="3">
        <v>99164</v>
      </c>
      <c r="F770" s="2" t="s">
        <v>25</v>
      </c>
      <c r="G770" s="2" t="s">
        <v>26</v>
      </c>
    </row>
    <row r="771" spans="1:7">
      <c r="A771" s="2">
        <v>770</v>
      </c>
      <c r="B771" s="2" t="s">
        <v>37</v>
      </c>
      <c r="C771" s="2" t="s">
        <v>12</v>
      </c>
      <c r="D771" s="2">
        <v>10</v>
      </c>
      <c r="E771" s="3">
        <v>50200</v>
      </c>
      <c r="F771" s="2" t="s">
        <v>17</v>
      </c>
      <c r="G771" s="2" t="s">
        <v>10</v>
      </c>
    </row>
    <row r="772" spans="1:7">
      <c r="A772" s="2">
        <v>771</v>
      </c>
      <c r="B772" s="2" t="s">
        <v>77</v>
      </c>
      <c r="C772" s="2" t="s">
        <v>16</v>
      </c>
      <c r="D772" s="2">
        <v>3</v>
      </c>
      <c r="E772" s="3">
        <v>88511</v>
      </c>
      <c r="F772" s="2" t="s">
        <v>13</v>
      </c>
      <c r="G772" s="2" t="s">
        <v>14</v>
      </c>
    </row>
    <row r="773" spans="1:7">
      <c r="A773" s="2">
        <v>772</v>
      </c>
      <c r="B773" s="2" t="s">
        <v>51</v>
      </c>
      <c r="C773" s="2" t="s">
        <v>16</v>
      </c>
      <c r="D773" s="2">
        <v>40</v>
      </c>
      <c r="E773" s="3">
        <v>90910</v>
      </c>
      <c r="F773" s="2" t="s">
        <v>25</v>
      </c>
      <c r="G773" s="2" t="s">
        <v>26</v>
      </c>
    </row>
    <row r="774" spans="1:7">
      <c r="A774" s="2">
        <v>773</v>
      </c>
      <c r="B774" s="2" t="s">
        <v>57</v>
      </c>
      <c r="C774" s="2" t="s">
        <v>8</v>
      </c>
      <c r="D774" s="2">
        <v>40</v>
      </c>
      <c r="E774" s="3">
        <v>46021</v>
      </c>
      <c r="F774" s="2" t="s">
        <v>20</v>
      </c>
      <c r="G774" s="2" t="s">
        <v>26</v>
      </c>
    </row>
    <row r="775" spans="1:7">
      <c r="A775" s="2">
        <v>774</v>
      </c>
      <c r="B775" s="2" t="s">
        <v>68</v>
      </c>
      <c r="C775" s="2" t="s">
        <v>22</v>
      </c>
      <c r="D775" s="2">
        <v>40</v>
      </c>
      <c r="E775" s="3">
        <v>84997</v>
      </c>
      <c r="F775" s="2" t="s">
        <v>13</v>
      </c>
      <c r="G775" s="2" t="s">
        <v>18</v>
      </c>
    </row>
    <row r="776" spans="1:7">
      <c r="A776" s="2">
        <v>775</v>
      </c>
      <c r="B776" s="2" t="s">
        <v>64</v>
      </c>
      <c r="C776" s="2" t="s">
        <v>22</v>
      </c>
      <c r="D776" s="2">
        <v>16</v>
      </c>
      <c r="E776" s="3">
        <v>86754</v>
      </c>
      <c r="F776" s="2" t="s">
        <v>32</v>
      </c>
      <c r="G776" s="2" t="s">
        <v>10</v>
      </c>
    </row>
    <row r="777" spans="1:7">
      <c r="A777" s="2">
        <v>776</v>
      </c>
      <c r="B777" s="2" t="s">
        <v>42</v>
      </c>
      <c r="C777" s="2" t="s">
        <v>22</v>
      </c>
      <c r="D777" s="2">
        <v>42</v>
      </c>
      <c r="E777" s="3">
        <v>44478</v>
      </c>
      <c r="F777" s="2" t="s">
        <v>13</v>
      </c>
      <c r="G777" s="2" t="s">
        <v>14</v>
      </c>
    </row>
    <row r="778" spans="1:7">
      <c r="A778" s="2">
        <v>777</v>
      </c>
      <c r="B778" s="2" t="s">
        <v>84</v>
      </c>
      <c r="C778" s="2" t="s">
        <v>12</v>
      </c>
      <c r="D778" s="2">
        <v>19</v>
      </c>
      <c r="E778" s="3">
        <v>35609</v>
      </c>
      <c r="F778" s="2" t="s">
        <v>32</v>
      </c>
      <c r="G778" s="2" t="s">
        <v>26</v>
      </c>
    </row>
    <row r="779" spans="1:7">
      <c r="A779" s="2">
        <v>778</v>
      </c>
      <c r="B779" s="2" t="s">
        <v>62</v>
      </c>
      <c r="C779" s="2" t="s">
        <v>12</v>
      </c>
      <c r="D779" s="2">
        <v>32</v>
      </c>
      <c r="E779" s="3">
        <v>96930</v>
      </c>
      <c r="F779" s="2" t="s">
        <v>25</v>
      </c>
      <c r="G779" s="2" t="s">
        <v>10</v>
      </c>
    </row>
    <row r="780" spans="1:7">
      <c r="A780" s="2">
        <v>779</v>
      </c>
      <c r="B780" s="2" t="s">
        <v>90</v>
      </c>
      <c r="C780" s="2" t="s">
        <v>12</v>
      </c>
      <c r="D780" s="2">
        <v>27</v>
      </c>
      <c r="E780" s="3">
        <v>61213</v>
      </c>
      <c r="F780" s="2" t="s">
        <v>13</v>
      </c>
      <c r="G780" s="2" t="s">
        <v>26</v>
      </c>
    </row>
    <row r="781" spans="1:7">
      <c r="A781" s="2">
        <v>780</v>
      </c>
      <c r="B781" s="2" t="s">
        <v>75</v>
      </c>
      <c r="C781" s="2" t="s">
        <v>12</v>
      </c>
      <c r="D781" s="2">
        <v>36</v>
      </c>
      <c r="E781" s="3">
        <v>65961</v>
      </c>
      <c r="F781" s="2" t="s">
        <v>28</v>
      </c>
      <c r="G781" s="2" t="s">
        <v>29</v>
      </c>
    </row>
    <row r="782" spans="1:7">
      <c r="A782" s="2">
        <v>781</v>
      </c>
      <c r="B782" s="2" t="s">
        <v>63</v>
      </c>
      <c r="C782" s="2" t="s">
        <v>22</v>
      </c>
      <c r="D782" s="2">
        <v>31</v>
      </c>
      <c r="E782" s="3">
        <v>77289</v>
      </c>
      <c r="F782" s="2" t="s">
        <v>17</v>
      </c>
      <c r="G782" s="2" t="s">
        <v>29</v>
      </c>
    </row>
    <row r="783" spans="1:7">
      <c r="A783" s="2">
        <v>782</v>
      </c>
      <c r="B783" s="2" t="s">
        <v>15</v>
      </c>
      <c r="C783" s="2" t="s">
        <v>22</v>
      </c>
      <c r="D783" s="2">
        <v>4</v>
      </c>
      <c r="E783" s="3">
        <v>68813</v>
      </c>
      <c r="F783" s="2" t="s">
        <v>9</v>
      </c>
      <c r="G783" s="2" t="s">
        <v>14</v>
      </c>
    </row>
    <row r="784" spans="1:7">
      <c r="A784" s="2">
        <v>783</v>
      </c>
      <c r="B784" s="2" t="s">
        <v>60</v>
      </c>
      <c r="C784" s="2" t="s">
        <v>16</v>
      </c>
      <c r="D784" s="2">
        <v>6</v>
      </c>
      <c r="E784" s="3">
        <v>38907</v>
      </c>
      <c r="F784" s="2" t="s">
        <v>25</v>
      </c>
      <c r="G784" s="2" t="s">
        <v>29</v>
      </c>
    </row>
    <row r="785" spans="1:7">
      <c r="A785" s="2">
        <v>784</v>
      </c>
      <c r="B785" s="2" t="s">
        <v>80</v>
      </c>
      <c r="C785" s="2" t="s">
        <v>22</v>
      </c>
      <c r="D785" s="2">
        <v>18</v>
      </c>
      <c r="E785" s="3">
        <v>90778</v>
      </c>
      <c r="F785" s="2" t="s">
        <v>32</v>
      </c>
      <c r="G785" s="2" t="s">
        <v>14</v>
      </c>
    </row>
    <row r="786" spans="1:7">
      <c r="A786" s="2">
        <v>785</v>
      </c>
      <c r="B786" s="2" t="s">
        <v>15</v>
      </c>
      <c r="C786" s="2" t="s">
        <v>12</v>
      </c>
      <c r="D786" s="2">
        <v>25</v>
      </c>
      <c r="E786" s="3">
        <v>59575</v>
      </c>
      <c r="F786" s="2" t="s">
        <v>25</v>
      </c>
      <c r="G786" s="2" t="s">
        <v>26</v>
      </c>
    </row>
    <row r="787" spans="1:7">
      <c r="A787" s="2">
        <v>786</v>
      </c>
      <c r="B787" s="2" t="s">
        <v>64</v>
      </c>
      <c r="C787" s="2" t="s">
        <v>12</v>
      </c>
      <c r="D787" s="2">
        <v>9</v>
      </c>
      <c r="E787" s="3">
        <v>35052</v>
      </c>
      <c r="F787" s="2" t="s">
        <v>32</v>
      </c>
      <c r="G787" s="2" t="s">
        <v>23</v>
      </c>
    </row>
    <row r="788" spans="1:7">
      <c r="A788" s="2">
        <v>787</v>
      </c>
      <c r="B788" s="2" t="s">
        <v>48</v>
      </c>
      <c r="C788" s="2" t="s">
        <v>8</v>
      </c>
      <c r="D788" s="2">
        <v>27</v>
      </c>
      <c r="E788" s="3">
        <v>75899</v>
      </c>
      <c r="F788" s="2" t="s">
        <v>25</v>
      </c>
      <c r="G788" s="2" t="s">
        <v>29</v>
      </c>
    </row>
    <row r="789" spans="1:7">
      <c r="A789" s="2">
        <v>788</v>
      </c>
      <c r="B789" s="2" t="s">
        <v>83</v>
      </c>
      <c r="C789" s="2" t="s">
        <v>22</v>
      </c>
      <c r="D789" s="2">
        <v>13</v>
      </c>
      <c r="E789" s="3">
        <v>72061</v>
      </c>
      <c r="F789" s="2" t="s">
        <v>28</v>
      </c>
      <c r="G789" s="2" t="s">
        <v>10</v>
      </c>
    </row>
    <row r="790" spans="1:7">
      <c r="A790" s="2">
        <v>789</v>
      </c>
      <c r="B790" s="2" t="s">
        <v>49</v>
      </c>
      <c r="C790" s="2" t="s">
        <v>22</v>
      </c>
      <c r="D790" s="2">
        <v>42</v>
      </c>
      <c r="E790" s="3">
        <v>82701</v>
      </c>
      <c r="F790" s="2" t="s">
        <v>25</v>
      </c>
      <c r="G790" s="2" t="s">
        <v>10</v>
      </c>
    </row>
    <row r="791" spans="1:7">
      <c r="A791" s="2">
        <v>790</v>
      </c>
      <c r="B791" s="2" t="s">
        <v>89</v>
      </c>
      <c r="C791" s="2" t="s">
        <v>16</v>
      </c>
      <c r="D791" s="2">
        <v>34</v>
      </c>
      <c r="E791" s="3">
        <v>55374</v>
      </c>
      <c r="F791" s="2" t="s">
        <v>13</v>
      </c>
      <c r="G791" s="2" t="s">
        <v>14</v>
      </c>
    </row>
    <row r="792" spans="1:7">
      <c r="A792" s="2">
        <v>791</v>
      </c>
      <c r="B792" s="2" t="s">
        <v>39</v>
      </c>
      <c r="C792" s="2" t="s">
        <v>16</v>
      </c>
      <c r="D792" s="2">
        <v>16</v>
      </c>
      <c r="E792" s="3">
        <v>63101</v>
      </c>
      <c r="F792" s="2" t="s">
        <v>25</v>
      </c>
      <c r="G792" s="2" t="s">
        <v>23</v>
      </c>
    </row>
    <row r="793" spans="1:7">
      <c r="A793" s="2">
        <v>792</v>
      </c>
      <c r="B793" s="2" t="s">
        <v>50</v>
      </c>
      <c r="C793" s="2" t="s">
        <v>12</v>
      </c>
      <c r="D793" s="2">
        <v>41</v>
      </c>
      <c r="E793" s="3">
        <v>65929</v>
      </c>
      <c r="F793" s="2" t="s">
        <v>25</v>
      </c>
      <c r="G793" s="2" t="s">
        <v>26</v>
      </c>
    </row>
    <row r="794" spans="1:7">
      <c r="A794" s="2">
        <v>793</v>
      </c>
      <c r="B794" s="2" t="s">
        <v>49</v>
      </c>
      <c r="C794" s="2" t="s">
        <v>8</v>
      </c>
      <c r="D794" s="2">
        <v>35</v>
      </c>
      <c r="E794" s="3">
        <v>31619</v>
      </c>
      <c r="F794" s="2" t="s">
        <v>17</v>
      </c>
      <c r="G794" s="2" t="s">
        <v>18</v>
      </c>
    </row>
    <row r="795" spans="1:7">
      <c r="A795" s="2">
        <v>794</v>
      </c>
      <c r="B795" s="2" t="s">
        <v>11</v>
      </c>
      <c r="C795" s="2" t="s">
        <v>22</v>
      </c>
      <c r="D795" s="2">
        <v>2</v>
      </c>
      <c r="E795" s="3">
        <v>49425</v>
      </c>
      <c r="F795" s="2" t="s">
        <v>20</v>
      </c>
      <c r="G795" s="2" t="s">
        <v>10</v>
      </c>
    </row>
    <row r="796" spans="1:7">
      <c r="A796" s="2">
        <v>795</v>
      </c>
      <c r="B796" s="2" t="s">
        <v>76</v>
      </c>
      <c r="C796" s="2" t="s">
        <v>22</v>
      </c>
      <c r="D796" s="2">
        <v>25</v>
      </c>
      <c r="E796" s="3">
        <v>49290</v>
      </c>
      <c r="F796" s="2" t="s">
        <v>20</v>
      </c>
      <c r="G796" s="2" t="s">
        <v>23</v>
      </c>
    </row>
    <row r="797" spans="1:7">
      <c r="A797" s="2">
        <v>796</v>
      </c>
      <c r="B797" s="2" t="s">
        <v>39</v>
      </c>
      <c r="C797" s="2" t="s">
        <v>8</v>
      </c>
      <c r="D797" s="2">
        <v>46</v>
      </c>
      <c r="E797" s="3">
        <v>86096</v>
      </c>
      <c r="F797" s="2" t="s">
        <v>25</v>
      </c>
      <c r="G797" s="2" t="s">
        <v>10</v>
      </c>
    </row>
    <row r="798" spans="1:7">
      <c r="A798" s="2">
        <v>797</v>
      </c>
      <c r="B798" s="2" t="s">
        <v>49</v>
      </c>
      <c r="C798" s="2" t="s">
        <v>22</v>
      </c>
      <c r="D798" s="2">
        <v>23</v>
      </c>
      <c r="E798" s="3">
        <v>62268</v>
      </c>
      <c r="F798" s="2" t="s">
        <v>17</v>
      </c>
      <c r="G798" s="2" t="s">
        <v>14</v>
      </c>
    </row>
    <row r="799" spans="1:7">
      <c r="A799" s="2">
        <v>798</v>
      </c>
      <c r="B799" s="2" t="s">
        <v>24</v>
      </c>
      <c r="C799" s="2" t="s">
        <v>16</v>
      </c>
      <c r="D799" s="2">
        <v>31</v>
      </c>
      <c r="E799" s="3">
        <v>74197</v>
      </c>
      <c r="F799" s="2" t="s">
        <v>25</v>
      </c>
      <c r="G799" s="2" t="s">
        <v>14</v>
      </c>
    </row>
    <row r="800" spans="1:7">
      <c r="A800" s="2">
        <v>799</v>
      </c>
      <c r="B800" s="2" t="s">
        <v>88</v>
      </c>
      <c r="C800" s="2" t="s">
        <v>8</v>
      </c>
      <c r="D800" s="2">
        <v>35</v>
      </c>
      <c r="E800" s="3">
        <v>30403</v>
      </c>
      <c r="F800" s="2" t="s">
        <v>38</v>
      </c>
      <c r="G800" s="2" t="s">
        <v>18</v>
      </c>
    </row>
    <row r="801" spans="1:7">
      <c r="A801" s="2">
        <v>800</v>
      </c>
      <c r="B801" s="2" t="s">
        <v>60</v>
      </c>
      <c r="C801" s="2" t="s">
        <v>22</v>
      </c>
      <c r="D801" s="2">
        <v>32</v>
      </c>
      <c r="E801" s="3">
        <v>29073</v>
      </c>
      <c r="F801" s="2" t="s">
        <v>17</v>
      </c>
      <c r="G801" s="2" t="s">
        <v>14</v>
      </c>
    </row>
    <row r="802" spans="1:7">
      <c r="A802" s="2">
        <v>801</v>
      </c>
      <c r="B802" s="2" t="s">
        <v>36</v>
      </c>
      <c r="C802" s="2" t="s">
        <v>16</v>
      </c>
      <c r="D802" s="2">
        <v>23</v>
      </c>
      <c r="E802" s="3">
        <v>44905</v>
      </c>
      <c r="F802" s="2" t="s">
        <v>13</v>
      </c>
      <c r="G802" s="2" t="s">
        <v>18</v>
      </c>
    </row>
    <row r="803" spans="1:7">
      <c r="A803" s="2">
        <v>802</v>
      </c>
      <c r="B803" s="2" t="s">
        <v>71</v>
      </c>
      <c r="C803" s="2" t="s">
        <v>16</v>
      </c>
      <c r="D803" s="2">
        <v>37</v>
      </c>
      <c r="E803" s="3">
        <v>28832</v>
      </c>
      <c r="F803" s="2" t="s">
        <v>13</v>
      </c>
      <c r="G803" s="2" t="s">
        <v>26</v>
      </c>
    </row>
    <row r="804" spans="1:7">
      <c r="A804" s="2">
        <v>803</v>
      </c>
      <c r="B804" s="2" t="s">
        <v>70</v>
      </c>
      <c r="C804" s="2" t="s">
        <v>12</v>
      </c>
      <c r="D804" s="2">
        <v>33</v>
      </c>
      <c r="E804" s="3">
        <v>40615</v>
      </c>
      <c r="F804" s="2" t="s">
        <v>28</v>
      </c>
      <c r="G804" s="2" t="s">
        <v>14</v>
      </c>
    </row>
    <row r="805" spans="1:7">
      <c r="A805" s="2">
        <v>804</v>
      </c>
      <c r="B805" s="2" t="s">
        <v>88</v>
      </c>
      <c r="C805" s="2" t="s">
        <v>22</v>
      </c>
      <c r="D805" s="2">
        <v>21</v>
      </c>
      <c r="E805" s="3">
        <v>63664</v>
      </c>
      <c r="F805" s="2" t="s">
        <v>9</v>
      </c>
      <c r="G805" s="2" t="s">
        <v>10</v>
      </c>
    </row>
    <row r="806" spans="1:7">
      <c r="A806" s="2">
        <v>805</v>
      </c>
      <c r="B806" s="2" t="s">
        <v>73</v>
      </c>
      <c r="C806" s="2" t="s">
        <v>8</v>
      </c>
      <c r="D806" s="2">
        <v>25</v>
      </c>
      <c r="E806" s="3">
        <v>78287</v>
      </c>
      <c r="F806" s="2" t="s">
        <v>28</v>
      </c>
      <c r="G806" s="2" t="s">
        <v>14</v>
      </c>
    </row>
    <row r="807" spans="1:7">
      <c r="A807" s="2">
        <v>806</v>
      </c>
      <c r="B807" s="2" t="s">
        <v>78</v>
      </c>
      <c r="C807" s="2" t="s">
        <v>16</v>
      </c>
      <c r="D807" s="2">
        <v>18</v>
      </c>
      <c r="E807" s="3">
        <v>43613</v>
      </c>
      <c r="F807" s="2" t="s">
        <v>25</v>
      </c>
      <c r="G807" s="2" t="s">
        <v>29</v>
      </c>
    </row>
    <row r="808" spans="1:7">
      <c r="A808" s="2">
        <v>807</v>
      </c>
      <c r="B808" s="2" t="s">
        <v>67</v>
      </c>
      <c r="C808" s="2" t="s">
        <v>16</v>
      </c>
      <c r="D808" s="2">
        <v>12</v>
      </c>
      <c r="E808" s="3">
        <v>82035</v>
      </c>
      <c r="F808" s="2" t="s">
        <v>32</v>
      </c>
      <c r="G808" s="2" t="s">
        <v>26</v>
      </c>
    </row>
    <row r="809" spans="1:7">
      <c r="A809" s="2">
        <v>808</v>
      </c>
      <c r="B809" s="2" t="s">
        <v>68</v>
      </c>
      <c r="C809" s="2" t="s">
        <v>12</v>
      </c>
      <c r="D809" s="2">
        <v>2</v>
      </c>
      <c r="E809" s="3">
        <v>82337</v>
      </c>
      <c r="F809" s="2" t="s">
        <v>20</v>
      </c>
      <c r="G809" s="2" t="s">
        <v>26</v>
      </c>
    </row>
    <row r="810" spans="1:7">
      <c r="A810" s="2">
        <v>809</v>
      </c>
      <c r="B810" s="2" t="s">
        <v>76</v>
      </c>
      <c r="C810" s="2" t="s">
        <v>8</v>
      </c>
      <c r="D810" s="2">
        <v>21</v>
      </c>
      <c r="E810" s="3">
        <v>46921</v>
      </c>
      <c r="F810" s="2" t="s">
        <v>25</v>
      </c>
      <c r="G810" s="2" t="s">
        <v>23</v>
      </c>
    </row>
    <row r="811" spans="1:7">
      <c r="A811" s="2">
        <v>810</v>
      </c>
      <c r="B811" s="2" t="s">
        <v>70</v>
      </c>
      <c r="C811" s="2" t="s">
        <v>12</v>
      </c>
      <c r="D811" s="2">
        <v>39</v>
      </c>
      <c r="E811" s="3">
        <v>49551</v>
      </c>
      <c r="F811" s="2" t="s">
        <v>25</v>
      </c>
      <c r="G811" s="2" t="s">
        <v>10</v>
      </c>
    </row>
    <row r="812" spans="1:7">
      <c r="A812" s="2">
        <v>811</v>
      </c>
      <c r="B812" s="2" t="s">
        <v>78</v>
      </c>
      <c r="C812" s="2" t="s">
        <v>16</v>
      </c>
      <c r="D812" s="2">
        <v>15</v>
      </c>
      <c r="E812" s="3">
        <v>90782</v>
      </c>
      <c r="F812" s="2" t="s">
        <v>38</v>
      </c>
      <c r="G812" s="2" t="s">
        <v>26</v>
      </c>
    </row>
    <row r="813" spans="1:7">
      <c r="A813" s="2">
        <v>812</v>
      </c>
      <c r="B813" s="2" t="s">
        <v>58</v>
      </c>
      <c r="C813" s="2" t="s">
        <v>22</v>
      </c>
      <c r="D813" s="2">
        <v>2</v>
      </c>
      <c r="E813" s="3">
        <v>78256</v>
      </c>
      <c r="F813" s="2" t="s">
        <v>28</v>
      </c>
      <c r="G813" s="2" t="s">
        <v>23</v>
      </c>
    </row>
    <row r="814" spans="1:7">
      <c r="A814" s="2">
        <v>813</v>
      </c>
      <c r="B814" s="2" t="s">
        <v>7</v>
      </c>
      <c r="C814" s="2" t="s">
        <v>8</v>
      </c>
      <c r="D814" s="2">
        <v>50</v>
      </c>
      <c r="E814" s="3">
        <v>52545</v>
      </c>
      <c r="F814" s="2" t="s">
        <v>32</v>
      </c>
      <c r="G814" s="2" t="s">
        <v>29</v>
      </c>
    </row>
    <row r="815" spans="1:7">
      <c r="A815" s="2">
        <v>814</v>
      </c>
      <c r="B815" s="2" t="s">
        <v>59</v>
      </c>
      <c r="C815" s="2" t="s">
        <v>22</v>
      </c>
      <c r="D815" s="2">
        <v>18</v>
      </c>
      <c r="E815" s="3">
        <v>39124</v>
      </c>
      <c r="F815" s="2" t="s">
        <v>32</v>
      </c>
      <c r="G815" s="2" t="s">
        <v>26</v>
      </c>
    </row>
    <row r="816" spans="1:7">
      <c r="A816" s="2">
        <v>815</v>
      </c>
      <c r="B816" s="2" t="s">
        <v>56</v>
      </c>
      <c r="C816" s="2" t="s">
        <v>22</v>
      </c>
      <c r="D816" s="2">
        <v>4</v>
      </c>
      <c r="E816" s="3">
        <v>61756</v>
      </c>
      <c r="F816" s="2" t="s">
        <v>32</v>
      </c>
      <c r="G816" s="2" t="s">
        <v>23</v>
      </c>
    </row>
    <row r="817" spans="1:7">
      <c r="A817" s="2">
        <v>816</v>
      </c>
      <c r="B817" s="2" t="s">
        <v>60</v>
      </c>
      <c r="C817" s="2" t="s">
        <v>12</v>
      </c>
      <c r="D817" s="2">
        <v>31</v>
      </c>
      <c r="E817" s="3">
        <v>91466</v>
      </c>
      <c r="F817" s="2" t="s">
        <v>38</v>
      </c>
      <c r="G817" s="2" t="s">
        <v>29</v>
      </c>
    </row>
    <row r="818" spans="1:7">
      <c r="A818" s="2">
        <v>817</v>
      </c>
      <c r="B818" s="2" t="s">
        <v>33</v>
      </c>
      <c r="C818" s="2" t="s">
        <v>16</v>
      </c>
      <c r="D818" s="2">
        <v>34</v>
      </c>
      <c r="E818" s="3">
        <v>45030</v>
      </c>
      <c r="F818" s="2" t="s">
        <v>17</v>
      </c>
      <c r="G818" s="2" t="s">
        <v>14</v>
      </c>
    </row>
    <row r="819" spans="1:7">
      <c r="A819" s="2">
        <v>818</v>
      </c>
      <c r="B819" s="2" t="s">
        <v>85</v>
      </c>
      <c r="C819" s="2" t="s">
        <v>22</v>
      </c>
      <c r="D819" s="2">
        <v>23</v>
      </c>
      <c r="E819" s="3">
        <v>71010</v>
      </c>
      <c r="F819" s="2" t="s">
        <v>20</v>
      </c>
      <c r="G819" s="2" t="s">
        <v>14</v>
      </c>
    </row>
    <row r="820" spans="1:7">
      <c r="A820" s="2">
        <v>819</v>
      </c>
      <c r="B820" s="2" t="s">
        <v>68</v>
      </c>
      <c r="C820" s="2" t="s">
        <v>8</v>
      </c>
      <c r="D820" s="2">
        <v>50</v>
      </c>
      <c r="E820" s="3">
        <v>83941</v>
      </c>
      <c r="F820" s="2" t="s">
        <v>9</v>
      </c>
      <c r="G820" s="2" t="s">
        <v>26</v>
      </c>
    </row>
    <row r="821" spans="1:7">
      <c r="A821" s="2">
        <v>820</v>
      </c>
      <c r="B821" s="2" t="s">
        <v>83</v>
      </c>
      <c r="C821" s="2" t="s">
        <v>12</v>
      </c>
      <c r="D821" s="2">
        <v>38</v>
      </c>
      <c r="E821" s="3">
        <v>51857</v>
      </c>
      <c r="F821" s="2" t="s">
        <v>25</v>
      </c>
      <c r="G821" s="2" t="s">
        <v>29</v>
      </c>
    </row>
    <row r="822" spans="1:7">
      <c r="A822" s="2">
        <v>821</v>
      </c>
      <c r="B822" s="2" t="s">
        <v>54</v>
      </c>
      <c r="C822" s="2" t="s">
        <v>8</v>
      </c>
      <c r="D822" s="2">
        <v>15</v>
      </c>
      <c r="E822" s="3">
        <v>61464</v>
      </c>
      <c r="F822" s="2" t="s">
        <v>9</v>
      </c>
      <c r="G822" s="2" t="s">
        <v>10</v>
      </c>
    </row>
    <row r="823" spans="1:7">
      <c r="A823" s="2">
        <v>822</v>
      </c>
      <c r="B823" s="2" t="s">
        <v>62</v>
      </c>
      <c r="C823" s="2" t="s">
        <v>22</v>
      </c>
      <c r="D823" s="2">
        <v>11</v>
      </c>
      <c r="E823" s="3">
        <v>70215</v>
      </c>
      <c r="F823" s="2" t="s">
        <v>17</v>
      </c>
      <c r="G823" s="2" t="s">
        <v>26</v>
      </c>
    </row>
    <row r="824" spans="1:7">
      <c r="A824" s="2">
        <v>823</v>
      </c>
      <c r="B824" s="2" t="s">
        <v>7</v>
      </c>
      <c r="C824" s="2" t="s">
        <v>8</v>
      </c>
      <c r="D824" s="2">
        <v>7</v>
      </c>
      <c r="E824" s="3">
        <v>64931</v>
      </c>
      <c r="F824" s="2" t="s">
        <v>25</v>
      </c>
      <c r="G824" s="2" t="s">
        <v>14</v>
      </c>
    </row>
    <row r="825" spans="1:7">
      <c r="A825" s="2">
        <v>824</v>
      </c>
      <c r="B825" s="2" t="s">
        <v>42</v>
      </c>
      <c r="C825" s="2" t="s">
        <v>12</v>
      </c>
      <c r="D825" s="2">
        <v>16</v>
      </c>
      <c r="E825" s="3">
        <v>55840</v>
      </c>
      <c r="F825" s="2" t="s">
        <v>13</v>
      </c>
      <c r="G825" s="2" t="s">
        <v>10</v>
      </c>
    </row>
    <row r="826" spans="1:7">
      <c r="A826" s="2">
        <v>825</v>
      </c>
      <c r="B826" s="2" t="s">
        <v>65</v>
      </c>
      <c r="C826" s="2" t="s">
        <v>12</v>
      </c>
      <c r="D826" s="2">
        <v>43</v>
      </c>
      <c r="E826" s="3">
        <v>35956</v>
      </c>
      <c r="F826" s="2" t="s">
        <v>9</v>
      </c>
      <c r="G826" s="2" t="s">
        <v>23</v>
      </c>
    </row>
    <row r="827" spans="1:7">
      <c r="A827" s="2">
        <v>826</v>
      </c>
      <c r="B827" s="2" t="s">
        <v>75</v>
      </c>
      <c r="C827" s="2" t="s">
        <v>16</v>
      </c>
      <c r="D827" s="2">
        <v>16</v>
      </c>
      <c r="E827" s="3">
        <v>71884</v>
      </c>
      <c r="F827" s="2" t="s">
        <v>9</v>
      </c>
      <c r="G827" s="2" t="s">
        <v>14</v>
      </c>
    </row>
    <row r="828" spans="1:7">
      <c r="A828" s="2">
        <v>827</v>
      </c>
      <c r="B828" s="2" t="s">
        <v>74</v>
      </c>
      <c r="C828" s="2" t="s">
        <v>8</v>
      </c>
      <c r="D828" s="2">
        <v>18</v>
      </c>
      <c r="E828" s="3">
        <v>42087</v>
      </c>
      <c r="F828" s="2" t="s">
        <v>25</v>
      </c>
      <c r="G828" s="2" t="s">
        <v>29</v>
      </c>
    </row>
    <row r="829" spans="1:7">
      <c r="A829" s="2">
        <v>828</v>
      </c>
      <c r="B829" s="2" t="s">
        <v>33</v>
      </c>
      <c r="C829" s="2" t="s">
        <v>12</v>
      </c>
      <c r="D829" s="2">
        <v>35</v>
      </c>
      <c r="E829" s="3">
        <v>34601</v>
      </c>
      <c r="F829" s="2" t="s">
        <v>25</v>
      </c>
      <c r="G829" s="2" t="s">
        <v>26</v>
      </c>
    </row>
    <row r="830" spans="1:7">
      <c r="A830" s="2">
        <v>829</v>
      </c>
      <c r="B830" s="2" t="s">
        <v>63</v>
      </c>
      <c r="C830" s="2" t="s">
        <v>12</v>
      </c>
      <c r="D830" s="2">
        <v>48</v>
      </c>
      <c r="E830" s="3">
        <v>33400</v>
      </c>
      <c r="F830" s="2" t="s">
        <v>32</v>
      </c>
      <c r="G830" s="2" t="s">
        <v>26</v>
      </c>
    </row>
    <row r="831" spans="1:7">
      <c r="A831" s="2">
        <v>830</v>
      </c>
      <c r="B831" s="2" t="s">
        <v>33</v>
      </c>
      <c r="C831" s="2" t="s">
        <v>16</v>
      </c>
      <c r="D831" s="2">
        <v>4</v>
      </c>
      <c r="E831" s="3">
        <v>76499</v>
      </c>
      <c r="F831" s="2" t="s">
        <v>32</v>
      </c>
      <c r="G831" s="2" t="s">
        <v>29</v>
      </c>
    </row>
    <row r="832" spans="1:7">
      <c r="A832" s="2">
        <v>831</v>
      </c>
      <c r="B832" s="2" t="s">
        <v>42</v>
      </c>
      <c r="C832" s="2" t="s">
        <v>12</v>
      </c>
      <c r="D832" s="2">
        <v>49</v>
      </c>
      <c r="E832" s="3">
        <v>40602</v>
      </c>
      <c r="F832" s="2" t="s">
        <v>38</v>
      </c>
      <c r="G832" s="2" t="s">
        <v>14</v>
      </c>
    </row>
    <row r="833" spans="1:7">
      <c r="A833" s="2">
        <v>832</v>
      </c>
      <c r="B833" s="2" t="s">
        <v>30</v>
      </c>
      <c r="C833" s="2" t="s">
        <v>22</v>
      </c>
      <c r="D833" s="2">
        <v>15</v>
      </c>
      <c r="E833" s="3">
        <v>72557</v>
      </c>
      <c r="F833" s="2" t="s">
        <v>13</v>
      </c>
      <c r="G833" s="2" t="s">
        <v>29</v>
      </c>
    </row>
    <row r="834" spans="1:7">
      <c r="A834" s="2">
        <v>833</v>
      </c>
      <c r="B834" s="2" t="s">
        <v>34</v>
      </c>
      <c r="C834" s="2" t="s">
        <v>8</v>
      </c>
      <c r="D834" s="2">
        <v>37</v>
      </c>
      <c r="E834" s="3">
        <v>56658</v>
      </c>
      <c r="F834" s="2" t="s">
        <v>38</v>
      </c>
      <c r="G834" s="2" t="s">
        <v>26</v>
      </c>
    </row>
    <row r="835" spans="1:7">
      <c r="A835" s="2">
        <v>834</v>
      </c>
      <c r="B835" s="2" t="s">
        <v>88</v>
      </c>
      <c r="C835" s="2" t="s">
        <v>16</v>
      </c>
      <c r="D835" s="2">
        <v>25</v>
      </c>
      <c r="E835" s="3">
        <v>82009</v>
      </c>
      <c r="F835" s="2" t="s">
        <v>28</v>
      </c>
      <c r="G835" s="2" t="s">
        <v>14</v>
      </c>
    </row>
    <row r="836" spans="1:7">
      <c r="A836" s="2">
        <v>835</v>
      </c>
      <c r="B836" s="2" t="s">
        <v>88</v>
      </c>
      <c r="C836" s="2" t="s">
        <v>22</v>
      </c>
      <c r="D836" s="2">
        <v>23</v>
      </c>
      <c r="E836" s="3">
        <v>41515</v>
      </c>
      <c r="F836" s="2" t="s">
        <v>13</v>
      </c>
      <c r="G836" s="2" t="s">
        <v>18</v>
      </c>
    </row>
    <row r="837" spans="1:7">
      <c r="A837" s="2">
        <v>836</v>
      </c>
      <c r="B837" s="2" t="s">
        <v>70</v>
      </c>
      <c r="C837" s="2" t="s">
        <v>22</v>
      </c>
      <c r="D837" s="2">
        <v>12</v>
      </c>
      <c r="E837" s="3">
        <v>61309</v>
      </c>
      <c r="F837" s="2" t="s">
        <v>32</v>
      </c>
      <c r="G837" s="2" t="s">
        <v>14</v>
      </c>
    </row>
    <row r="838" spans="1:7">
      <c r="A838" s="2">
        <v>837</v>
      </c>
      <c r="B838" s="2" t="s">
        <v>33</v>
      </c>
      <c r="C838" s="2" t="s">
        <v>8</v>
      </c>
      <c r="D838" s="2">
        <v>12</v>
      </c>
      <c r="E838" s="3">
        <v>69282</v>
      </c>
      <c r="F838" s="2" t="s">
        <v>32</v>
      </c>
      <c r="G838" s="2" t="s">
        <v>10</v>
      </c>
    </row>
    <row r="839" spans="1:7">
      <c r="A839" s="2">
        <v>838</v>
      </c>
      <c r="B839" s="2" t="s">
        <v>79</v>
      </c>
      <c r="C839" s="2" t="s">
        <v>16</v>
      </c>
      <c r="D839" s="2">
        <v>16</v>
      </c>
      <c r="E839" s="3">
        <v>94534</v>
      </c>
      <c r="F839" s="2" t="s">
        <v>32</v>
      </c>
      <c r="G839" s="2" t="s">
        <v>23</v>
      </c>
    </row>
    <row r="840" spans="1:7">
      <c r="A840" s="2">
        <v>839</v>
      </c>
      <c r="B840" s="2" t="s">
        <v>15</v>
      </c>
      <c r="C840" s="2" t="s">
        <v>12</v>
      </c>
      <c r="D840" s="2">
        <v>38</v>
      </c>
      <c r="E840" s="3">
        <v>97526</v>
      </c>
      <c r="F840" s="2" t="s">
        <v>20</v>
      </c>
      <c r="G840" s="2" t="s">
        <v>29</v>
      </c>
    </row>
    <row r="841" spans="1:7">
      <c r="A841" s="2">
        <v>840</v>
      </c>
      <c r="B841" s="2" t="s">
        <v>90</v>
      </c>
      <c r="C841" s="2" t="s">
        <v>16</v>
      </c>
      <c r="D841" s="2">
        <v>21</v>
      </c>
      <c r="E841" s="3">
        <v>36028</v>
      </c>
      <c r="F841" s="2" t="s">
        <v>25</v>
      </c>
      <c r="G841" s="2" t="s">
        <v>23</v>
      </c>
    </row>
    <row r="842" spans="1:7">
      <c r="A842" s="2">
        <v>841</v>
      </c>
      <c r="B842" s="2" t="s">
        <v>71</v>
      </c>
      <c r="C842" s="2" t="s">
        <v>12</v>
      </c>
      <c r="D842" s="2">
        <v>48</v>
      </c>
      <c r="E842" s="3">
        <v>84645</v>
      </c>
      <c r="F842" s="2" t="s">
        <v>9</v>
      </c>
      <c r="G842" s="2" t="s">
        <v>14</v>
      </c>
    </row>
    <row r="843" spans="1:7">
      <c r="A843" s="2">
        <v>842</v>
      </c>
      <c r="B843" s="2" t="s">
        <v>36</v>
      </c>
      <c r="C843" s="2" t="s">
        <v>8</v>
      </c>
      <c r="D843" s="2">
        <v>45</v>
      </c>
      <c r="E843" s="3">
        <v>27846</v>
      </c>
      <c r="F843" s="2" t="s">
        <v>9</v>
      </c>
      <c r="G843" s="2" t="s">
        <v>14</v>
      </c>
    </row>
    <row r="844" spans="1:7">
      <c r="A844" s="2">
        <v>843</v>
      </c>
      <c r="B844" s="2" t="s">
        <v>54</v>
      </c>
      <c r="C844" s="2" t="s">
        <v>8</v>
      </c>
      <c r="D844" s="2">
        <v>23</v>
      </c>
      <c r="E844" s="3">
        <v>33076</v>
      </c>
      <c r="F844" s="2" t="s">
        <v>17</v>
      </c>
      <c r="G844" s="2" t="s">
        <v>14</v>
      </c>
    </row>
    <row r="845" spans="1:7">
      <c r="A845" s="2">
        <v>844</v>
      </c>
      <c r="B845" s="2" t="s">
        <v>7</v>
      </c>
      <c r="C845" s="2" t="s">
        <v>22</v>
      </c>
      <c r="D845" s="2">
        <v>38</v>
      </c>
      <c r="E845" s="3">
        <v>87993</v>
      </c>
      <c r="F845" s="2" t="s">
        <v>9</v>
      </c>
      <c r="G845" s="2" t="s">
        <v>10</v>
      </c>
    </row>
    <row r="846" spans="1:7">
      <c r="A846" s="2">
        <v>845</v>
      </c>
      <c r="B846" s="2" t="s">
        <v>42</v>
      </c>
      <c r="C846" s="2" t="s">
        <v>22</v>
      </c>
      <c r="D846" s="2">
        <v>2</v>
      </c>
      <c r="E846" s="3">
        <v>65998</v>
      </c>
      <c r="F846" s="2" t="s">
        <v>32</v>
      </c>
      <c r="G846" s="2" t="s">
        <v>23</v>
      </c>
    </row>
    <row r="847" spans="1:7">
      <c r="A847" s="2">
        <v>846</v>
      </c>
      <c r="B847" s="2" t="s">
        <v>21</v>
      </c>
      <c r="C847" s="2" t="s">
        <v>22</v>
      </c>
      <c r="D847" s="2">
        <v>46</v>
      </c>
      <c r="E847" s="3">
        <v>31641</v>
      </c>
      <c r="F847" s="2" t="s">
        <v>13</v>
      </c>
      <c r="G847" s="2" t="s">
        <v>23</v>
      </c>
    </row>
    <row r="848" spans="1:7">
      <c r="A848" s="2">
        <v>847</v>
      </c>
      <c r="B848" s="2" t="s">
        <v>49</v>
      </c>
      <c r="C848" s="2" t="s">
        <v>8</v>
      </c>
      <c r="D848" s="2">
        <v>45</v>
      </c>
      <c r="E848" s="3">
        <v>50629</v>
      </c>
      <c r="F848" s="2" t="s">
        <v>13</v>
      </c>
      <c r="G848" s="2" t="s">
        <v>29</v>
      </c>
    </row>
    <row r="849" spans="1:7">
      <c r="A849" s="2">
        <v>848</v>
      </c>
      <c r="B849" s="2" t="s">
        <v>31</v>
      </c>
      <c r="C849" s="2" t="s">
        <v>12</v>
      </c>
      <c r="D849" s="2">
        <v>23</v>
      </c>
      <c r="E849" s="3">
        <v>97702</v>
      </c>
      <c r="F849" s="2" t="s">
        <v>38</v>
      </c>
      <c r="G849" s="2" t="s">
        <v>14</v>
      </c>
    </row>
    <row r="850" spans="1:7">
      <c r="A850" s="2">
        <v>849</v>
      </c>
      <c r="B850" s="2" t="s">
        <v>72</v>
      </c>
      <c r="C850" s="2" t="s">
        <v>8</v>
      </c>
      <c r="D850" s="2">
        <v>37</v>
      </c>
      <c r="E850" s="3">
        <v>30605</v>
      </c>
      <c r="F850" s="2" t="s">
        <v>13</v>
      </c>
      <c r="G850" s="2" t="s">
        <v>29</v>
      </c>
    </row>
    <row r="851" spans="1:7">
      <c r="A851" s="2">
        <v>850</v>
      </c>
      <c r="B851" s="2" t="s">
        <v>42</v>
      </c>
      <c r="C851" s="2" t="s">
        <v>8</v>
      </c>
      <c r="D851" s="2">
        <v>37</v>
      </c>
      <c r="E851" s="3">
        <v>71706</v>
      </c>
      <c r="F851" s="2" t="s">
        <v>17</v>
      </c>
      <c r="G851" s="2" t="s">
        <v>10</v>
      </c>
    </row>
    <row r="852" spans="1:7">
      <c r="A852" s="2">
        <v>851</v>
      </c>
      <c r="B852" s="2" t="s">
        <v>50</v>
      </c>
      <c r="C852" s="2" t="s">
        <v>22</v>
      </c>
      <c r="D852" s="2">
        <v>10</v>
      </c>
      <c r="E852" s="3">
        <v>86134</v>
      </c>
      <c r="F852" s="2" t="s">
        <v>13</v>
      </c>
      <c r="G852" s="2" t="s">
        <v>18</v>
      </c>
    </row>
    <row r="853" spans="1:7">
      <c r="A853" s="2">
        <v>852</v>
      </c>
      <c r="B853" s="2" t="s">
        <v>57</v>
      </c>
      <c r="C853" s="2" t="s">
        <v>16</v>
      </c>
      <c r="D853" s="2">
        <v>37</v>
      </c>
      <c r="E853" s="3">
        <v>42692</v>
      </c>
      <c r="F853" s="2" t="s">
        <v>38</v>
      </c>
      <c r="G853" s="2" t="s">
        <v>26</v>
      </c>
    </row>
    <row r="854" spans="1:7">
      <c r="A854" s="2">
        <v>853</v>
      </c>
      <c r="B854" s="2" t="s">
        <v>7</v>
      </c>
      <c r="C854" s="2" t="s">
        <v>22</v>
      </c>
      <c r="D854" s="2">
        <v>13</v>
      </c>
      <c r="E854" s="3">
        <v>95613</v>
      </c>
      <c r="F854" s="2" t="s">
        <v>20</v>
      </c>
      <c r="G854" s="2" t="s">
        <v>26</v>
      </c>
    </row>
    <row r="855" spans="1:7">
      <c r="A855" s="2">
        <v>854</v>
      </c>
      <c r="B855" s="2" t="s">
        <v>83</v>
      </c>
      <c r="C855" s="2" t="s">
        <v>16</v>
      </c>
      <c r="D855" s="2">
        <v>32</v>
      </c>
      <c r="E855" s="3">
        <v>26167</v>
      </c>
      <c r="F855" s="2" t="s">
        <v>9</v>
      </c>
      <c r="G855" s="2" t="s">
        <v>10</v>
      </c>
    </row>
    <row r="856" spans="1:7">
      <c r="A856" s="2">
        <v>855</v>
      </c>
      <c r="B856" s="2" t="s">
        <v>35</v>
      </c>
      <c r="C856" s="2" t="s">
        <v>12</v>
      </c>
      <c r="D856" s="2">
        <v>35</v>
      </c>
      <c r="E856" s="3">
        <v>43670</v>
      </c>
      <c r="F856" s="2" t="s">
        <v>9</v>
      </c>
      <c r="G856" s="2" t="s">
        <v>18</v>
      </c>
    </row>
    <row r="857" spans="1:7">
      <c r="A857" s="2">
        <v>856</v>
      </c>
      <c r="B857" s="2" t="s">
        <v>74</v>
      </c>
      <c r="C857" s="2" t="s">
        <v>12</v>
      </c>
      <c r="D857" s="2">
        <v>20</v>
      </c>
      <c r="E857" s="3">
        <v>96717</v>
      </c>
      <c r="F857" s="2" t="s">
        <v>38</v>
      </c>
      <c r="G857" s="2" t="s">
        <v>14</v>
      </c>
    </row>
    <row r="858" spans="1:7">
      <c r="A858" s="2">
        <v>857</v>
      </c>
      <c r="B858" s="2" t="s">
        <v>56</v>
      </c>
      <c r="C858" s="2" t="s">
        <v>12</v>
      </c>
      <c r="D858" s="2">
        <v>12</v>
      </c>
      <c r="E858" s="3">
        <v>52258</v>
      </c>
      <c r="F858" s="2" t="s">
        <v>32</v>
      </c>
      <c r="G858" s="2" t="s">
        <v>26</v>
      </c>
    </row>
    <row r="859" spans="1:7">
      <c r="A859" s="2">
        <v>858</v>
      </c>
      <c r="B859" s="2" t="s">
        <v>90</v>
      </c>
      <c r="C859" s="2" t="s">
        <v>22</v>
      </c>
      <c r="D859" s="2">
        <v>32</v>
      </c>
      <c r="E859" s="3">
        <v>83772</v>
      </c>
      <c r="F859" s="2" t="s">
        <v>13</v>
      </c>
      <c r="G859" s="2" t="s">
        <v>23</v>
      </c>
    </row>
    <row r="860" spans="1:7">
      <c r="A860" s="2">
        <v>859</v>
      </c>
      <c r="B860" s="2" t="s">
        <v>84</v>
      </c>
      <c r="C860" s="2" t="s">
        <v>22</v>
      </c>
      <c r="D860" s="2">
        <v>3</v>
      </c>
      <c r="E860" s="3">
        <v>27710</v>
      </c>
      <c r="F860" s="2" t="s">
        <v>38</v>
      </c>
      <c r="G860" s="2" t="s">
        <v>23</v>
      </c>
    </row>
    <row r="861" spans="1:7">
      <c r="A861" s="2">
        <v>860</v>
      </c>
      <c r="B861" s="2" t="s">
        <v>55</v>
      </c>
      <c r="C861" s="2" t="s">
        <v>22</v>
      </c>
      <c r="D861" s="2">
        <v>6</v>
      </c>
      <c r="E861" s="3">
        <v>65375</v>
      </c>
      <c r="F861" s="2" t="s">
        <v>13</v>
      </c>
      <c r="G861" s="2" t="s">
        <v>29</v>
      </c>
    </row>
    <row r="862" spans="1:7">
      <c r="A862" s="2">
        <v>861</v>
      </c>
      <c r="B862" s="2" t="s">
        <v>76</v>
      </c>
      <c r="C862" s="2" t="s">
        <v>8</v>
      </c>
      <c r="D862" s="2">
        <v>4</v>
      </c>
      <c r="E862" s="3">
        <v>79634</v>
      </c>
      <c r="F862" s="2" t="s">
        <v>38</v>
      </c>
      <c r="G862" s="2" t="s">
        <v>18</v>
      </c>
    </row>
    <row r="863" spans="1:7">
      <c r="A863" s="2">
        <v>862</v>
      </c>
      <c r="B863" s="2" t="s">
        <v>42</v>
      </c>
      <c r="C863" s="2" t="s">
        <v>22</v>
      </c>
      <c r="D863" s="2">
        <v>15</v>
      </c>
      <c r="E863" s="3">
        <v>57786</v>
      </c>
      <c r="F863" s="2" t="s">
        <v>32</v>
      </c>
      <c r="G863" s="2" t="s">
        <v>29</v>
      </c>
    </row>
    <row r="864" spans="1:7">
      <c r="A864" s="2">
        <v>863</v>
      </c>
      <c r="B864" s="2" t="s">
        <v>70</v>
      </c>
      <c r="C864" s="2" t="s">
        <v>8</v>
      </c>
      <c r="D864" s="2">
        <v>39</v>
      </c>
      <c r="E864" s="3">
        <v>82534</v>
      </c>
      <c r="F864" s="2" t="s">
        <v>28</v>
      </c>
      <c r="G864" s="2" t="s">
        <v>14</v>
      </c>
    </row>
    <row r="865" spans="1:7">
      <c r="A865" s="2">
        <v>864</v>
      </c>
      <c r="B865" s="2" t="s">
        <v>62</v>
      </c>
      <c r="C865" s="2" t="s">
        <v>12</v>
      </c>
      <c r="D865" s="2">
        <v>15</v>
      </c>
      <c r="E865" s="3">
        <v>77575</v>
      </c>
      <c r="F865" s="2" t="s">
        <v>9</v>
      </c>
      <c r="G865" s="2" t="s">
        <v>23</v>
      </c>
    </row>
    <row r="866" spans="1:7">
      <c r="A866" s="2">
        <v>865</v>
      </c>
      <c r="B866" s="2" t="s">
        <v>43</v>
      </c>
      <c r="C866" s="2" t="s">
        <v>22</v>
      </c>
      <c r="D866" s="2">
        <v>2</v>
      </c>
      <c r="E866" s="3">
        <v>94671</v>
      </c>
      <c r="F866" s="2" t="s">
        <v>13</v>
      </c>
      <c r="G866" s="2" t="s">
        <v>29</v>
      </c>
    </row>
    <row r="867" spans="1:7">
      <c r="A867" s="2">
        <v>866</v>
      </c>
      <c r="B867" s="2" t="s">
        <v>7</v>
      </c>
      <c r="C867" s="2" t="s">
        <v>8</v>
      </c>
      <c r="D867" s="2">
        <v>34</v>
      </c>
      <c r="E867" s="3">
        <v>48137</v>
      </c>
      <c r="F867" s="2" t="s">
        <v>28</v>
      </c>
      <c r="G867" s="2" t="s">
        <v>18</v>
      </c>
    </row>
    <row r="868" spans="1:7">
      <c r="A868" s="2">
        <v>867</v>
      </c>
      <c r="B868" s="2" t="s">
        <v>80</v>
      </c>
      <c r="C868" s="2" t="s">
        <v>12</v>
      </c>
      <c r="D868" s="2">
        <v>31</v>
      </c>
      <c r="E868" s="3">
        <v>28199</v>
      </c>
      <c r="F868" s="2" t="s">
        <v>28</v>
      </c>
      <c r="G868" s="2" t="s">
        <v>14</v>
      </c>
    </row>
    <row r="869" spans="1:7">
      <c r="A869" s="2">
        <v>868</v>
      </c>
      <c r="B869" s="2" t="s">
        <v>70</v>
      </c>
      <c r="C869" s="2" t="s">
        <v>12</v>
      </c>
      <c r="D869" s="2">
        <v>1</v>
      </c>
      <c r="E869" s="3">
        <v>65557</v>
      </c>
      <c r="F869" s="2" t="s">
        <v>9</v>
      </c>
      <c r="G869" s="2" t="s">
        <v>14</v>
      </c>
    </row>
    <row r="870" spans="1:7">
      <c r="A870" s="2">
        <v>869</v>
      </c>
      <c r="B870" s="2" t="s">
        <v>93</v>
      </c>
      <c r="C870" s="2" t="s">
        <v>22</v>
      </c>
      <c r="D870" s="2">
        <v>22</v>
      </c>
      <c r="E870" s="3">
        <v>84528</v>
      </c>
      <c r="F870" s="2" t="s">
        <v>25</v>
      </c>
      <c r="G870" s="2" t="s">
        <v>18</v>
      </c>
    </row>
    <row r="871" spans="1:7">
      <c r="A871" s="2">
        <v>870</v>
      </c>
      <c r="B871" s="2" t="s">
        <v>66</v>
      </c>
      <c r="C871" s="2" t="s">
        <v>16</v>
      </c>
      <c r="D871" s="2">
        <v>40</v>
      </c>
      <c r="E871" s="3">
        <v>72159</v>
      </c>
      <c r="F871" s="2" t="s">
        <v>13</v>
      </c>
      <c r="G871" s="2" t="s">
        <v>29</v>
      </c>
    </row>
    <row r="872" spans="1:7">
      <c r="A872" s="2">
        <v>871</v>
      </c>
      <c r="B872" s="2" t="s">
        <v>79</v>
      </c>
      <c r="C872" s="2" t="s">
        <v>16</v>
      </c>
      <c r="D872" s="2">
        <v>13</v>
      </c>
      <c r="E872" s="3">
        <v>77908</v>
      </c>
      <c r="F872" s="2" t="s">
        <v>28</v>
      </c>
      <c r="G872" s="2" t="s">
        <v>10</v>
      </c>
    </row>
    <row r="873" spans="1:7">
      <c r="A873" s="2">
        <v>872</v>
      </c>
      <c r="B873" s="2" t="s">
        <v>7</v>
      </c>
      <c r="C873" s="2" t="s">
        <v>12</v>
      </c>
      <c r="D873" s="2">
        <v>9</v>
      </c>
      <c r="E873" s="3">
        <v>93756</v>
      </c>
      <c r="F873" s="2" t="s">
        <v>38</v>
      </c>
      <c r="G873" s="2" t="s">
        <v>29</v>
      </c>
    </row>
    <row r="874" spans="1:7">
      <c r="A874" s="2">
        <v>873</v>
      </c>
      <c r="B874" s="2" t="s">
        <v>81</v>
      </c>
      <c r="C874" s="2" t="s">
        <v>16</v>
      </c>
      <c r="D874" s="2">
        <v>22</v>
      </c>
      <c r="E874" s="3">
        <v>25260</v>
      </c>
      <c r="F874" s="2" t="s">
        <v>25</v>
      </c>
      <c r="G874" s="2" t="s">
        <v>26</v>
      </c>
    </row>
    <row r="875" spans="1:7">
      <c r="A875" s="2">
        <v>874</v>
      </c>
      <c r="B875" s="2" t="s">
        <v>42</v>
      </c>
      <c r="C875" s="2" t="s">
        <v>16</v>
      </c>
      <c r="D875" s="2">
        <v>46</v>
      </c>
      <c r="E875" s="3">
        <v>89726</v>
      </c>
      <c r="F875" s="2" t="s">
        <v>9</v>
      </c>
      <c r="G875" s="2" t="s">
        <v>18</v>
      </c>
    </row>
    <row r="876" spans="1:7">
      <c r="A876" s="2">
        <v>875</v>
      </c>
      <c r="B876" s="2" t="s">
        <v>72</v>
      </c>
      <c r="C876" s="2" t="s">
        <v>8</v>
      </c>
      <c r="D876" s="2">
        <v>12</v>
      </c>
      <c r="E876" s="3">
        <v>27062</v>
      </c>
      <c r="F876" s="2" t="s">
        <v>9</v>
      </c>
      <c r="G876" s="2" t="s">
        <v>23</v>
      </c>
    </row>
    <row r="877" spans="1:7">
      <c r="A877" s="2">
        <v>876</v>
      </c>
      <c r="B877" s="2" t="s">
        <v>44</v>
      </c>
      <c r="C877" s="2" t="s">
        <v>8</v>
      </c>
      <c r="D877" s="2">
        <v>21</v>
      </c>
      <c r="E877" s="3">
        <v>86202</v>
      </c>
      <c r="F877" s="2" t="s">
        <v>20</v>
      </c>
      <c r="G877" s="2" t="s">
        <v>29</v>
      </c>
    </row>
    <row r="878" spans="1:7">
      <c r="A878" s="2">
        <v>877</v>
      </c>
      <c r="B878" s="2" t="s">
        <v>91</v>
      </c>
      <c r="C878" s="2" t="s">
        <v>8</v>
      </c>
      <c r="D878" s="2">
        <v>4</v>
      </c>
      <c r="E878" s="3">
        <v>57244</v>
      </c>
      <c r="F878" s="2" t="s">
        <v>20</v>
      </c>
      <c r="G878" s="2" t="s">
        <v>10</v>
      </c>
    </row>
    <row r="879" spans="1:7">
      <c r="A879" s="2">
        <v>878</v>
      </c>
      <c r="B879" s="2" t="s">
        <v>60</v>
      </c>
      <c r="C879" s="2" t="s">
        <v>12</v>
      </c>
      <c r="D879" s="2">
        <v>2</v>
      </c>
      <c r="E879" s="3">
        <v>49256</v>
      </c>
      <c r="F879" s="2" t="s">
        <v>25</v>
      </c>
      <c r="G879" s="2" t="s">
        <v>29</v>
      </c>
    </row>
    <row r="880" spans="1:7">
      <c r="A880" s="2">
        <v>879</v>
      </c>
      <c r="B880" s="2" t="s">
        <v>11</v>
      </c>
      <c r="C880" s="2" t="s">
        <v>16</v>
      </c>
      <c r="D880" s="2">
        <v>10</v>
      </c>
      <c r="E880" s="3">
        <v>99465</v>
      </c>
      <c r="F880" s="2" t="s">
        <v>25</v>
      </c>
      <c r="G880" s="2" t="s">
        <v>23</v>
      </c>
    </row>
    <row r="881" spans="1:7">
      <c r="A881" s="2">
        <v>880</v>
      </c>
      <c r="B881" s="2" t="s">
        <v>83</v>
      </c>
      <c r="C881" s="2" t="s">
        <v>22</v>
      </c>
      <c r="D881" s="2">
        <v>38</v>
      </c>
      <c r="E881" s="3">
        <v>43756</v>
      </c>
      <c r="F881" s="2" t="s">
        <v>13</v>
      </c>
      <c r="G881" s="2" t="s">
        <v>14</v>
      </c>
    </row>
    <row r="882" spans="1:7">
      <c r="A882" s="2">
        <v>881</v>
      </c>
      <c r="B882" s="2" t="s">
        <v>15</v>
      </c>
      <c r="C882" s="2" t="s">
        <v>16</v>
      </c>
      <c r="D882" s="2">
        <v>46</v>
      </c>
      <c r="E882" s="3">
        <v>83517</v>
      </c>
      <c r="F882" s="2" t="s">
        <v>13</v>
      </c>
      <c r="G882" s="2" t="s">
        <v>29</v>
      </c>
    </row>
    <row r="883" spans="1:7">
      <c r="A883" s="2">
        <v>882</v>
      </c>
      <c r="B883" s="2" t="s">
        <v>40</v>
      </c>
      <c r="C883" s="2" t="s">
        <v>12</v>
      </c>
      <c r="D883" s="2">
        <v>10</v>
      </c>
      <c r="E883" s="3">
        <v>55851</v>
      </c>
      <c r="F883" s="2" t="s">
        <v>17</v>
      </c>
      <c r="G883" s="2" t="s">
        <v>14</v>
      </c>
    </row>
    <row r="884" spans="1:7">
      <c r="A884" s="2">
        <v>883</v>
      </c>
      <c r="B884" s="2" t="s">
        <v>71</v>
      </c>
      <c r="C884" s="2" t="s">
        <v>8</v>
      </c>
      <c r="D884" s="2">
        <v>50</v>
      </c>
      <c r="E884" s="3">
        <v>69731</v>
      </c>
      <c r="F884" s="2" t="s">
        <v>9</v>
      </c>
      <c r="G884" s="2" t="s">
        <v>26</v>
      </c>
    </row>
    <row r="885" spans="1:7">
      <c r="A885" s="2">
        <v>884</v>
      </c>
      <c r="B885" s="2" t="s">
        <v>55</v>
      </c>
      <c r="C885" s="2" t="s">
        <v>12</v>
      </c>
      <c r="D885" s="2">
        <v>8</v>
      </c>
      <c r="E885" s="3">
        <v>79867</v>
      </c>
      <c r="F885" s="2" t="s">
        <v>38</v>
      </c>
      <c r="G885" s="2" t="s">
        <v>23</v>
      </c>
    </row>
    <row r="886" spans="1:7">
      <c r="A886" s="2">
        <v>885</v>
      </c>
      <c r="B886" s="2" t="s">
        <v>73</v>
      </c>
      <c r="C886" s="2" t="s">
        <v>8</v>
      </c>
      <c r="D886" s="2">
        <v>34</v>
      </c>
      <c r="E886" s="3">
        <v>68995</v>
      </c>
      <c r="F886" s="2" t="s">
        <v>25</v>
      </c>
      <c r="G886" s="2" t="s">
        <v>10</v>
      </c>
    </row>
    <row r="887" spans="1:7">
      <c r="A887" s="2">
        <v>886</v>
      </c>
      <c r="B887" s="2" t="s">
        <v>7</v>
      </c>
      <c r="C887" s="2" t="s">
        <v>12</v>
      </c>
      <c r="D887" s="2">
        <v>24</v>
      </c>
      <c r="E887" s="3">
        <v>41060</v>
      </c>
      <c r="F887" s="2" t="s">
        <v>9</v>
      </c>
      <c r="G887" s="2" t="s">
        <v>29</v>
      </c>
    </row>
    <row r="888" spans="1:7">
      <c r="A888" s="2">
        <v>887</v>
      </c>
      <c r="B888" s="2" t="s">
        <v>73</v>
      </c>
      <c r="C888" s="2" t="s">
        <v>22</v>
      </c>
      <c r="D888" s="2">
        <v>5</v>
      </c>
      <c r="E888" s="3">
        <v>76300</v>
      </c>
      <c r="F888" s="2" t="s">
        <v>32</v>
      </c>
      <c r="G888" s="2" t="s">
        <v>14</v>
      </c>
    </row>
    <row r="889" spans="1:7">
      <c r="A889" s="2">
        <v>888</v>
      </c>
      <c r="B889" s="2" t="s">
        <v>86</v>
      </c>
      <c r="C889" s="2" t="s">
        <v>8</v>
      </c>
      <c r="D889" s="2">
        <v>24</v>
      </c>
      <c r="E889" s="3">
        <v>98219</v>
      </c>
      <c r="F889" s="2" t="s">
        <v>9</v>
      </c>
      <c r="G889" s="2" t="s">
        <v>10</v>
      </c>
    </row>
    <row r="890" spans="1:7">
      <c r="A890" s="2">
        <v>889</v>
      </c>
      <c r="B890" s="2" t="s">
        <v>74</v>
      </c>
      <c r="C890" s="2" t="s">
        <v>8</v>
      </c>
      <c r="D890" s="2">
        <v>46</v>
      </c>
      <c r="E890" s="3">
        <v>84765</v>
      </c>
      <c r="F890" s="2" t="s">
        <v>20</v>
      </c>
      <c r="G890" s="2" t="s">
        <v>14</v>
      </c>
    </row>
    <row r="891" spans="1:7">
      <c r="A891" s="2">
        <v>890</v>
      </c>
      <c r="B891" s="2" t="s">
        <v>55</v>
      </c>
      <c r="C891" s="2" t="s">
        <v>16</v>
      </c>
      <c r="D891" s="2">
        <v>43</v>
      </c>
      <c r="E891" s="3">
        <v>99143</v>
      </c>
      <c r="F891" s="2" t="s">
        <v>28</v>
      </c>
      <c r="G891" s="2" t="s">
        <v>14</v>
      </c>
    </row>
    <row r="892" spans="1:7">
      <c r="A892" s="2">
        <v>891</v>
      </c>
      <c r="B892" s="2" t="s">
        <v>39</v>
      </c>
      <c r="C892" s="2" t="s">
        <v>12</v>
      </c>
      <c r="D892" s="2">
        <v>26</v>
      </c>
      <c r="E892" s="3">
        <v>58342</v>
      </c>
      <c r="F892" s="2" t="s">
        <v>17</v>
      </c>
      <c r="G892" s="2" t="s">
        <v>14</v>
      </c>
    </row>
    <row r="893" spans="1:7">
      <c r="A893" s="2">
        <v>892</v>
      </c>
      <c r="B893" s="2" t="s">
        <v>81</v>
      </c>
      <c r="C893" s="2" t="s">
        <v>16</v>
      </c>
      <c r="D893" s="2">
        <v>38</v>
      </c>
      <c r="E893" s="3">
        <v>65634</v>
      </c>
      <c r="F893" s="2" t="s">
        <v>25</v>
      </c>
      <c r="G893" s="2" t="s">
        <v>29</v>
      </c>
    </row>
    <row r="894" spans="1:7">
      <c r="A894" s="2">
        <v>893</v>
      </c>
      <c r="B894" s="2" t="s">
        <v>78</v>
      </c>
      <c r="C894" s="2" t="s">
        <v>12</v>
      </c>
      <c r="D894" s="2">
        <v>7</v>
      </c>
      <c r="E894" s="3">
        <v>39724</v>
      </c>
      <c r="F894" s="2" t="s">
        <v>20</v>
      </c>
      <c r="G894" s="2" t="s">
        <v>14</v>
      </c>
    </row>
    <row r="895" spans="1:7">
      <c r="A895" s="2">
        <v>894</v>
      </c>
      <c r="B895" s="2" t="s">
        <v>88</v>
      </c>
      <c r="C895" s="2" t="s">
        <v>22</v>
      </c>
      <c r="D895" s="2">
        <v>22</v>
      </c>
      <c r="E895" s="3">
        <v>99854</v>
      </c>
      <c r="F895" s="2" t="s">
        <v>20</v>
      </c>
      <c r="G895" s="2" t="s">
        <v>26</v>
      </c>
    </row>
    <row r="896" spans="1:7">
      <c r="A896" s="2">
        <v>895</v>
      </c>
      <c r="B896" s="2" t="s">
        <v>65</v>
      </c>
      <c r="C896" s="2" t="s">
        <v>16</v>
      </c>
      <c r="D896" s="2">
        <v>20</v>
      </c>
      <c r="E896" s="3">
        <v>93328</v>
      </c>
      <c r="F896" s="2" t="s">
        <v>20</v>
      </c>
      <c r="G896" s="2" t="s">
        <v>26</v>
      </c>
    </row>
    <row r="897" spans="1:7">
      <c r="A897" s="2">
        <v>896</v>
      </c>
      <c r="B897" s="2" t="s">
        <v>93</v>
      </c>
      <c r="C897" s="2" t="s">
        <v>8</v>
      </c>
      <c r="D897" s="2">
        <v>21</v>
      </c>
      <c r="E897" s="3">
        <v>73221</v>
      </c>
      <c r="F897" s="2" t="s">
        <v>9</v>
      </c>
      <c r="G897" s="2" t="s">
        <v>23</v>
      </c>
    </row>
    <row r="898" spans="1:7">
      <c r="A898" s="2">
        <v>897</v>
      </c>
      <c r="B898" s="2" t="s">
        <v>11</v>
      </c>
      <c r="C898" s="2" t="s">
        <v>22</v>
      </c>
      <c r="D898" s="2">
        <v>9</v>
      </c>
      <c r="E898" s="3">
        <v>74692</v>
      </c>
      <c r="F898" s="2" t="s">
        <v>17</v>
      </c>
      <c r="G898" s="2" t="s">
        <v>18</v>
      </c>
    </row>
    <row r="899" spans="1:7">
      <c r="A899" s="2">
        <v>898</v>
      </c>
      <c r="B899" s="2" t="s">
        <v>34</v>
      </c>
      <c r="C899" s="2" t="s">
        <v>12</v>
      </c>
      <c r="D899" s="2">
        <v>11</v>
      </c>
      <c r="E899" s="3">
        <v>99155</v>
      </c>
      <c r="F899" s="2" t="s">
        <v>20</v>
      </c>
      <c r="G899" s="2" t="s">
        <v>10</v>
      </c>
    </row>
    <row r="900" spans="1:7">
      <c r="A900" s="2">
        <v>899</v>
      </c>
      <c r="B900" s="2" t="s">
        <v>92</v>
      </c>
      <c r="C900" s="2" t="s">
        <v>8</v>
      </c>
      <c r="D900" s="2">
        <v>47</v>
      </c>
      <c r="E900" s="3">
        <v>98613</v>
      </c>
      <c r="F900" s="2" t="s">
        <v>13</v>
      </c>
      <c r="G900" s="2" t="s">
        <v>26</v>
      </c>
    </row>
    <row r="901" spans="1:7">
      <c r="A901" s="2">
        <v>900</v>
      </c>
      <c r="B901" s="2" t="s">
        <v>90</v>
      </c>
      <c r="C901" s="2" t="s">
        <v>12</v>
      </c>
      <c r="D901" s="2">
        <v>28</v>
      </c>
      <c r="E901" s="3">
        <v>41737</v>
      </c>
      <c r="F901" s="2" t="s">
        <v>25</v>
      </c>
      <c r="G901" s="2" t="s">
        <v>10</v>
      </c>
    </row>
    <row r="902" spans="1:7">
      <c r="A902" s="2">
        <v>901</v>
      </c>
      <c r="B902" s="2" t="s">
        <v>49</v>
      </c>
      <c r="C902" s="2" t="s">
        <v>8</v>
      </c>
      <c r="D902" s="2">
        <v>41</v>
      </c>
      <c r="E902" s="3">
        <v>41456</v>
      </c>
      <c r="F902" s="2" t="s">
        <v>13</v>
      </c>
      <c r="G902" s="2" t="s">
        <v>26</v>
      </c>
    </row>
    <row r="903" spans="1:7">
      <c r="A903" s="2">
        <v>902</v>
      </c>
      <c r="B903" s="2" t="s">
        <v>89</v>
      </c>
      <c r="C903" s="2" t="s">
        <v>12</v>
      </c>
      <c r="D903" s="2">
        <v>32</v>
      </c>
      <c r="E903" s="3">
        <v>72003</v>
      </c>
      <c r="F903" s="2" t="s">
        <v>13</v>
      </c>
      <c r="G903" s="2" t="s">
        <v>29</v>
      </c>
    </row>
    <row r="904" spans="1:7">
      <c r="A904" s="2">
        <v>903</v>
      </c>
      <c r="B904" s="2" t="s">
        <v>7</v>
      </c>
      <c r="C904" s="2" t="s">
        <v>8</v>
      </c>
      <c r="D904" s="2">
        <v>42</v>
      </c>
      <c r="E904" s="3">
        <v>94587</v>
      </c>
      <c r="F904" s="2" t="s">
        <v>38</v>
      </c>
      <c r="G904" s="2" t="s">
        <v>29</v>
      </c>
    </row>
    <row r="905" spans="1:7">
      <c r="A905" s="2">
        <v>904</v>
      </c>
      <c r="B905" s="2" t="s">
        <v>66</v>
      </c>
      <c r="C905" s="2" t="s">
        <v>12</v>
      </c>
      <c r="D905" s="2">
        <v>21</v>
      </c>
      <c r="E905" s="3">
        <v>45541</v>
      </c>
      <c r="F905" s="2" t="s">
        <v>25</v>
      </c>
      <c r="G905" s="2" t="s">
        <v>29</v>
      </c>
    </row>
    <row r="906" spans="1:7">
      <c r="A906" s="2">
        <v>905</v>
      </c>
      <c r="B906" s="2" t="s">
        <v>33</v>
      </c>
      <c r="C906" s="2" t="s">
        <v>16</v>
      </c>
      <c r="D906" s="2">
        <v>12</v>
      </c>
      <c r="E906" s="3">
        <v>33279</v>
      </c>
      <c r="F906" s="2" t="s">
        <v>17</v>
      </c>
      <c r="G906" s="2" t="s">
        <v>26</v>
      </c>
    </row>
    <row r="907" spans="1:7">
      <c r="A907" s="2">
        <v>906</v>
      </c>
      <c r="B907" s="2" t="s">
        <v>90</v>
      </c>
      <c r="C907" s="2" t="s">
        <v>8</v>
      </c>
      <c r="D907" s="2">
        <v>46</v>
      </c>
      <c r="E907" s="3">
        <v>49975</v>
      </c>
      <c r="F907" s="2" t="s">
        <v>25</v>
      </c>
      <c r="G907" s="2" t="s">
        <v>18</v>
      </c>
    </row>
    <row r="908" spans="1:7">
      <c r="A908" s="2">
        <v>907</v>
      </c>
      <c r="B908" s="2" t="s">
        <v>76</v>
      </c>
      <c r="C908" s="2" t="s">
        <v>8</v>
      </c>
      <c r="D908" s="2">
        <v>36</v>
      </c>
      <c r="E908" s="3">
        <v>61254</v>
      </c>
      <c r="F908" s="2" t="s">
        <v>25</v>
      </c>
      <c r="G908" s="2" t="s">
        <v>23</v>
      </c>
    </row>
    <row r="909" spans="1:7">
      <c r="A909" s="2">
        <v>908</v>
      </c>
      <c r="B909" s="2" t="s">
        <v>44</v>
      </c>
      <c r="C909" s="2" t="s">
        <v>16</v>
      </c>
      <c r="D909" s="2">
        <v>45</v>
      </c>
      <c r="E909" s="3">
        <v>47286</v>
      </c>
      <c r="F909" s="2" t="s">
        <v>25</v>
      </c>
      <c r="G909" s="2" t="s">
        <v>10</v>
      </c>
    </row>
    <row r="910" spans="1:7">
      <c r="A910" s="2">
        <v>909</v>
      </c>
      <c r="B910" s="2" t="s">
        <v>33</v>
      </c>
      <c r="C910" s="2" t="s">
        <v>12</v>
      </c>
      <c r="D910" s="2">
        <v>40</v>
      </c>
      <c r="E910" s="3">
        <v>80513</v>
      </c>
      <c r="F910" s="2" t="s">
        <v>25</v>
      </c>
      <c r="G910" s="2" t="s">
        <v>10</v>
      </c>
    </row>
    <row r="911" spans="1:7">
      <c r="A911" s="2">
        <v>910</v>
      </c>
      <c r="B911" s="2" t="s">
        <v>45</v>
      </c>
      <c r="C911" s="2" t="s">
        <v>8</v>
      </c>
      <c r="D911" s="2">
        <v>23</v>
      </c>
      <c r="E911" s="3">
        <v>55350</v>
      </c>
      <c r="F911" s="2" t="s">
        <v>38</v>
      </c>
      <c r="G911" s="2" t="s">
        <v>29</v>
      </c>
    </row>
    <row r="912" spans="1:7">
      <c r="A912" s="2">
        <v>911</v>
      </c>
      <c r="B912" s="2" t="s">
        <v>91</v>
      </c>
      <c r="C912" s="2" t="s">
        <v>16</v>
      </c>
      <c r="D912" s="2">
        <v>15</v>
      </c>
      <c r="E912" s="3">
        <v>31143</v>
      </c>
      <c r="F912" s="2" t="s">
        <v>13</v>
      </c>
      <c r="G912" s="2" t="s">
        <v>29</v>
      </c>
    </row>
    <row r="913" spans="1:7">
      <c r="A913" s="2">
        <v>912</v>
      </c>
      <c r="B913" s="2" t="s">
        <v>43</v>
      </c>
      <c r="C913" s="2" t="s">
        <v>12</v>
      </c>
      <c r="D913" s="2">
        <v>43</v>
      </c>
      <c r="E913" s="3">
        <v>72631</v>
      </c>
      <c r="F913" s="2" t="s">
        <v>28</v>
      </c>
      <c r="G913" s="2" t="s">
        <v>23</v>
      </c>
    </row>
    <row r="914" spans="1:7">
      <c r="A914" s="2">
        <v>913</v>
      </c>
      <c r="B914" s="2" t="s">
        <v>57</v>
      </c>
      <c r="C914" s="2" t="s">
        <v>8</v>
      </c>
      <c r="D914" s="2">
        <v>38</v>
      </c>
      <c r="E914" s="3">
        <v>95527</v>
      </c>
      <c r="F914" s="2" t="s">
        <v>28</v>
      </c>
      <c r="G914" s="2" t="s">
        <v>26</v>
      </c>
    </row>
    <row r="915" spans="1:7">
      <c r="A915" s="2">
        <v>914</v>
      </c>
      <c r="B915" s="2" t="s">
        <v>84</v>
      </c>
      <c r="C915" s="2" t="s">
        <v>8</v>
      </c>
      <c r="D915" s="2">
        <v>12</v>
      </c>
      <c r="E915" s="3">
        <v>94429</v>
      </c>
      <c r="F915" s="2" t="s">
        <v>9</v>
      </c>
      <c r="G915" s="2" t="s">
        <v>14</v>
      </c>
    </row>
    <row r="916" spans="1:7">
      <c r="A916" s="2">
        <v>915</v>
      </c>
      <c r="B916" s="2" t="s">
        <v>62</v>
      </c>
      <c r="C916" s="2" t="s">
        <v>12</v>
      </c>
      <c r="D916" s="2">
        <v>25</v>
      </c>
      <c r="E916" s="3">
        <v>97929</v>
      </c>
      <c r="F916" s="2" t="s">
        <v>28</v>
      </c>
      <c r="G916" s="2" t="s">
        <v>23</v>
      </c>
    </row>
    <row r="917" spans="1:7">
      <c r="A917" s="2">
        <v>916</v>
      </c>
      <c r="B917" s="2" t="s">
        <v>46</v>
      </c>
      <c r="C917" s="2" t="s">
        <v>16</v>
      </c>
      <c r="D917" s="2">
        <v>20</v>
      </c>
      <c r="E917" s="3">
        <v>25603</v>
      </c>
      <c r="F917" s="2" t="s">
        <v>25</v>
      </c>
      <c r="G917" s="2" t="s">
        <v>29</v>
      </c>
    </row>
    <row r="918" spans="1:7">
      <c r="A918" s="2">
        <v>917</v>
      </c>
      <c r="B918" s="2" t="s">
        <v>63</v>
      </c>
      <c r="C918" s="2" t="s">
        <v>8</v>
      </c>
      <c r="D918" s="2">
        <v>47</v>
      </c>
      <c r="E918" s="3">
        <v>70467</v>
      </c>
      <c r="F918" s="2" t="s">
        <v>20</v>
      </c>
      <c r="G918" s="2" t="s">
        <v>26</v>
      </c>
    </row>
    <row r="919" spans="1:7">
      <c r="A919" s="2">
        <v>918</v>
      </c>
      <c r="B919" s="2" t="s">
        <v>59</v>
      </c>
      <c r="C919" s="2" t="s">
        <v>12</v>
      </c>
      <c r="D919" s="2">
        <v>45</v>
      </c>
      <c r="E919" s="3">
        <v>74838</v>
      </c>
      <c r="F919" s="2" t="s">
        <v>25</v>
      </c>
      <c r="G919" s="2" t="s">
        <v>10</v>
      </c>
    </row>
    <row r="920" spans="1:7">
      <c r="A920" s="2">
        <v>919</v>
      </c>
      <c r="B920" s="2" t="s">
        <v>73</v>
      </c>
      <c r="C920" s="2" t="s">
        <v>8</v>
      </c>
      <c r="D920" s="2">
        <v>19</v>
      </c>
      <c r="E920" s="3">
        <v>29134</v>
      </c>
      <c r="F920" s="2" t="s">
        <v>32</v>
      </c>
      <c r="G920" s="2" t="s">
        <v>23</v>
      </c>
    </row>
    <row r="921" spans="1:7">
      <c r="A921" s="2">
        <v>920</v>
      </c>
      <c r="B921" s="2" t="s">
        <v>60</v>
      </c>
      <c r="C921" s="2" t="s">
        <v>12</v>
      </c>
      <c r="D921" s="2">
        <v>9</v>
      </c>
      <c r="E921" s="3">
        <v>47299</v>
      </c>
      <c r="F921" s="2" t="s">
        <v>38</v>
      </c>
      <c r="G921" s="2" t="s">
        <v>14</v>
      </c>
    </row>
    <row r="922" spans="1:7">
      <c r="A922" s="2">
        <v>921</v>
      </c>
      <c r="B922" s="2" t="s">
        <v>73</v>
      </c>
      <c r="C922" s="2" t="s">
        <v>8</v>
      </c>
      <c r="D922" s="2">
        <v>12</v>
      </c>
      <c r="E922" s="3">
        <v>58215</v>
      </c>
      <c r="F922" s="2" t="s">
        <v>28</v>
      </c>
      <c r="G922" s="2" t="s">
        <v>26</v>
      </c>
    </row>
    <row r="923" spans="1:7">
      <c r="A923" s="2">
        <v>922</v>
      </c>
      <c r="B923" s="2" t="s">
        <v>52</v>
      </c>
      <c r="C923" s="2" t="s">
        <v>22</v>
      </c>
      <c r="D923" s="2">
        <v>47</v>
      </c>
      <c r="E923" s="3">
        <v>77730</v>
      </c>
      <c r="F923" s="2" t="s">
        <v>38</v>
      </c>
      <c r="G923" s="2" t="s">
        <v>18</v>
      </c>
    </row>
    <row r="924" spans="1:7">
      <c r="A924" s="2">
        <v>923</v>
      </c>
      <c r="B924" s="2" t="s">
        <v>59</v>
      </c>
      <c r="C924" s="2" t="s">
        <v>16</v>
      </c>
      <c r="D924" s="2">
        <v>1</v>
      </c>
      <c r="E924" s="3">
        <v>87445</v>
      </c>
      <c r="F924" s="2" t="s">
        <v>9</v>
      </c>
      <c r="G924" s="2" t="s">
        <v>18</v>
      </c>
    </row>
    <row r="925" spans="1:7">
      <c r="A925" s="2">
        <v>924</v>
      </c>
      <c r="B925" s="2" t="s">
        <v>67</v>
      </c>
      <c r="C925" s="2" t="s">
        <v>16</v>
      </c>
      <c r="D925" s="2">
        <v>45</v>
      </c>
      <c r="E925" s="3">
        <v>34514</v>
      </c>
      <c r="F925" s="2" t="s">
        <v>9</v>
      </c>
      <c r="G925" s="2" t="s">
        <v>10</v>
      </c>
    </row>
    <row r="926" spans="1:7">
      <c r="A926" s="2">
        <v>925</v>
      </c>
      <c r="B926" s="2" t="s">
        <v>52</v>
      </c>
      <c r="C926" s="2" t="s">
        <v>22</v>
      </c>
      <c r="D926" s="2">
        <v>37</v>
      </c>
      <c r="E926" s="3">
        <v>82148</v>
      </c>
      <c r="F926" s="2" t="s">
        <v>9</v>
      </c>
      <c r="G926" s="2" t="s">
        <v>14</v>
      </c>
    </row>
    <row r="927" spans="1:7">
      <c r="A927" s="2">
        <v>926</v>
      </c>
      <c r="B927" s="2" t="s">
        <v>7</v>
      </c>
      <c r="C927" s="2" t="s">
        <v>12</v>
      </c>
      <c r="D927" s="2">
        <v>26</v>
      </c>
      <c r="E927" s="3">
        <v>49495</v>
      </c>
      <c r="F927" s="2" t="s">
        <v>38</v>
      </c>
      <c r="G927" s="2" t="s">
        <v>23</v>
      </c>
    </row>
    <row r="928" spans="1:7">
      <c r="A928" s="2">
        <v>927</v>
      </c>
      <c r="B928" s="2" t="s">
        <v>46</v>
      </c>
      <c r="C928" s="2" t="s">
        <v>16</v>
      </c>
      <c r="D928" s="2">
        <v>50</v>
      </c>
      <c r="E928" s="3">
        <v>51093</v>
      </c>
      <c r="F928" s="2" t="s">
        <v>9</v>
      </c>
      <c r="G928" s="2" t="s">
        <v>29</v>
      </c>
    </row>
    <row r="929" spans="1:7">
      <c r="A929" s="2">
        <v>928</v>
      </c>
      <c r="B929" s="2" t="s">
        <v>92</v>
      </c>
      <c r="C929" s="2" t="s">
        <v>12</v>
      </c>
      <c r="D929" s="2">
        <v>37</v>
      </c>
      <c r="E929" s="3">
        <v>90151</v>
      </c>
      <c r="F929" s="2" t="s">
        <v>32</v>
      </c>
      <c r="G929" s="2" t="s">
        <v>29</v>
      </c>
    </row>
    <row r="930" spans="1:7">
      <c r="A930" s="2">
        <v>929</v>
      </c>
      <c r="B930" s="2" t="s">
        <v>41</v>
      </c>
      <c r="C930" s="2" t="s">
        <v>8</v>
      </c>
      <c r="D930" s="2">
        <v>3</v>
      </c>
      <c r="E930" s="3">
        <v>75511</v>
      </c>
      <c r="F930" s="2" t="s">
        <v>32</v>
      </c>
      <c r="G930" s="2" t="s">
        <v>14</v>
      </c>
    </row>
    <row r="931" spans="1:7">
      <c r="A931" s="2">
        <v>930</v>
      </c>
      <c r="B931" s="2" t="s">
        <v>88</v>
      </c>
      <c r="C931" s="2" t="s">
        <v>22</v>
      </c>
      <c r="D931" s="2">
        <v>12</v>
      </c>
      <c r="E931" s="3">
        <v>96933</v>
      </c>
      <c r="F931" s="2" t="s">
        <v>9</v>
      </c>
      <c r="G931" s="2" t="s">
        <v>23</v>
      </c>
    </row>
    <row r="932" spans="1:7">
      <c r="A932" s="2">
        <v>931</v>
      </c>
      <c r="B932" s="2" t="s">
        <v>44</v>
      </c>
      <c r="C932" s="2" t="s">
        <v>12</v>
      </c>
      <c r="D932" s="2">
        <v>39</v>
      </c>
      <c r="E932" s="3">
        <v>54028</v>
      </c>
      <c r="F932" s="2" t="s">
        <v>9</v>
      </c>
      <c r="G932" s="2" t="s">
        <v>14</v>
      </c>
    </row>
    <row r="933" spans="1:7">
      <c r="A933" s="2">
        <v>932</v>
      </c>
      <c r="B933" s="2" t="s">
        <v>41</v>
      </c>
      <c r="C933" s="2" t="s">
        <v>12</v>
      </c>
      <c r="D933" s="2">
        <v>21</v>
      </c>
      <c r="E933" s="3">
        <v>61694</v>
      </c>
      <c r="F933" s="2" t="s">
        <v>13</v>
      </c>
      <c r="G933" s="2" t="s">
        <v>23</v>
      </c>
    </row>
    <row r="934" spans="1:7">
      <c r="A934" s="2">
        <v>933</v>
      </c>
      <c r="B934" s="2" t="s">
        <v>87</v>
      </c>
      <c r="C934" s="2" t="s">
        <v>16</v>
      </c>
      <c r="D934" s="2">
        <v>40</v>
      </c>
      <c r="E934" s="3">
        <v>65016</v>
      </c>
      <c r="F934" s="2" t="s">
        <v>9</v>
      </c>
      <c r="G934" s="2" t="s">
        <v>18</v>
      </c>
    </row>
    <row r="935" spans="1:7">
      <c r="A935" s="2">
        <v>934</v>
      </c>
      <c r="B935" s="2" t="s">
        <v>45</v>
      </c>
      <c r="C935" s="2" t="s">
        <v>8</v>
      </c>
      <c r="D935" s="2">
        <v>15</v>
      </c>
      <c r="E935" s="3">
        <v>75927</v>
      </c>
      <c r="F935" s="2" t="s">
        <v>20</v>
      </c>
      <c r="G935" s="2" t="s">
        <v>23</v>
      </c>
    </row>
    <row r="936" spans="1:7">
      <c r="A936" s="2">
        <v>935</v>
      </c>
      <c r="B936" s="2" t="s">
        <v>73</v>
      </c>
      <c r="C936" s="2" t="s">
        <v>16</v>
      </c>
      <c r="D936" s="2">
        <v>41</v>
      </c>
      <c r="E936" s="3">
        <v>31787</v>
      </c>
      <c r="F936" s="2" t="s">
        <v>38</v>
      </c>
      <c r="G936" s="2" t="s">
        <v>23</v>
      </c>
    </row>
    <row r="937" spans="1:7">
      <c r="A937" s="2">
        <v>936</v>
      </c>
      <c r="B937" s="2" t="s">
        <v>27</v>
      </c>
      <c r="C937" s="2" t="s">
        <v>8</v>
      </c>
      <c r="D937" s="2">
        <v>37</v>
      </c>
      <c r="E937" s="3">
        <v>61127</v>
      </c>
      <c r="F937" s="2" t="s">
        <v>32</v>
      </c>
      <c r="G937" s="2" t="s">
        <v>29</v>
      </c>
    </row>
    <row r="938" spans="1:7">
      <c r="A938" s="2">
        <v>937</v>
      </c>
      <c r="B938" s="2" t="s">
        <v>53</v>
      </c>
      <c r="C938" s="2" t="s">
        <v>16</v>
      </c>
      <c r="D938" s="2">
        <v>7</v>
      </c>
      <c r="E938" s="3">
        <v>36331</v>
      </c>
      <c r="F938" s="2" t="s">
        <v>28</v>
      </c>
      <c r="G938" s="2" t="s">
        <v>10</v>
      </c>
    </row>
    <row r="939" spans="1:7">
      <c r="A939" s="2">
        <v>938</v>
      </c>
      <c r="B939" s="2" t="s">
        <v>70</v>
      </c>
      <c r="C939" s="2" t="s">
        <v>12</v>
      </c>
      <c r="D939" s="2">
        <v>32</v>
      </c>
      <c r="E939" s="3">
        <v>36693</v>
      </c>
      <c r="F939" s="2" t="s">
        <v>32</v>
      </c>
      <c r="G939" s="2" t="s">
        <v>26</v>
      </c>
    </row>
    <row r="940" spans="1:7">
      <c r="A940" s="2">
        <v>939</v>
      </c>
      <c r="B940" s="2" t="s">
        <v>53</v>
      </c>
      <c r="C940" s="2" t="s">
        <v>12</v>
      </c>
      <c r="D940" s="2">
        <v>10</v>
      </c>
      <c r="E940" s="3">
        <v>71062</v>
      </c>
      <c r="F940" s="2" t="s">
        <v>38</v>
      </c>
      <c r="G940" s="2" t="s">
        <v>26</v>
      </c>
    </row>
    <row r="941" spans="1:7">
      <c r="A941" s="2">
        <v>940</v>
      </c>
      <c r="B941" s="2" t="s">
        <v>58</v>
      </c>
      <c r="C941" s="2" t="s">
        <v>22</v>
      </c>
      <c r="D941" s="2">
        <v>22</v>
      </c>
      <c r="E941" s="3">
        <v>95867</v>
      </c>
      <c r="F941" s="2" t="s">
        <v>25</v>
      </c>
      <c r="G941" s="2" t="s">
        <v>29</v>
      </c>
    </row>
    <row r="942" spans="1:7">
      <c r="A942" s="2">
        <v>941</v>
      </c>
      <c r="B942" s="2" t="s">
        <v>74</v>
      </c>
      <c r="C942" s="2" t="s">
        <v>12</v>
      </c>
      <c r="D942" s="2">
        <v>48</v>
      </c>
      <c r="E942" s="3">
        <v>80425</v>
      </c>
      <c r="F942" s="2" t="s">
        <v>25</v>
      </c>
      <c r="G942" s="2" t="s">
        <v>18</v>
      </c>
    </row>
    <row r="943" spans="1:7">
      <c r="A943" s="2">
        <v>942</v>
      </c>
      <c r="B943" s="2" t="s">
        <v>30</v>
      </c>
      <c r="C943" s="2" t="s">
        <v>12</v>
      </c>
      <c r="D943" s="2">
        <v>5</v>
      </c>
      <c r="E943" s="3">
        <v>30573</v>
      </c>
      <c r="F943" s="2" t="s">
        <v>38</v>
      </c>
      <c r="G943" s="2" t="s">
        <v>14</v>
      </c>
    </row>
    <row r="944" spans="1:7">
      <c r="A944" s="2">
        <v>943</v>
      </c>
      <c r="B944" s="2" t="s">
        <v>85</v>
      </c>
      <c r="C944" s="2" t="s">
        <v>12</v>
      </c>
      <c r="D944" s="2">
        <v>16</v>
      </c>
      <c r="E944" s="3">
        <v>76158</v>
      </c>
      <c r="F944" s="2" t="s">
        <v>17</v>
      </c>
      <c r="G944" s="2" t="s">
        <v>29</v>
      </c>
    </row>
    <row r="945" spans="1:7">
      <c r="A945" s="2">
        <v>944</v>
      </c>
      <c r="B945" s="2" t="s">
        <v>30</v>
      </c>
      <c r="C945" s="2" t="s">
        <v>12</v>
      </c>
      <c r="D945" s="2">
        <v>23</v>
      </c>
      <c r="E945" s="3">
        <v>29322</v>
      </c>
      <c r="F945" s="2" t="s">
        <v>38</v>
      </c>
      <c r="G945" s="2" t="s">
        <v>14</v>
      </c>
    </row>
    <row r="946" spans="1:7">
      <c r="A946" s="2">
        <v>945</v>
      </c>
      <c r="B946" s="2" t="s">
        <v>84</v>
      </c>
      <c r="C946" s="2" t="s">
        <v>22</v>
      </c>
      <c r="D946" s="2">
        <v>21</v>
      </c>
      <c r="E946" s="3">
        <v>99228</v>
      </c>
      <c r="F946" s="2" t="s">
        <v>25</v>
      </c>
      <c r="G946" s="2" t="s">
        <v>29</v>
      </c>
    </row>
    <row r="947" spans="1:7">
      <c r="A947" s="2">
        <v>946</v>
      </c>
      <c r="B947" s="2" t="s">
        <v>74</v>
      </c>
      <c r="C947" s="2" t="s">
        <v>8</v>
      </c>
      <c r="D947" s="2">
        <v>11</v>
      </c>
      <c r="E947" s="3">
        <v>46835</v>
      </c>
      <c r="F947" s="2" t="s">
        <v>38</v>
      </c>
      <c r="G947" s="2" t="s">
        <v>26</v>
      </c>
    </row>
    <row r="948" spans="1:7">
      <c r="A948" s="2">
        <v>947</v>
      </c>
      <c r="B948" s="2" t="s">
        <v>11</v>
      </c>
      <c r="C948" s="2" t="s">
        <v>22</v>
      </c>
      <c r="D948" s="2">
        <v>41</v>
      </c>
      <c r="E948" s="3">
        <v>80653</v>
      </c>
      <c r="F948" s="2" t="s">
        <v>28</v>
      </c>
      <c r="G948" s="2" t="s">
        <v>10</v>
      </c>
    </row>
    <row r="949" spans="1:7">
      <c r="A949" s="2">
        <v>948</v>
      </c>
      <c r="B949" s="2" t="s">
        <v>66</v>
      </c>
      <c r="C949" s="2" t="s">
        <v>22</v>
      </c>
      <c r="D949" s="2">
        <v>6</v>
      </c>
      <c r="E949" s="3">
        <v>91380</v>
      </c>
      <c r="F949" s="2" t="s">
        <v>17</v>
      </c>
      <c r="G949" s="2" t="s">
        <v>10</v>
      </c>
    </row>
    <row r="950" spans="1:7">
      <c r="A950" s="2">
        <v>949</v>
      </c>
      <c r="B950" s="2" t="s">
        <v>30</v>
      </c>
      <c r="C950" s="2" t="s">
        <v>16</v>
      </c>
      <c r="D950" s="2">
        <v>46</v>
      </c>
      <c r="E950" s="3">
        <v>36673</v>
      </c>
      <c r="F950" s="2" t="s">
        <v>20</v>
      </c>
      <c r="G950" s="2" t="s">
        <v>29</v>
      </c>
    </row>
    <row r="951" spans="1:7">
      <c r="A951" s="2">
        <v>950</v>
      </c>
      <c r="B951" s="2" t="s">
        <v>92</v>
      </c>
      <c r="C951" s="2" t="s">
        <v>8</v>
      </c>
      <c r="D951" s="2">
        <v>43</v>
      </c>
      <c r="E951" s="3">
        <v>58485</v>
      </c>
      <c r="F951" s="2" t="s">
        <v>38</v>
      </c>
      <c r="G951" s="2" t="s">
        <v>29</v>
      </c>
    </row>
    <row r="952" spans="1:7">
      <c r="A952" s="2">
        <v>951</v>
      </c>
      <c r="B952" s="2" t="s">
        <v>90</v>
      </c>
      <c r="C952" s="2" t="s">
        <v>16</v>
      </c>
      <c r="D952" s="2">
        <v>41</v>
      </c>
      <c r="E952" s="3">
        <v>82720</v>
      </c>
      <c r="F952" s="2" t="s">
        <v>20</v>
      </c>
      <c r="G952" s="2" t="s">
        <v>26</v>
      </c>
    </row>
    <row r="953" spans="1:7">
      <c r="A953" s="2">
        <v>952</v>
      </c>
      <c r="B953" s="2" t="s">
        <v>73</v>
      </c>
      <c r="C953" s="2" t="s">
        <v>22</v>
      </c>
      <c r="D953" s="2">
        <v>47</v>
      </c>
      <c r="E953" s="3">
        <v>25616</v>
      </c>
      <c r="F953" s="2" t="s">
        <v>13</v>
      </c>
      <c r="G953" s="2" t="s">
        <v>14</v>
      </c>
    </row>
    <row r="954" spans="1:7">
      <c r="A954" s="2">
        <v>953</v>
      </c>
      <c r="B954" s="2" t="s">
        <v>78</v>
      </c>
      <c r="C954" s="2" t="s">
        <v>12</v>
      </c>
      <c r="D954" s="2">
        <v>22</v>
      </c>
      <c r="E954" s="3">
        <v>72803</v>
      </c>
      <c r="F954" s="2" t="s">
        <v>25</v>
      </c>
      <c r="G954" s="2" t="s">
        <v>14</v>
      </c>
    </row>
    <row r="955" spans="1:7">
      <c r="A955" s="2">
        <v>954</v>
      </c>
      <c r="B955" s="2" t="s">
        <v>76</v>
      </c>
      <c r="C955" s="2" t="s">
        <v>8</v>
      </c>
      <c r="D955" s="2">
        <v>29</v>
      </c>
      <c r="E955" s="3">
        <v>62878</v>
      </c>
      <c r="F955" s="2" t="s">
        <v>25</v>
      </c>
      <c r="G955" s="2" t="s">
        <v>26</v>
      </c>
    </row>
    <row r="956" spans="1:7">
      <c r="A956" s="2">
        <v>955</v>
      </c>
      <c r="B956" s="2" t="s">
        <v>64</v>
      </c>
      <c r="C956" s="2" t="s">
        <v>12</v>
      </c>
      <c r="D956" s="2">
        <v>1</v>
      </c>
      <c r="E956" s="3">
        <v>65450</v>
      </c>
      <c r="F956" s="2" t="s">
        <v>28</v>
      </c>
      <c r="G956" s="2" t="s">
        <v>18</v>
      </c>
    </row>
    <row r="957" spans="1:7">
      <c r="A957" s="2">
        <v>956</v>
      </c>
      <c r="B957" s="2" t="s">
        <v>86</v>
      </c>
      <c r="C957" s="2" t="s">
        <v>22</v>
      </c>
      <c r="D957" s="2">
        <v>17</v>
      </c>
      <c r="E957" s="3">
        <v>84205</v>
      </c>
      <c r="F957" s="2" t="s">
        <v>25</v>
      </c>
      <c r="G957" s="2" t="s">
        <v>18</v>
      </c>
    </row>
    <row r="958" spans="1:7">
      <c r="A958" s="2">
        <v>957</v>
      </c>
      <c r="B958" s="2" t="s">
        <v>75</v>
      </c>
      <c r="C958" s="2" t="s">
        <v>22</v>
      </c>
      <c r="D958" s="2">
        <v>14</v>
      </c>
      <c r="E958" s="3">
        <v>95995</v>
      </c>
      <c r="F958" s="2" t="s">
        <v>9</v>
      </c>
      <c r="G958" s="2" t="s">
        <v>29</v>
      </c>
    </row>
    <row r="959" spans="1:7">
      <c r="A959" s="2">
        <v>958</v>
      </c>
      <c r="B959" s="2" t="s">
        <v>91</v>
      </c>
      <c r="C959" s="2" t="s">
        <v>22</v>
      </c>
      <c r="D959" s="2">
        <v>16</v>
      </c>
      <c r="E959" s="3">
        <v>61841</v>
      </c>
      <c r="F959" s="2" t="s">
        <v>17</v>
      </c>
      <c r="G959" s="2" t="s">
        <v>10</v>
      </c>
    </row>
    <row r="960" spans="1:7">
      <c r="A960" s="2">
        <v>959</v>
      </c>
      <c r="B960" s="2" t="s">
        <v>15</v>
      </c>
      <c r="C960" s="2" t="s">
        <v>8</v>
      </c>
      <c r="D960" s="2">
        <v>45</v>
      </c>
      <c r="E960" s="3">
        <v>46920</v>
      </c>
      <c r="F960" s="2" t="s">
        <v>38</v>
      </c>
      <c r="G960" s="2" t="s">
        <v>18</v>
      </c>
    </row>
    <row r="961" spans="1:7">
      <c r="A961" s="2">
        <v>960</v>
      </c>
      <c r="B961" s="2" t="s">
        <v>73</v>
      </c>
      <c r="C961" s="2" t="s">
        <v>16</v>
      </c>
      <c r="D961" s="2">
        <v>5</v>
      </c>
      <c r="E961" s="3">
        <v>96669</v>
      </c>
      <c r="F961" s="2" t="s">
        <v>20</v>
      </c>
      <c r="G961" s="2" t="s">
        <v>18</v>
      </c>
    </row>
    <row r="962" spans="1:7">
      <c r="A962" s="2">
        <v>961</v>
      </c>
      <c r="B962" s="2" t="s">
        <v>73</v>
      </c>
      <c r="C962" s="2" t="s">
        <v>16</v>
      </c>
      <c r="D962" s="2">
        <v>23</v>
      </c>
      <c r="E962" s="3">
        <v>77711</v>
      </c>
      <c r="F962" s="2" t="s">
        <v>28</v>
      </c>
      <c r="G962" s="2" t="s">
        <v>23</v>
      </c>
    </row>
    <row r="963" spans="1:7">
      <c r="A963" s="2">
        <v>962</v>
      </c>
      <c r="B963" s="2" t="s">
        <v>51</v>
      </c>
      <c r="C963" s="2" t="s">
        <v>12</v>
      </c>
      <c r="D963" s="2">
        <v>17</v>
      </c>
      <c r="E963" s="3">
        <v>94633</v>
      </c>
      <c r="F963" s="2" t="s">
        <v>17</v>
      </c>
      <c r="G963" s="2" t="s">
        <v>10</v>
      </c>
    </row>
    <row r="964" spans="1:7">
      <c r="A964" s="2">
        <v>963</v>
      </c>
      <c r="B964" s="2" t="s">
        <v>76</v>
      </c>
      <c r="C964" s="2" t="s">
        <v>8</v>
      </c>
      <c r="D964" s="2">
        <v>7</v>
      </c>
      <c r="E964" s="3">
        <v>75292</v>
      </c>
      <c r="F964" s="2" t="s">
        <v>17</v>
      </c>
      <c r="G964" s="2" t="s">
        <v>14</v>
      </c>
    </row>
    <row r="965" spans="1:7">
      <c r="A965" s="2">
        <v>964</v>
      </c>
      <c r="B965" s="2" t="s">
        <v>33</v>
      </c>
      <c r="C965" s="2" t="s">
        <v>12</v>
      </c>
      <c r="D965" s="2">
        <v>47</v>
      </c>
      <c r="E965" s="3">
        <v>62193</v>
      </c>
      <c r="F965" s="2" t="s">
        <v>13</v>
      </c>
      <c r="G965" s="2" t="s">
        <v>14</v>
      </c>
    </row>
    <row r="966" spans="1:7">
      <c r="A966" s="2">
        <v>965</v>
      </c>
      <c r="B966" s="2" t="s">
        <v>37</v>
      </c>
      <c r="C966" s="2" t="s">
        <v>12</v>
      </c>
      <c r="D966" s="2">
        <v>1</v>
      </c>
      <c r="E966" s="3">
        <v>54846</v>
      </c>
      <c r="F966" s="2" t="s">
        <v>20</v>
      </c>
      <c r="G966" s="2" t="s">
        <v>26</v>
      </c>
    </row>
    <row r="967" spans="1:7">
      <c r="A967" s="2">
        <v>966</v>
      </c>
      <c r="B967" s="2" t="s">
        <v>72</v>
      </c>
      <c r="C967" s="2" t="s">
        <v>16</v>
      </c>
      <c r="D967" s="2">
        <v>4</v>
      </c>
      <c r="E967" s="3">
        <v>33534</v>
      </c>
      <c r="F967" s="2" t="s">
        <v>13</v>
      </c>
      <c r="G967" s="2" t="s">
        <v>14</v>
      </c>
    </row>
    <row r="968" spans="1:7">
      <c r="A968" s="2">
        <v>967</v>
      </c>
      <c r="B968" s="2" t="s">
        <v>70</v>
      </c>
      <c r="C968" s="2" t="s">
        <v>8</v>
      </c>
      <c r="D968" s="2">
        <v>25</v>
      </c>
      <c r="E968" s="3">
        <v>80947</v>
      </c>
      <c r="F968" s="2" t="s">
        <v>20</v>
      </c>
      <c r="G968" s="2" t="s">
        <v>23</v>
      </c>
    </row>
    <row r="969" spans="1:7">
      <c r="A969" s="2">
        <v>968</v>
      </c>
      <c r="B969" s="2" t="s">
        <v>30</v>
      </c>
      <c r="C969" s="2" t="s">
        <v>22</v>
      </c>
      <c r="D969" s="2">
        <v>29</v>
      </c>
      <c r="E969" s="3">
        <v>98003</v>
      </c>
      <c r="F969" s="2" t="s">
        <v>28</v>
      </c>
      <c r="G969" s="2" t="s">
        <v>29</v>
      </c>
    </row>
    <row r="970" spans="1:7">
      <c r="A970" s="2">
        <v>969</v>
      </c>
      <c r="B970" s="2" t="s">
        <v>36</v>
      </c>
      <c r="C970" s="2" t="s">
        <v>12</v>
      </c>
      <c r="D970" s="2">
        <v>47</v>
      </c>
      <c r="E970" s="3">
        <v>97568</v>
      </c>
      <c r="F970" s="2" t="s">
        <v>9</v>
      </c>
      <c r="G970" s="2" t="s">
        <v>29</v>
      </c>
    </row>
    <row r="971" spans="1:7">
      <c r="A971" s="2">
        <v>970</v>
      </c>
      <c r="B971" s="2" t="s">
        <v>39</v>
      </c>
      <c r="C971" s="2" t="s">
        <v>22</v>
      </c>
      <c r="D971" s="2">
        <v>27</v>
      </c>
      <c r="E971" s="3">
        <v>74882</v>
      </c>
      <c r="F971" s="2" t="s">
        <v>25</v>
      </c>
      <c r="G971" s="2" t="s">
        <v>14</v>
      </c>
    </row>
    <row r="972" spans="1:7">
      <c r="A972" s="2">
        <v>971</v>
      </c>
      <c r="B972" s="2" t="s">
        <v>79</v>
      </c>
      <c r="C972" s="2" t="s">
        <v>8</v>
      </c>
      <c r="D972" s="2">
        <v>11</v>
      </c>
      <c r="E972" s="3">
        <v>29709</v>
      </c>
      <c r="F972" s="2" t="s">
        <v>20</v>
      </c>
      <c r="G972" s="2" t="s">
        <v>10</v>
      </c>
    </row>
    <row r="973" spans="1:7">
      <c r="A973" s="2">
        <v>972</v>
      </c>
      <c r="B973" s="2" t="s">
        <v>31</v>
      </c>
      <c r="C973" s="2" t="s">
        <v>12</v>
      </c>
      <c r="D973" s="2">
        <v>27</v>
      </c>
      <c r="E973" s="3">
        <v>42117</v>
      </c>
      <c r="F973" s="2" t="s">
        <v>28</v>
      </c>
      <c r="G973" s="2" t="s">
        <v>23</v>
      </c>
    </row>
    <row r="974" spans="1:7">
      <c r="A974" s="2">
        <v>973</v>
      </c>
      <c r="B974" s="2" t="s">
        <v>64</v>
      </c>
      <c r="C974" s="2" t="s">
        <v>22</v>
      </c>
      <c r="D974" s="2">
        <v>32</v>
      </c>
      <c r="E974" s="3">
        <v>93180</v>
      </c>
      <c r="F974" s="2" t="s">
        <v>17</v>
      </c>
      <c r="G974" s="2" t="s">
        <v>14</v>
      </c>
    </row>
    <row r="975" spans="1:7">
      <c r="A975" s="2">
        <v>974</v>
      </c>
      <c r="B975" s="2" t="s">
        <v>60</v>
      </c>
      <c r="C975" s="2" t="s">
        <v>22</v>
      </c>
      <c r="D975" s="2">
        <v>25</v>
      </c>
      <c r="E975" s="3">
        <v>36197</v>
      </c>
      <c r="F975" s="2" t="s">
        <v>13</v>
      </c>
      <c r="G975" s="2" t="s">
        <v>14</v>
      </c>
    </row>
    <row r="976" spans="1:7">
      <c r="A976" s="2">
        <v>975</v>
      </c>
      <c r="B976" s="2" t="s">
        <v>88</v>
      </c>
      <c r="C976" s="2" t="s">
        <v>16</v>
      </c>
      <c r="D976" s="2">
        <v>23</v>
      </c>
      <c r="E976" s="3">
        <v>38286</v>
      </c>
      <c r="F976" s="2" t="s">
        <v>32</v>
      </c>
      <c r="G976" s="2" t="s">
        <v>29</v>
      </c>
    </row>
    <row r="977" spans="1:7">
      <c r="A977" s="2">
        <v>976</v>
      </c>
      <c r="B977" s="2" t="s">
        <v>51</v>
      </c>
      <c r="C977" s="2" t="s">
        <v>8</v>
      </c>
      <c r="D977" s="2">
        <v>35</v>
      </c>
      <c r="E977" s="3">
        <v>55747</v>
      </c>
      <c r="F977" s="2" t="s">
        <v>32</v>
      </c>
      <c r="G977" s="2" t="s">
        <v>26</v>
      </c>
    </row>
    <row r="978" spans="1:7">
      <c r="A978" s="2">
        <v>977</v>
      </c>
      <c r="B978" s="2" t="s">
        <v>91</v>
      </c>
      <c r="C978" s="2" t="s">
        <v>8</v>
      </c>
      <c r="D978" s="2">
        <v>25</v>
      </c>
      <c r="E978" s="3">
        <v>87534</v>
      </c>
      <c r="F978" s="2" t="s">
        <v>38</v>
      </c>
      <c r="G978" s="2" t="s">
        <v>10</v>
      </c>
    </row>
    <row r="979" spans="1:7">
      <c r="A979" s="2">
        <v>978</v>
      </c>
      <c r="B979" s="2" t="s">
        <v>73</v>
      </c>
      <c r="C979" s="2" t="s">
        <v>8</v>
      </c>
      <c r="D979" s="2">
        <v>7</v>
      </c>
      <c r="E979" s="3">
        <v>69553</v>
      </c>
      <c r="F979" s="2" t="s">
        <v>20</v>
      </c>
      <c r="G979" s="2" t="s">
        <v>23</v>
      </c>
    </row>
    <row r="980" spans="1:7">
      <c r="A980" s="2">
        <v>979</v>
      </c>
      <c r="B980" s="2" t="s">
        <v>86</v>
      </c>
      <c r="C980" s="2" t="s">
        <v>12</v>
      </c>
      <c r="D980" s="2">
        <v>31</v>
      </c>
      <c r="E980" s="3">
        <v>81839</v>
      </c>
      <c r="F980" s="2" t="s">
        <v>20</v>
      </c>
      <c r="G980" s="2" t="s">
        <v>23</v>
      </c>
    </row>
    <row r="981" spans="1:7">
      <c r="A981" s="2">
        <v>980</v>
      </c>
      <c r="B981" s="2" t="s">
        <v>39</v>
      </c>
      <c r="C981" s="2" t="s">
        <v>16</v>
      </c>
      <c r="D981" s="2">
        <v>37</v>
      </c>
      <c r="E981" s="3">
        <v>44044</v>
      </c>
      <c r="F981" s="2" t="s">
        <v>9</v>
      </c>
      <c r="G981" s="2" t="s">
        <v>18</v>
      </c>
    </row>
    <row r="982" spans="1:7">
      <c r="A982" s="2">
        <v>981</v>
      </c>
      <c r="B982" s="2" t="s">
        <v>70</v>
      </c>
      <c r="C982" s="2" t="s">
        <v>12</v>
      </c>
      <c r="D982" s="2">
        <v>42</v>
      </c>
      <c r="E982" s="3">
        <v>87637</v>
      </c>
      <c r="F982" s="2" t="s">
        <v>28</v>
      </c>
      <c r="G982" s="2" t="s">
        <v>10</v>
      </c>
    </row>
    <row r="983" spans="1:7">
      <c r="A983" s="2">
        <v>982</v>
      </c>
      <c r="B983" s="2" t="s">
        <v>41</v>
      </c>
      <c r="C983" s="2" t="s">
        <v>8</v>
      </c>
      <c r="D983" s="2">
        <v>49</v>
      </c>
      <c r="E983" s="3">
        <v>32869</v>
      </c>
      <c r="F983" s="2" t="s">
        <v>13</v>
      </c>
      <c r="G983" s="2" t="s">
        <v>29</v>
      </c>
    </row>
    <row r="984" spans="1:7">
      <c r="A984" s="2">
        <v>983</v>
      </c>
      <c r="B984" s="2" t="s">
        <v>73</v>
      </c>
      <c r="C984" s="2" t="s">
        <v>12</v>
      </c>
      <c r="D984" s="2">
        <v>44</v>
      </c>
      <c r="E984" s="3">
        <v>81338</v>
      </c>
      <c r="F984" s="2" t="s">
        <v>17</v>
      </c>
      <c r="G984" s="2" t="s">
        <v>26</v>
      </c>
    </row>
    <row r="985" spans="1:7">
      <c r="A985" s="2">
        <v>984</v>
      </c>
      <c r="B985" s="2" t="s">
        <v>84</v>
      </c>
      <c r="C985" s="2" t="s">
        <v>22</v>
      </c>
      <c r="D985" s="2">
        <v>15</v>
      </c>
      <c r="E985" s="3">
        <v>29603</v>
      </c>
      <c r="F985" s="2" t="s">
        <v>28</v>
      </c>
      <c r="G985" s="2" t="s">
        <v>26</v>
      </c>
    </row>
    <row r="986" spans="1:7">
      <c r="A986" s="2">
        <v>985</v>
      </c>
      <c r="B986" s="2" t="s">
        <v>80</v>
      </c>
      <c r="C986" s="2" t="s">
        <v>12</v>
      </c>
      <c r="D986" s="2">
        <v>11</v>
      </c>
      <c r="E986" s="3">
        <v>33914</v>
      </c>
      <c r="F986" s="2" t="s">
        <v>17</v>
      </c>
      <c r="G986" s="2" t="s">
        <v>18</v>
      </c>
    </row>
    <row r="987" spans="1:7">
      <c r="A987" s="2">
        <v>986</v>
      </c>
      <c r="B987" s="2" t="s">
        <v>78</v>
      </c>
      <c r="C987" s="2" t="s">
        <v>12</v>
      </c>
      <c r="D987" s="2">
        <v>29</v>
      </c>
      <c r="E987" s="3">
        <v>74697</v>
      </c>
      <c r="F987" s="2" t="s">
        <v>25</v>
      </c>
      <c r="G987" s="2" t="s">
        <v>29</v>
      </c>
    </row>
    <row r="988" spans="1:7">
      <c r="A988" s="2">
        <v>987</v>
      </c>
      <c r="B988" s="2" t="s">
        <v>30</v>
      </c>
      <c r="C988" s="2" t="s">
        <v>8</v>
      </c>
      <c r="D988" s="2">
        <v>5</v>
      </c>
      <c r="E988" s="3">
        <v>81285</v>
      </c>
      <c r="F988" s="2" t="s">
        <v>9</v>
      </c>
      <c r="G988" s="2" t="s">
        <v>14</v>
      </c>
    </row>
    <row r="989" spans="1:7">
      <c r="A989" s="2">
        <v>988</v>
      </c>
      <c r="B989" s="2" t="s">
        <v>46</v>
      </c>
      <c r="C989" s="2" t="s">
        <v>22</v>
      </c>
      <c r="D989" s="2">
        <v>3</v>
      </c>
      <c r="E989" s="3">
        <v>52253</v>
      </c>
      <c r="F989" s="2" t="s">
        <v>9</v>
      </c>
      <c r="G989" s="2" t="s">
        <v>18</v>
      </c>
    </row>
    <row r="990" spans="1:7">
      <c r="A990" s="2">
        <v>989</v>
      </c>
      <c r="B990" s="2" t="s">
        <v>79</v>
      </c>
      <c r="C990" s="2" t="s">
        <v>8</v>
      </c>
      <c r="D990" s="2">
        <v>19</v>
      </c>
      <c r="E990" s="3">
        <v>54230</v>
      </c>
      <c r="F990" s="2" t="s">
        <v>9</v>
      </c>
      <c r="G990" s="2" t="s">
        <v>29</v>
      </c>
    </row>
    <row r="991" spans="1:7">
      <c r="A991" s="2">
        <v>990</v>
      </c>
      <c r="B991" s="2" t="s">
        <v>21</v>
      </c>
      <c r="C991" s="2" t="s">
        <v>22</v>
      </c>
      <c r="D991" s="2">
        <v>2</v>
      </c>
      <c r="E991" s="3">
        <v>70224</v>
      </c>
      <c r="F991" s="2" t="s">
        <v>25</v>
      </c>
      <c r="G991" s="2" t="s">
        <v>14</v>
      </c>
    </row>
    <row r="992" spans="1:7">
      <c r="A992" s="2">
        <v>991</v>
      </c>
      <c r="B992" s="2" t="s">
        <v>63</v>
      </c>
      <c r="C992" s="2" t="s">
        <v>22</v>
      </c>
      <c r="D992" s="2">
        <v>21</v>
      </c>
      <c r="E992" s="3">
        <v>43663</v>
      </c>
      <c r="F992" s="2" t="s">
        <v>32</v>
      </c>
      <c r="G992" s="2" t="s">
        <v>29</v>
      </c>
    </row>
    <row r="993" spans="1:7">
      <c r="A993" s="2">
        <v>992</v>
      </c>
      <c r="B993" s="2" t="s">
        <v>81</v>
      </c>
      <c r="C993" s="2" t="s">
        <v>22</v>
      </c>
      <c r="D993" s="2">
        <v>17</v>
      </c>
      <c r="E993" s="3">
        <v>81538</v>
      </c>
      <c r="F993" s="2" t="s">
        <v>28</v>
      </c>
      <c r="G993" s="2" t="s">
        <v>26</v>
      </c>
    </row>
    <row r="994" spans="1:7">
      <c r="A994" s="2">
        <v>993</v>
      </c>
      <c r="B994" s="2" t="s">
        <v>46</v>
      </c>
      <c r="C994" s="2" t="s">
        <v>8</v>
      </c>
      <c r="D994" s="2">
        <v>7</v>
      </c>
      <c r="E994" s="3">
        <v>91264</v>
      </c>
      <c r="F994" s="2" t="s">
        <v>32</v>
      </c>
      <c r="G994" s="2" t="s">
        <v>10</v>
      </c>
    </row>
    <row r="995" spans="1:7">
      <c r="A995" s="2">
        <v>994</v>
      </c>
      <c r="B995" s="2" t="s">
        <v>60</v>
      </c>
      <c r="C995" s="2" t="s">
        <v>22</v>
      </c>
      <c r="D995" s="2">
        <v>5</v>
      </c>
      <c r="E995" s="3">
        <v>37810</v>
      </c>
      <c r="F995" s="2" t="s">
        <v>38</v>
      </c>
      <c r="G995" s="2" t="s">
        <v>29</v>
      </c>
    </row>
    <row r="996" spans="1:7">
      <c r="A996" s="2">
        <v>995</v>
      </c>
      <c r="B996" s="2" t="s">
        <v>62</v>
      </c>
      <c r="C996" s="2" t="s">
        <v>16</v>
      </c>
      <c r="D996" s="2">
        <v>22</v>
      </c>
      <c r="E996" s="3">
        <v>98131</v>
      </c>
      <c r="F996" s="2" t="s">
        <v>20</v>
      </c>
      <c r="G996" s="2" t="s">
        <v>10</v>
      </c>
    </row>
    <row r="997" spans="1:7">
      <c r="A997" s="2">
        <v>996</v>
      </c>
      <c r="B997" s="2" t="s">
        <v>82</v>
      </c>
      <c r="C997" s="2" t="s">
        <v>16</v>
      </c>
      <c r="D997" s="2">
        <v>11</v>
      </c>
      <c r="E997" s="3">
        <v>89586</v>
      </c>
      <c r="F997" s="2" t="s">
        <v>38</v>
      </c>
      <c r="G997" s="2" t="s">
        <v>29</v>
      </c>
    </row>
    <row r="998" spans="1:7">
      <c r="A998" s="2">
        <v>997</v>
      </c>
      <c r="B998" s="2" t="s">
        <v>69</v>
      </c>
      <c r="C998" s="2" t="s">
        <v>16</v>
      </c>
      <c r="D998" s="2">
        <v>25</v>
      </c>
      <c r="E998" s="3">
        <v>38270</v>
      </c>
      <c r="F998" s="2" t="s">
        <v>9</v>
      </c>
      <c r="G998" s="2" t="s">
        <v>14</v>
      </c>
    </row>
    <row r="999" spans="1:7">
      <c r="A999" s="2">
        <v>998</v>
      </c>
      <c r="B999" s="2" t="s">
        <v>57</v>
      </c>
      <c r="C999" s="2" t="s">
        <v>16</v>
      </c>
      <c r="D999" s="2">
        <v>11</v>
      </c>
      <c r="E999" s="3">
        <v>32927</v>
      </c>
      <c r="F999" s="2" t="s">
        <v>20</v>
      </c>
      <c r="G999" s="2" t="s">
        <v>10</v>
      </c>
    </row>
    <row r="1000" spans="1:7">
      <c r="A1000" s="2">
        <v>999</v>
      </c>
      <c r="B1000" s="2" t="s">
        <v>62</v>
      </c>
      <c r="C1000" s="2" t="s">
        <v>8</v>
      </c>
      <c r="D1000" s="2">
        <v>47</v>
      </c>
      <c r="E1000" s="3">
        <v>41625</v>
      </c>
      <c r="F1000" s="2" t="s">
        <v>32</v>
      </c>
      <c r="G1000" s="2" t="s">
        <v>23</v>
      </c>
    </row>
    <row r="1001" spans="1:7">
      <c r="A1001" s="2">
        <v>1000</v>
      </c>
      <c r="B1001" s="2" t="s">
        <v>45</v>
      </c>
      <c r="C1001" s="2" t="s">
        <v>12</v>
      </c>
      <c r="D1001" s="2">
        <v>5</v>
      </c>
      <c r="E1001" s="3">
        <v>34442</v>
      </c>
      <c r="F1001" s="2" t="s">
        <v>13</v>
      </c>
      <c r="G1001" s="2" t="s">
        <v>10</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A040-826E-4949-99EF-EE04E0591A62}">
  <sheetPr>
    <tabColor rgb="FFFF0000"/>
  </sheetPr>
  <dimension ref="A1:I1001"/>
  <sheetViews>
    <sheetView workbookViewId="0">
      <selection activeCell="B988" sqref="B988"/>
    </sheetView>
  </sheetViews>
  <sheetFormatPr defaultRowHeight="15"/>
  <cols>
    <col min="2" max="2" width="24.28515625" customWidth="1"/>
    <col min="3" max="3" width="14.42578125" customWidth="1"/>
    <col min="4" max="4" width="23.140625" customWidth="1"/>
    <col min="5" max="5" width="13.85546875" customWidth="1"/>
    <col min="6" max="6" width="15.42578125" customWidth="1"/>
    <col min="7" max="7" width="10.7109375" customWidth="1"/>
    <col min="8" max="8" width="12.7109375" customWidth="1"/>
    <col min="9" max="9" width="13.28515625" customWidth="1"/>
  </cols>
  <sheetData>
    <row r="1" spans="1:9">
      <c r="A1" s="1" t="s">
        <v>0</v>
      </c>
      <c r="B1" s="1" t="s">
        <v>1</v>
      </c>
      <c r="C1" s="1" t="s">
        <v>2</v>
      </c>
      <c r="D1" s="1" t="s">
        <v>3</v>
      </c>
      <c r="E1" s="1" t="s">
        <v>4</v>
      </c>
      <c r="F1" s="1" t="s">
        <v>5</v>
      </c>
      <c r="G1" s="1" t="s">
        <v>6</v>
      </c>
      <c r="H1" s="1" t="s">
        <v>101</v>
      </c>
      <c r="I1" s="1" t="s">
        <v>102</v>
      </c>
    </row>
    <row r="2" spans="1:9">
      <c r="A2" s="2">
        <v>1</v>
      </c>
      <c r="B2" s="2" t="s">
        <v>7</v>
      </c>
      <c r="C2" s="2" t="s">
        <v>8</v>
      </c>
      <c r="D2" s="2">
        <v>30</v>
      </c>
      <c r="E2" s="3">
        <v>77024</v>
      </c>
      <c r="F2" s="2" t="s">
        <v>9</v>
      </c>
      <c r="G2" s="2" t="s">
        <v>10</v>
      </c>
      <c r="H2" t="str">
        <f>LEFT(B2,FIND(",",B2)-1)</f>
        <v>Ford</v>
      </c>
      <c r="I2" t="str">
        <f>TRIM(MID(B2,FIND(",",B2)+1,LEN(B2)))</f>
        <v>Truck</v>
      </c>
    </row>
    <row r="3" spans="1:9">
      <c r="A3" s="2">
        <v>2</v>
      </c>
      <c r="B3" s="2" t="s">
        <v>11</v>
      </c>
      <c r="C3" s="2" t="s">
        <v>12</v>
      </c>
      <c r="D3" s="2">
        <v>15</v>
      </c>
      <c r="E3" s="3">
        <v>37515</v>
      </c>
      <c r="F3" s="2" t="s">
        <v>13</v>
      </c>
      <c r="G3" s="2" t="s">
        <v>14</v>
      </c>
      <c r="H3" t="str">
        <f t="shared" ref="H3:H66" si="0">LEFT(B3,FIND(",",B3)-1)</f>
        <v>Toyota</v>
      </c>
      <c r="I3" t="str">
        <f t="shared" ref="I3:I66" si="1">TRIM(MID(B3,FIND(",",B3)+1,LEN(B3)))</f>
        <v>Hatchback</v>
      </c>
    </row>
    <row r="4" spans="1:9">
      <c r="A4" s="2">
        <v>3</v>
      </c>
      <c r="B4" s="2" t="s">
        <v>15</v>
      </c>
      <c r="C4" s="2" t="s">
        <v>16</v>
      </c>
      <c r="D4" s="2">
        <v>26</v>
      </c>
      <c r="E4" s="3">
        <v>93173</v>
      </c>
      <c r="F4" s="2" t="s">
        <v>17</v>
      </c>
      <c r="G4" s="2" t="s">
        <v>18</v>
      </c>
      <c r="H4" t="str">
        <f t="shared" si="0"/>
        <v>Chevrolet</v>
      </c>
      <c r="I4" t="str">
        <f t="shared" si="1"/>
        <v>Truck</v>
      </c>
    </row>
    <row r="5" spans="1:9">
      <c r="A5" s="2">
        <v>4</v>
      </c>
      <c r="B5" s="2" t="s">
        <v>19</v>
      </c>
      <c r="C5" s="2" t="s">
        <v>12</v>
      </c>
      <c r="D5" s="2">
        <v>41</v>
      </c>
      <c r="E5" s="3">
        <v>79996</v>
      </c>
      <c r="F5" s="2" t="s">
        <v>20</v>
      </c>
      <c r="G5" s="2" t="s">
        <v>18</v>
      </c>
      <c r="H5" t="str">
        <f t="shared" si="0"/>
        <v>Tesla</v>
      </c>
      <c r="I5" t="str">
        <f t="shared" si="1"/>
        <v>Minivan</v>
      </c>
    </row>
    <row r="6" spans="1:9">
      <c r="A6" s="2">
        <v>5</v>
      </c>
      <c r="B6" s="2" t="s">
        <v>21</v>
      </c>
      <c r="C6" s="2" t="s">
        <v>22</v>
      </c>
      <c r="D6" s="2">
        <v>12</v>
      </c>
      <c r="E6" s="3">
        <v>31822</v>
      </c>
      <c r="F6" s="2" t="s">
        <v>13</v>
      </c>
      <c r="G6" s="2" t="s">
        <v>23</v>
      </c>
      <c r="H6" t="str">
        <f t="shared" si="0"/>
        <v>Tesla</v>
      </c>
      <c r="I6" t="str">
        <f t="shared" si="1"/>
        <v>Convertible</v>
      </c>
    </row>
    <row r="7" spans="1:9">
      <c r="A7" s="2">
        <v>6</v>
      </c>
      <c r="B7" s="2" t="s">
        <v>24</v>
      </c>
      <c r="C7" s="2" t="s">
        <v>16</v>
      </c>
      <c r="D7" s="2">
        <v>12</v>
      </c>
      <c r="E7" s="3">
        <v>75831</v>
      </c>
      <c r="F7" s="2" t="s">
        <v>25</v>
      </c>
      <c r="G7" s="2" t="s">
        <v>26</v>
      </c>
      <c r="H7" t="str">
        <f t="shared" si="0"/>
        <v>Honda</v>
      </c>
      <c r="I7" t="str">
        <f t="shared" si="1"/>
        <v>Convertible</v>
      </c>
    </row>
    <row r="8" spans="1:9">
      <c r="A8" s="2">
        <v>7</v>
      </c>
      <c r="B8" s="2" t="s">
        <v>27</v>
      </c>
      <c r="C8" s="2" t="s">
        <v>12</v>
      </c>
      <c r="D8" s="2">
        <v>41</v>
      </c>
      <c r="E8" s="3">
        <v>96909</v>
      </c>
      <c r="F8" s="2" t="s">
        <v>28</v>
      </c>
      <c r="G8" s="2" t="s">
        <v>29</v>
      </c>
      <c r="H8" t="str">
        <f t="shared" si="0"/>
        <v>Ford</v>
      </c>
      <c r="I8" t="str">
        <f t="shared" si="1"/>
        <v>Hatchback</v>
      </c>
    </row>
    <row r="9" spans="1:9">
      <c r="A9" s="2">
        <v>8</v>
      </c>
      <c r="B9" s="2" t="s">
        <v>30</v>
      </c>
      <c r="C9" s="2" t="s">
        <v>8</v>
      </c>
      <c r="D9" s="2">
        <v>43</v>
      </c>
      <c r="E9" s="3">
        <v>98569</v>
      </c>
      <c r="F9" s="2" t="s">
        <v>9</v>
      </c>
      <c r="G9" s="2" t="s">
        <v>14</v>
      </c>
      <c r="H9" t="str">
        <f t="shared" si="0"/>
        <v>Nissan</v>
      </c>
      <c r="I9" t="str">
        <f t="shared" si="1"/>
        <v>Coupe</v>
      </c>
    </row>
    <row r="10" spans="1:9">
      <c r="A10" s="2">
        <v>9</v>
      </c>
      <c r="B10" s="2" t="s">
        <v>31</v>
      </c>
      <c r="C10" s="2" t="s">
        <v>22</v>
      </c>
      <c r="D10" s="2">
        <v>28</v>
      </c>
      <c r="E10" s="3">
        <v>78423</v>
      </c>
      <c r="F10" s="2" t="s">
        <v>32</v>
      </c>
      <c r="G10" s="2" t="s">
        <v>26</v>
      </c>
      <c r="H10" t="str">
        <f t="shared" si="0"/>
        <v>Ford</v>
      </c>
      <c r="I10" t="str">
        <f t="shared" si="1"/>
        <v>Minivan</v>
      </c>
    </row>
    <row r="11" spans="1:9">
      <c r="A11" s="2">
        <v>10</v>
      </c>
      <c r="B11" s="2" t="s">
        <v>33</v>
      </c>
      <c r="C11" s="2" t="s">
        <v>12</v>
      </c>
      <c r="D11" s="2">
        <v>26</v>
      </c>
      <c r="E11" s="3">
        <v>29769</v>
      </c>
      <c r="F11" s="2" t="s">
        <v>20</v>
      </c>
      <c r="G11" s="2" t="s">
        <v>29</v>
      </c>
      <c r="H11" t="str">
        <f t="shared" si="0"/>
        <v>Volkswagen</v>
      </c>
      <c r="I11" t="str">
        <f t="shared" si="1"/>
        <v>SUV</v>
      </c>
    </row>
    <row r="12" spans="1:9">
      <c r="A12" s="2">
        <v>11</v>
      </c>
      <c r="B12" s="2" t="s">
        <v>34</v>
      </c>
      <c r="C12" s="2" t="s">
        <v>22</v>
      </c>
      <c r="D12" s="2">
        <v>2</v>
      </c>
      <c r="E12" s="3">
        <v>59644</v>
      </c>
      <c r="F12" s="2" t="s">
        <v>28</v>
      </c>
      <c r="G12" s="2" t="s">
        <v>26</v>
      </c>
      <c r="H12" t="str">
        <f t="shared" si="0"/>
        <v>Audi</v>
      </c>
      <c r="I12" t="str">
        <f t="shared" si="1"/>
        <v>Coupe</v>
      </c>
    </row>
    <row r="13" spans="1:9">
      <c r="A13" s="2">
        <v>12</v>
      </c>
      <c r="B13" s="2" t="s">
        <v>35</v>
      </c>
      <c r="C13" s="2" t="s">
        <v>12</v>
      </c>
      <c r="D13" s="2">
        <v>48</v>
      </c>
      <c r="E13" s="3">
        <v>84311</v>
      </c>
      <c r="F13" s="2" t="s">
        <v>13</v>
      </c>
      <c r="G13" s="2" t="s">
        <v>18</v>
      </c>
      <c r="H13" t="str">
        <f t="shared" si="0"/>
        <v>Toyota</v>
      </c>
      <c r="I13" t="str">
        <f t="shared" si="1"/>
        <v>Convertible</v>
      </c>
    </row>
    <row r="14" spans="1:9">
      <c r="A14" s="2">
        <v>13</v>
      </c>
      <c r="B14" s="2" t="s">
        <v>36</v>
      </c>
      <c r="C14" s="2" t="s">
        <v>8</v>
      </c>
      <c r="D14" s="2">
        <v>40</v>
      </c>
      <c r="E14" s="3">
        <v>65822</v>
      </c>
      <c r="F14" s="2" t="s">
        <v>28</v>
      </c>
      <c r="G14" s="2" t="s">
        <v>18</v>
      </c>
      <c r="H14" t="str">
        <f t="shared" si="0"/>
        <v>Toyota</v>
      </c>
      <c r="I14" t="str">
        <f t="shared" si="1"/>
        <v>Coupe</v>
      </c>
    </row>
    <row r="15" spans="1:9">
      <c r="A15" s="2">
        <v>14</v>
      </c>
      <c r="B15" s="2" t="s">
        <v>7</v>
      </c>
      <c r="C15" s="2" t="s">
        <v>16</v>
      </c>
      <c r="D15" s="2">
        <v>13</v>
      </c>
      <c r="E15" s="3">
        <v>41907</v>
      </c>
      <c r="F15" s="2" t="s">
        <v>32</v>
      </c>
      <c r="G15" s="2" t="s">
        <v>14</v>
      </c>
      <c r="H15" t="str">
        <f t="shared" si="0"/>
        <v>Ford</v>
      </c>
      <c r="I15" t="str">
        <f t="shared" si="1"/>
        <v>Truck</v>
      </c>
    </row>
    <row r="16" spans="1:9">
      <c r="A16" s="2">
        <v>15</v>
      </c>
      <c r="B16" s="2" t="s">
        <v>37</v>
      </c>
      <c r="C16" s="2" t="s">
        <v>12</v>
      </c>
      <c r="D16" s="2">
        <v>29</v>
      </c>
      <c r="E16" s="3">
        <v>32717</v>
      </c>
      <c r="F16" s="2" t="s">
        <v>38</v>
      </c>
      <c r="G16" s="2" t="s">
        <v>18</v>
      </c>
      <c r="H16" t="str">
        <f t="shared" si="0"/>
        <v>Tesla</v>
      </c>
      <c r="I16" t="str">
        <f t="shared" si="1"/>
        <v>Truck</v>
      </c>
    </row>
    <row r="17" spans="1:9">
      <c r="A17" s="2">
        <v>16</v>
      </c>
      <c r="B17" s="2" t="s">
        <v>21</v>
      </c>
      <c r="C17" s="2" t="s">
        <v>22</v>
      </c>
      <c r="D17" s="2">
        <v>38</v>
      </c>
      <c r="E17" s="3">
        <v>70228</v>
      </c>
      <c r="F17" s="2" t="s">
        <v>38</v>
      </c>
      <c r="G17" s="2" t="s">
        <v>18</v>
      </c>
      <c r="H17" t="str">
        <f t="shared" si="0"/>
        <v>Tesla</v>
      </c>
      <c r="I17" t="str">
        <f t="shared" si="1"/>
        <v>Convertible</v>
      </c>
    </row>
    <row r="18" spans="1:9">
      <c r="A18" s="2">
        <v>17</v>
      </c>
      <c r="B18" s="2" t="s">
        <v>39</v>
      </c>
      <c r="C18" s="2" t="s">
        <v>8</v>
      </c>
      <c r="D18" s="2">
        <v>28</v>
      </c>
      <c r="E18" s="3">
        <v>63314</v>
      </c>
      <c r="F18" s="2" t="s">
        <v>20</v>
      </c>
      <c r="G18" s="2" t="s">
        <v>23</v>
      </c>
      <c r="H18" t="str">
        <f t="shared" si="0"/>
        <v>Nissan</v>
      </c>
      <c r="I18" t="str">
        <f t="shared" si="1"/>
        <v>Minivan</v>
      </c>
    </row>
    <row r="19" spans="1:9">
      <c r="A19" s="2">
        <v>18</v>
      </c>
      <c r="B19" s="2" t="s">
        <v>40</v>
      </c>
      <c r="C19" s="2" t="s">
        <v>16</v>
      </c>
      <c r="D19" s="2">
        <v>25</v>
      </c>
      <c r="E19" s="3">
        <v>58509</v>
      </c>
      <c r="F19" s="2" t="s">
        <v>38</v>
      </c>
      <c r="G19" s="2" t="s">
        <v>23</v>
      </c>
      <c r="H19" t="str">
        <f t="shared" si="0"/>
        <v>Volkswagen</v>
      </c>
      <c r="I19" t="str">
        <f t="shared" si="1"/>
        <v>Convertible</v>
      </c>
    </row>
    <row r="20" spans="1:9">
      <c r="A20" s="2">
        <v>19</v>
      </c>
      <c r="B20" s="2" t="s">
        <v>36</v>
      </c>
      <c r="C20" s="2" t="s">
        <v>22</v>
      </c>
      <c r="D20" s="2">
        <v>1</v>
      </c>
      <c r="E20" s="3">
        <v>46884</v>
      </c>
      <c r="F20" s="2" t="s">
        <v>13</v>
      </c>
      <c r="G20" s="2" t="s">
        <v>18</v>
      </c>
      <c r="H20" t="str">
        <f t="shared" si="0"/>
        <v>Toyota</v>
      </c>
      <c r="I20" t="str">
        <f t="shared" si="1"/>
        <v>Coupe</v>
      </c>
    </row>
    <row r="21" spans="1:9">
      <c r="A21" s="2">
        <v>20</v>
      </c>
      <c r="B21" s="2" t="s">
        <v>30</v>
      </c>
      <c r="C21" s="2" t="s">
        <v>8</v>
      </c>
      <c r="D21" s="2">
        <v>46</v>
      </c>
      <c r="E21" s="3">
        <v>49657</v>
      </c>
      <c r="F21" s="2" t="s">
        <v>32</v>
      </c>
      <c r="G21" s="2" t="s">
        <v>14</v>
      </c>
      <c r="H21" t="str">
        <f t="shared" si="0"/>
        <v>Nissan</v>
      </c>
      <c r="I21" t="str">
        <f t="shared" si="1"/>
        <v>Coupe</v>
      </c>
    </row>
    <row r="22" spans="1:9">
      <c r="A22" s="2">
        <v>21</v>
      </c>
      <c r="B22" s="2" t="s">
        <v>37</v>
      </c>
      <c r="C22" s="2" t="s">
        <v>22</v>
      </c>
      <c r="D22" s="2">
        <v>14</v>
      </c>
      <c r="E22" s="3">
        <v>78900</v>
      </c>
      <c r="F22" s="2" t="s">
        <v>17</v>
      </c>
      <c r="G22" s="2" t="s">
        <v>14</v>
      </c>
      <c r="H22" t="str">
        <f t="shared" si="0"/>
        <v>Tesla</v>
      </c>
      <c r="I22" t="str">
        <f t="shared" si="1"/>
        <v>Truck</v>
      </c>
    </row>
    <row r="23" spans="1:9">
      <c r="A23" s="2">
        <v>22</v>
      </c>
      <c r="B23" s="2" t="s">
        <v>39</v>
      </c>
      <c r="C23" s="2" t="s">
        <v>8</v>
      </c>
      <c r="D23" s="2">
        <v>14</v>
      </c>
      <c r="E23" s="3">
        <v>72159</v>
      </c>
      <c r="F23" s="2" t="s">
        <v>13</v>
      </c>
      <c r="G23" s="2" t="s">
        <v>26</v>
      </c>
      <c r="H23" t="str">
        <f t="shared" si="0"/>
        <v>Nissan</v>
      </c>
      <c r="I23" t="str">
        <f t="shared" si="1"/>
        <v>Minivan</v>
      </c>
    </row>
    <row r="24" spans="1:9">
      <c r="A24" s="2">
        <v>23</v>
      </c>
      <c r="B24" s="2" t="s">
        <v>41</v>
      </c>
      <c r="C24" s="2" t="s">
        <v>16</v>
      </c>
      <c r="D24" s="2">
        <v>18</v>
      </c>
      <c r="E24" s="3">
        <v>55875</v>
      </c>
      <c r="F24" s="2" t="s">
        <v>17</v>
      </c>
      <c r="G24" s="2" t="s">
        <v>18</v>
      </c>
      <c r="H24" t="str">
        <f t="shared" si="0"/>
        <v>Audi</v>
      </c>
      <c r="I24" t="str">
        <f t="shared" si="1"/>
        <v>SUV</v>
      </c>
    </row>
    <row r="25" spans="1:9">
      <c r="A25" s="2">
        <v>24</v>
      </c>
      <c r="B25" s="2" t="s">
        <v>42</v>
      </c>
      <c r="C25" s="2" t="s">
        <v>16</v>
      </c>
      <c r="D25" s="2">
        <v>49</v>
      </c>
      <c r="E25" s="3">
        <v>40668</v>
      </c>
      <c r="F25" s="2" t="s">
        <v>20</v>
      </c>
      <c r="G25" s="2" t="s">
        <v>18</v>
      </c>
      <c r="H25" t="str">
        <f t="shared" si="0"/>
        <v>Tesla</v>
      </c>
      <c r="I25" t="str">
        <f t="shared" si="1"/>
        <v>Hatchback</v>
      </c>
    </row>
    <row r="26" spans="1:9">
      <c r="A26" s="2">
        <v>25</v>
      </c>
      <c r="B26" s="2" t="s">
        <v>43</v>
      </c>
      <c r="C26" s="2" t="s">
        <v>22</v>
      </c>
      <c r="D26" s="2">
        <v>46</v>
      </c>
      <c r="E26" s="3">
        <v>29660</v>
      </c>
      <c r="F26" s="2" t="s">
        <v>25</v>
      </c>
      <c r="G26" s="2" t="s">
        <v>10</v>
      </c>
      <c r="H26" t="str">
        <f t="shared" si="0"/>
        <v>Hyundai</v>
      </c>
      <c r="I26" t="str">
        <f t="shared" si="1"/>
        <v>SUV</v>
      </c>
    </row>
    <row r="27" spans="1:9">
      <c r="A27" s="2">
        <v>26</v>
      </c>
      <c r="B27" s="2" t="s">
        <v>40</v>
      </c>
      <c r="C27" s="2" t="s">
        <v>8</v>
      </c>
      <c r="D27" s="2">
        <v>5</v>
      </c>
      <c r="E27" s="3">
        <v>40017</v>
      </c>
      <c r="F27" s="2" t="s">
        <v>13</v>
      </c>
      <c r="G27" s="2" t="s">
        <v>26</v>
      </c>
      <c r="H27" t="str">
        <f t="shared" si="0"/>
        <v>Volkswagen</v>
      </c>
      <c r="I27" t="str">
        <f t="shared" si="1"/>
        <v>Convertible</v>
      </c>
    </row>
    <row r="28" spans="1:9">
      <c r="A28" s="2">
        <v>27</v>
      </c>
      <c r="B28" s="2" t="s">
        <v>44</v>
      </c>
      <c r="C28" s="2" t="s">
        <v>12</v>
      </c>
      <c r="D28" s="2">
        <v>37</v>
      </c>
      <c r="E28" s="3">
        <v>67150</v>
      </c>
      <c r="F28" s="2" t="s">
        <v>28</v>
      </c>
      <c r="G28" s="2" t="s">
        <v>23</v>
      </c>
      <c r="H28" t="str">
        <f t="shared" si="0"/>
        <v>Chevrolet</v>
      </c>
      <c r="I28" t="str">
        <f t="shared" si="1"/>
        <v>Coupe</v>
      </c>
    </row>
    <row r="29" spans="1:9">
      <c r="A29" s="2">
        <v>28</v>
      </c>
      <c r="B29" s="2" t="s">
        <v>45</v>
      </c>
      <c r="C29" s="2" t="s">
        <v>16</v>
      </c>
      <c r="D29" s="2">
        <v>7</v>
      </c>
      <c r="E29" s="3">
        <v>60180</v>
      </c>
      <c r="F29" s="2" t="s">
        <v>28</v>
      </c>
      <c r="G29" s="2" t="s">
        <v>23</v>
      </c>
      <c r="H29" t="str">
        <f t="shared" si="0"/>
        <v>Toyota</v>
      </c>
      <c r="I29" t="str">
        <f t="shared" si="1"/>
        <v>SUV</v>
      </c>
    </row>
    <row r="30" spans="1:9">
      <c r="A30" s="2">
        <v>29</v>
      </c>
      <c r="B30" s="2" t="s">
        <v>46</v>
      </c>
      <c r="C30" s="2" t="s">
        <v>12</v>
      </c>
      <c r="D30" s="2">
        <v>35</v>
      </c>
      <c r="E30" s="3">
        <v>96396</v>
      </c>
      <c r="F30" s="2" t="s">
        <v>13</v>
      </c>
      <c r="G30" s="2" t="s">
        <v>14</v>
      </c>
      <c r="H30" t="str">
        <f t="shared" si="0"/>
        <v>Honda</v>
      </c>
      <c r="I30" t="str">
        <f t="shared" si="1"/>
        <v>Minivan</v>
      </c>
    </row>
    <row r="31" spans="1:9">
      <c r="A31" s="2">
        <v>30</v>
      </c>
      <c r="B31" s="2" t="s">
        <v>47</v>
      </c>
      <c r="C31" s="2" t="s">
        <v>12</v>
      </c>
      <c r="D31" s="2">
        <v>12</v>
      </c>
      <c r="E31" s="3">
        <v>96639</v>
      </c>
      <c r="F31" s="2" t="s">
        <v>17</v>
      </c>
      <c r="G31" s="2" t="s">
        <v>29</v>
      </c>
      <c r="H31" t="str">
        <f t="shared" si="0"/>
        <v>Audi</v>
      </c>
      <c r="I31" t="str">
        <f t="shared" si="1"/>
        <v>Minivan</v>
      </c>
    </row>
    <row r="32" spans="1:9">
      <c r="A32" s="2">
        <v>31</v>
      </c>
      <c r="B32" s="2" t="s">
        <v>48</v>
      </c>
      <c r="C32" s="2" t="s">
        <v>22</v>
      </c>
      <c r="D32" s="2">
        <v>24</v>
      </c>
      <c r="E32" s="3">
        <v>67390</v>
      </c>
      <c r="F32" s="2" t="s">
        <v>28</v>
      </c>
      <c r="G32" s="2" t="s">
        <v>29</v>
      </c>
      <c r="H32" t="str">
        <f t="shared" si="0"/>
        <v>BMW</v>
      </c>
      <c r="I32" t="str">
        <f t="shared" si="1"/>
        <v>Coupe</v>
      </c>
    </row>
    <row r="33" spans="1:9">
      <c r="A33" s="2">
        <v>32</v>
      </c>
      <c r="B33" s="2" t="s">
        <v>49</v>
      </c>
      <c r="C33" s="2" t="s">
        <v>22</v>
      </c>
      <c r="D33" s="2">
        <v>21</v>
      </c>
      <c r="E33" s="3">
        <v>34904</v>
      </c>
      <c r="F33" s="2" t="s">
        <v>13</v>
      </c>
      <c r="G33" s="2" t="s">
        <v>18</v>
      </c>
      <c r="H33" t="str">
        <f t="shared" si="0"/>
        <v>Chevrolet</v>
      </c>
      <c r="I33" t="str">
        <f t="shared" si="1"/>
        <v>Sedan</v>
      </c>
    </row>
    <row r="34" spans="1:9">
      <c r="A34" s="2">
        <v>33</v>
      </c>
      <c r="B34" s="2" t="s">
        <v>50</v>
      </c>
      <c r="C34" s="2" t="s">
        <v>22</v>
      </c>
      <c r="D34" s="2">
        <v>13</v>
      </c>
      <c r="E34" s="3">
        <v>96628</v>
      </c>
      <c r="F34" s="2" t="s">
        <v>32</v>
      </c>
      <c r="G34" s="2" t="s">
        <v>18</v>
      </c>
      <c r="H34" t="str">
        <f t="shared" si="0"/>
        <v>Honda</v>
      </c>
      <c r="I34" t="str">
        <f t="shared" si="1"/>
        <v>Truck</v>
      </c>
    </row>
    <row r="35" spans="1:9">
      <c r="A35" s="2">
        <v>34</v>
      </c>
      <c r="B35" s="2" t="s">
        <v>42</v>
      </c>
      <c r="C35" s="2" t="s">
        <v>8</v>
      </c>
      <c r="D35" s="2">
        <v>30</v>
      </c>
      <c r="E35" s="3">
        <v>75254</v>
      </c>
      <c r="F35" s="2" t="s">
        <v>13</v>
      </c>
      <c r="G35" s="2" t="s">
        <v>26</v>
      </c>
      <c r="H35" t="str">
        <f t="shared" si="0"/>
        <v>Tesla</v>
      </c>
      <c r="I35" t="str">
        <f t="shared" si="1"/>
        <v>Hatchback</v>
      </c>
    </row>
    <row r="36" spans="1:9">
      <c r="A36" s="2">
        <v>35</v>
      </c>
      <c r="B36" s="2" t="s">
        <v>48</v>
      </c>
      <c r="C36" s="2" t="s">
        <v>16</v>
      </c>
      <c r="D36" s="2">
        <v>8</v>
      </c>
      <c r="E36" s="3">
        <v>80934</v>
      </c>
      <c r="F36" s="2" t="s">
        <v>9</v>
      </c>
      <c r="G36" s="2" t="s">
        <v>10</v>
      </c>
      <c r="H36" t="str">
        <f t="shared" si="0"/>
        <v>BMW</v>
      </c>
      <c r="I36" t="str">
        <f t="shared" si="1"/>
        <v>Coupe</v>
      </c>
    </row>
    <row r="37" spans="1:9">
      <c r="A37" s="2">
        <v>36</v>
      </c>
      <c r="B37" s="2" t="s">
        <v>27</v>
      </c>
      <c r="C37" s="2" t="s">
        <v>16</v>
      </c>
      <c r="D37" s="2">
        <v>17</v>
      </c>
      <c r="E37" s="3">
        <v>65565</v>
      </c>
      <c r="F37" s="2" t="s">
        <v>25</v>
      </c>
      <c r="G37" s="2" t="s">
        <v>10</v>
      </c>
      <c r="H37" t="str">
        <f t="shared" si="0"/>
        <v>Ford</v>
      </c>
      <c r="I37" t="str">
        <f t="shared" si="1"/>
        <v>Hatchback</v>
      </c>
    </row>
    <row r="38" spans="1:9">
      <c r="A38" s="2">
        <v>37</v>
      </c>
      <c r="B38" s="2" t="s">
        <v>31</v>
      </c>
      <c r="C38" s="2" t="s">
        <v>12</v>
      </c>
      <c r="D38" s="2">
        <v>43</v>
      </c>
      <c r="E38" s="3">
        <v>84273</v>
      </c>
      <c r="F38" s="2" t="s">
        <v>17</v>
      </c>
      <c r="G38" s="2" t="s">
        <v>14</v>
      </c>
      <c r="H38" t="str">
        <f t="shared" si="0"/>
        <v>Ford</v>
      </c>
      <c r="I38" t="str">
        <f t="shared" si="1"/>
        <v>Minivan</v>
      </c>
    </row>
    <row r="39" spans="1:9">
      <c r="A39" s="2">
        <v>38</v>
      </c>
      <c r="B39" s="2" t="s">
        <v>34</v>
      </c>
      <c r="C39" s="2" t="s">
        <v>22</v>
      </c>
      <c r="D39" s="2">
        <v>32</v>
      </c>
      <c r="E39" s="3">
        <v>37016</v>
      </c>
      <c r="F39" s="2" t="s">
        <v>9</v>
      </c>
      <c r="G39" s="2" t="s">
        <v>26</v>
      </c>
      <c r="H39" t="str">
        <f t="shared" si="0"/>
        <v>Audi</v>
      </c>
      <c r="I39" t="str">
        <f t="shared" si="1"/>
        <v>Coupe</v>
      </c>
    </row>
    <row r="40" spans="1:9">
      <c r="A40" s="2">
        <v>39</v>
      </c>
      <c r="B40" s="2" t="s">
        <v>51</v>
      </c>
      <c r="C40" s="2" t="s">
        <v>8</v>
      </c>
      <c r="D40" s="2">
        <v>34</v>
      </c>
      <c r="E40" s="3">
        <v>54005</v>
      </c>
      <c r="F40" s="2" t="s">
        <v>28</v>
      </c>
      <c r="G40" s="2" t="s">
        <v>29</v>
      </c>
      <c r="H40" t="str">
        <f t="shared" si="0"/>
        <v>Ford</v>
      </c>
      <c r="I40" t="str">
        <f t="shared" si="1"/>
        <v>Coupe</v>
      </c>
    </row>
    <row r="41" spans="1:9">
      <c r="A41" s="2">
        <v>40</v>
      </c>
      <c r="B41" s="2" t="s">
        <v>52</v>
      </c>
      <c r="C41" s="2" t="s">
        <v>16</v>
      </c>
      <c r="D41" s="2">
        <v>41</v>
      </c>
      <c r="E41" s="3">
        <v>86030</v>
      </c>
      <c r="F41" s="2" t="s">
        <v>28</v>
      </c>
      <c r="G41" s="2" t="s">
        <v>10</v>
      </c>
      <c r="H41" t="str">
        <f t="shared" si="0"/>
        <v>BMW</v>
      </c>
      <c r="I41" t="str">
        <f t="shared" si="1"/>
        <v>Hatchback</v>
      </c>
    </row>
    <row r="42" spans="1:9">
      <c r="A42" s="2">
        <v>41</v>
      </c>
      <c r="B42" s="2" t="s">
        <v>53</v>
      </c>
      <c r="C42" s="2" t="s">
        <v>8</v>
      </c>
      <c r="D42" s="2">
        <v>21</v>
      </c>
      <c r="E42" s="3">
        <v>93030</v>
      </c>
      <c r="F42" s="2" t="s">
        <v>17</v>
      </c>
      <c r="G42" s="2" t="s">
        <v>29</v>
      </c>
      <c r="H42" t="str">
        <f t="shared" si="0"/>
        <v>BMW</v>
      </c>
      <c r="I42" t="str">
        <f t="shared" si="1"/>
        <v>Minivan</v>
      </c>
    </row>
    <row r="43" spans="1:9">
      <c r="A43" s="2">
        <v>42</v>
      </c>
      <c r="B43" s="2" t="s">
        <v>54</v>
      </c>
      <c r="C43" s="2" t="s">
        <v>22</v>
      </c>
      <c r="D43" s="2">
        <v>39</v>
      </c>
      <c r="E43" s="3">
        <v>52788</v>
      </c>
      <c r="F43" s="2" t="s">
        <v>13</v>
      </c>
      <c r="G43" s="2" t="s">
        <v>26</v>
      </c>
      <c r="H43" t="str">
        <f t="shared" si="0"/>
        <v>Volkswagen</v>
      </c>
      <c r="I43" t="str">
        <f t="shared" si="1"/>
        <v>Minivan</v>
      </c>
    </row>
    <row r="44" spans="1:9">
      <c r="A44" s="2">
        <v>43</v>
      </c>
      <c r="B44" s="2" t="s">
        <v>55</v>
      </c>
      <c r="C44" s="2" t="s">
        <v>22</v>
      </c>
      <c r="D44" s="2">
        <v>25</v>
      </c>
      <c r="E44" s="3">
        <v>81201</v>
      </c>
      <c r="F44" s="2" t="s">
        <v>25</v>
      </c>
      <c r="G44" s="2" t="s">
        <v>10</v>
      </c>
      <c r="H44" t="str">
        <f t="shared" si="0"/>
        <v>Chevrolet</v>
      </c>
      <c r="I44" t="str">
        <f t="shared" si="1"/>
        <v>Hatchback</v>
      </c>
    </row>
    <row r="45" spans="1:9">
      <c r="A45" s="2">
        <v>44</v>
      </c>
      <c r="B45" s="2" t="s">
        <v>45</v>
      </c>
      <c r="C45" s="2" t="s">
        <v>16</v>
      </c>
      <c r="D45" s="2">
        <v>40</v>
      </c>
      <c r="E45" s="3">
        <v>83974</v>
      </c>
      <c r="F45" s="2" t="s">
        <v>20</v>
      </c>
      <c r="G45" s="2" t="s">
        <v>23</v>
      </c>
      <c r="H45" t="str">
        <f t="shared" si="0"/>
        <v>Toyota</v>
      </c>
      <c r="I45" t="str">
        <f t="shared" si="1"/>
        <v>SUV</v>
      </c>
    </row>
    <row r="46" spans="1:9">
      <c r="A46" s="2">
        <v>45</v>
      </c>
      <c r="B46" s="2" t="s">
        <v>56</v>
      </c>
      <c r="C46" s="2" t="s">
        <v>12</v>
      </c>
      <c r="D46" s="2">
        <v>26</v>
      </c>
      <c r="E46" s="3">
        <v>67158</v>
      </c>
      <c r="F46" s="2" t="s">
        <v>32</v>
      </c>
      <c r="G46" s="2" t="s">
        <v>18</v>
      </c>
      <c r="H46" t="str">
        <f t="shared" si="0"/>
        <v>Hyundai</v>
      </c>
      <c r="I46" t="str">
        <f t="shared" si="1"/>
        <v>Coupe</v>
      </c>
    </row>
    <row r="47" spans="1:9">
      <c r="A47" s="2">
        <v>46</v>
      </c>
      <c r="B47" s="2" t="s">
        <v>57</v>
      </c>
      <c r="C47" s="2" t="s">
        <v>12</v>
      </c>
      <c r="D47" s="2">
        <v>38</v>
      </c>
      <c r="E47" s="3">
        <v>28192</v>
      </c>
      <c r="F47" s="2" t="s">
        <v>9</v>
      </c>
      <c r="G47" s="2" t="s">
        <v>10</v>
      </c>
      <c r="H47" t="str">
        <f t="shared" si="0"/>
        <v>Nissan</v>
      </c>
      <c r="I47" t="str">
        <f t="shared" si="1"/>
        <v>Sedan</v>
      </c>
    </row>
    <row r="48" spans="1:9">
      <c r="A48" s="2">
        <v>47</v>
      </c>
      <c r="B48" s="2" t="s">
        <v>58</v>
      </c>
      <c r="C48" s="2" t="s">
        <v>22</v>
      </c>
      <c r="D48" s="2">
        <v>8</v>
      </c>
      <c r="E48" s="3">
        <v>38766</v>
      </c>
      <c r="F48" s="2" t="s">
        <v>25</v>
      </c>
      <c r="G48" s="2" t="s">
        <v>10</v>
      </c>
      <c r="H48" t="str">
        <f t="shared" si="0"/>
        <v>Ford</v>
      </c>
      <c r="I48" t="str">
        <f t="shared" si="1"/>
        <v>SUV</v>
      </c>
    </row>
    <row r="49" spans="1:9">
      <c r="A49" s="2">
        <v>48</v>
      </c>
      <c r="B49" s="2" t="s">
        <v>59</v>
      </c>
      <c r="C49" s="2" t="s">
        <v>22</v>
      </c>
      <c r="D49" s="2">
        <v>23</v>
      </c>
      <c r="E49" s="3">
        <v>93042</v>
      </c>
      <c r="F49" s="2" t="s">
        <v>20</v>
      </c>
      <c r="G49" s="2" t="s">
        <v>26</v>
      </c>
      <c r="H49" t="str">
        <f t="shared" si="0"/>
        <v>Audi</v>
      </c>
      <c r="I49" t="str">
        <f t="shared" si="1"/>
        <v>Convertible</v>
      </c>
    </row>
    <row r="50" spans="1:9">
      <c r="A50" s="2">
        <v>49</v>
      </c>
      <c r="B50" s="2" t="s">
        <v>60</v>
      </c>
      <c r="C50" s="2" t="s">
        <v>12</v>
      </c>
      <c r="D50" s="2">
        <v>23</v>
      </c>
      <c r="E50" s="3">
        <v>37039</v>
      </c>
      <c r="F50" s="2" t="s">
        <v>32</v>
      </c>
      <c r="G50" s="2" t="s">
        <v>14</v>
      </c>
      <c r="H50" t="str">
        <f t="shared" si="0"/>
        <v>Ford</v>
      </c>
      <c r="I50" t="str">
        <f t="shared" si="1"/>
        <v>Convertible</v>
      </c>
    </row>
    <row r="51" spans="1:9">
      <c r="A51" s="2">
        <v>50</v>
      </c>
      <c r="B51" s="2" t="s">
        <v>61</v>
      </c>
      <c r="C51" s="2" t="s">
        <v>22</v>
      </c>
      <c r="D51" s="2">
        <v>30</v>
      </c>
      <c r="E51" s="3">
        <v>75522</v>
      </c>
      <c r="F51" s="2" t="s">
        <v>13</v>
      </c>
      <c r="G51" s="2" t="s">
        <v>23</v>
      </c>
      <c r="H51" t="str">
        <f t="shared" si="0"/>
        <v>Nissan</v>
      </c>
      <c r="I51" t="str">
        <f t="shared" si="1"/>
        <v>Truck</v>
      </c>
    </row>
    <row r="52" spans="1:9">
      <c r="A52" s="2">
        <v>51</v>
      </c>
      <c r="B52" s="2" t="s">
        <v>62</v>
      </c>
      <c r="C52" s="2" t="s">
        <v>16</v>
      </c>
      <c r="D52" s="2">
        <v>40</v>
      </c>
      <c r="E52" s="3">
        <v>63907</v>
      </c>
      <c r="F52" s="2" t="s">
        <v>17</v>
      </c>
      <c r="G52" s="2" t="s">
        <v>18</v>
      </c>
      <c r="H52" t="str">
        <f t="shared" si="0"/>
        <v>Chevrolet</v>
      </c>
      <c r="I52" t="str">
        <f t="shared" si="1"/>
        <v>Minivan</v>
      </c>
    </row>
    <row r="53" spans="1:9">
      <c r="A53" s="2">
        <v>52</v>
      </c>
      <c r="B53" s="2" t="s">
        <v>63</v>
      </c>
      <c r="C53" s="2" t="s">
        <v>16</v>
      </c>
      <c r="D53" s="2">
        <v>12</v>
      </c>
      <c r="E53" s="3">
        <v>30965</v>
      </c>
      <c r="F53" s="2" t="s">
        <v>38</v>
      </c>
      <c r="G53" s="2" t="s">
        <v>23</v>
      </c>
      <c r="H53" t="str">
        <f t="shared" si="0"/>
        <v>Volkswagen</v>
      </c>
      <c r="I53" t="str">
        <f t="shared" si="1"/>
        <v>Sedan</v>
      </c>
    </row>
    <row r="54" spans="1:9">
      <c r="A54" s="2">
        <v>53</v>
      </c>
      <c r="B54" s="2" t="s">
        <v>53</v>
      </c>
      <c r="C54" s="2" t="s">
        <v>8</v>
      </c>
      <c r="D54" s="2">
        <v>44</v>
      </c>
      <c r="E54" s="3">
        <v>87144</v>
      </c>
      <c r="F54" s="2" t="s">
        <v>25</v>
      </c>
      <c r="G54" s="2" t="s">
        <v>26</v>
      </c>
      <c r="H54" t="str">
        <f t="shared" si="0"/>
        <v>BMW</v>
      </c>
      <c r="I54" t="str">
        <f t="shared" si="1"/>
        <v>Minivan</v>
      </c>
    </row>
    <row r="55" spans="1:9">
      <c r="A55" s="2">
        <v>54</v>
      </c>
      <c r="B55" s="2" t="s">
        <v>54</v>
      </c>
      <c r="C55" s="2" t="s">
        <v>12</v>
      </c>
      <c r="D55" s="2">
        <v>46</v>
      </c>
      <c r="E55" s="3">
        <v>65150</v>
      </c>
      <c r="F55" s="2" t="s">
        <v>13</v>
      </c>
      <c r="G55" s="2" t="s">
        <v>26</v>
      </c>
      <c r="H55" t="str">
        <f t="shared" si="0"/>
        <v>Volkswagen</v>
      </c>
      <c r="I55" t="str">
        <f t="shared" si="1"/>
        <v>Minivan</v>
      </c>
    </row>
    <row r="56" spans="1:9">
      <c r="A56" s="2">
        <v>55</v>
      </c>
      <c r="B56" s="2" t="s">
        <v>64</v>
      </c>
      <c r="C56" s="2" t="s">
        <v>22</v>
      </c>
      <c r="D56" s="2">
        <v>20</v>
      </c>
      <c r="E56" s="3">
        <v>60773</v>
      </c>
      <c r="F56" s="2" t="s">
        <v>38</v>
      </c>
      <c r="G56" s="2" t="s">
        <v>18</v>
      </c>
      <c r="H56" t="str">
        <f t="shared" si="0"/>
        <v>Tesla</v>
      </c>
      <c r="I56" t="str">
        <f t="shared" si="1"/>
        <v>Coupe</v>
      </c>
    </row>
    <row r="57" spans="1:9">
      <c r="A57" s="2">
        <v>56</v>
      </c>
      <c r="B57" s="2" t="s">
        <v>65</v>
      </c>
      <c r="C57" s="2" t="s">
        <v>8</v>
      </c>
      <c r="D57" s="2">
        <v>40</v>
      </c>
      <c r="E57" s="3">
        <v>83223</v>
      </c>
      <c r="F57" s="2" t="s">
        <v>20</v>
      </c>
      <c r="G57" s="2" t="s">
        <v>23</v>
      </c>
      <c r="H57" t="str">
        <f t="shared" si="0"/>
        <v>Ford</v>
      </c>
      <c r="I57" t="str">
        <f t="shared" si="1"/>
        <v>Sedan</v>
      </c>
    </row>
    <row r="58" spans="1:9">
      <c r="A58" s="2">
        <v>57</v>
      </c>
      <c r="B58" s="2" t="s">
        <v>35</v>
      </c>
      <c r="C58" s="2" t="s">
        <v>16</v>
      </c>
      <c r="D58" s="2">
        <v>38</v>
      </c>
      <c r="E58" s="3">
        <v>90033</v>
      </c>
      <c r="F58" s="2" t="s">
        <v>25</v>
      </c>
      <c r="G58" s="2" t="s">
        <v>23</v>
      </c>
      <c r="H58" t="str">
        <f t="shared" si="0"/>
        <v>Toyota</v>
      </c>
      <c r="I58" t="str">
        <f t="shared" si="1"/>
        <v>Convertible</v>
      </c>
    </row>
    <row r="59" spans="1:9">
      <c r="A59" s="2">
        <v>58</v>
      </c>
      <c r="B59" s="2" t="s">
        <v>64</v>
      </c>
      <c r="C59" s="2" t="s">
        <v>12</v>
      </c>
      <c r="D59" s="2">
        <v>6</v>
      </c>
      <c r="E59" s="3">
        <v>29674</v>
      </c>
      <c r="F59" s="2" t="s">
        <v>9</v>
      </c>
      <c r="G59" s="2" t="s">
        <v>14</v>
      </c>
      <c r="H59" t="str">
        <f t="shared" si="0"/>
        <v>Tesla</v>
      </c>
      <c r="I59" t="str">
        <f t="shared" si="1"/>
        <v>Coupe</v>
      </c>
    </row>
    <row r="60" spans="1:9">
      <c r="A60" s="2">
        <v>59</v>
      </c>
      <c r="B60" s="2" t="s">
        <v>49</v>
      </c>
      <c r="C60" s="2" t="s">
        <v>16</v>
      </c>
      <c r="D60" s="2">
        <v>44</v>
      </c>
      <c r="E60" s="3">
        <v>63119</v>
      </c>
      <c r="F60" s="2" t="s">
        <v>13</v>
      </c>
      <c r="G60" s="2" t="s">
        <v>29</v>
      </c>
      <c r="H60" t="str">
        <f t="shared" si="0"/>
        <v>Chevrolet</v>
      </c>
      <c r="I60" t="str">
        <f t="shared" si="1"/>
        <v>Sedan</v>
      </c>
    </row>
    <row r="61" spans="1:9">
      <c r="A61" s="2">
        <v>60</v>
      </c>
      <c r="B61" s="2" t="s">
        <v>27</v>
      </c>
      <c r="C61" s="2" t="s">
        <v>22</v>
      </c>
      <c r="D61" s="2">
        <v>9</v>
      </c>
      <c r="E61" s="3">
        <v>46509</v>
      </c>
      <c r="F61" s="2" t="s">
        <v>20</v>
      </c>
      <c r="G61" s="2" t="s">
        <v>23</v>
      </c>
      <c r="H61" t="str">
        <f t="shared" si="0"/>
        <v>Ford</v>
      </c>
      <c r="I61" t="str">
        <f t="shared" si="1"/>
        <v>Hatchback</v>
      </c>
    </row>
    <row r="62" spans="1:9">
      <c r="A62" s="2">
        <v>61</v>
      </c>
      <c r="B62" s="2" t="s">
        <v>66</v>
      </c>
      <c r="C62" s="2" t="s">
        <v>8</v>
      </c>
      <c r="D62" s="2">
        <v>21</v>
      </c>
      <c r="E62" s="3">
        <v>37152</v>
      </c>
      <c r="F62" s="2" t="s">
        <v>20</v>
      </c>
      <c r="G62" s="2" t="s">
        <v>26</v>
      </c>
      <c r="H62" t="str">
        <f t="shared" si="0"/>
        <v>Tesla</v>
      </c>
      <c r="I62" t="str">
        <f t="shared" si="1"/>
        <v>SUV</v>
      </c>
    </row>
    <row r="63" spans="1:9">
      <c r="A63" s="2">
        <v>62</v>
      </c>
      <c r="B63" s="2" t="s">
        <v>51</v>
      </c>
      <c r="C63" s="2" t="s">
        <v>22</v>
      </c>
      <c r="D63" s="2">
        <v>8</v>
      </c>
      <c r="E63" s="3">
        <v>93097</v>
      </c>
      <c r="F63" s="2" t="s">
        <v>28</v>
      </c>
      <c r="G63" s="2" t="s">
        <v>18</v>
      </c>
      <c r="H63" t="str">
        <f t="shared" si="0"/>
        <v>Ford</v>
      </c>
      <c r="I63" t="str">
        <f t="shared" si="1"/>
        <v>Coupe</v>
      </c>
    </row>
    <row r="64" spans="1:9">
      <c r="A64" s="2">
        <v>63</v>
      </c>
      <c r="B64" s="2" t="s">
        <v>47</v>
      </c>
      <c r="C64" s="2" t="s">
        <v>22</v>
      </c>
      <c r="D64" s="2">
        <v>16</v>
      </c>
      <c r="E64" s="3">
        <v>55208</v>
      </c>
      <c r="F64" s="2" t="s">
        <v>32</v>
      </c>
      <c r="G64" s="2" t="s">
        <v>18</v>
      </c>
      <c r="H64" t="str">
        <f t="shared" si="0"/>
        <v>Audi</v>
      </c>
      <c r="I64" t="str">
        <f t="shared" si="1"/>
        <v>Minivan</v>
      </c>
    </row>
    <row r="65" spans="1:9">
      <c r="A65" s="2">
        <v>64</v>
      </c>
      <c r="B65" s="2" t="s">
        <v>55</v>
      </c>
      <c r="C65" s="2" t="s">
        <v>12</v>
      </c>
      <c r="D65" s="2">
        <v>20</v>
      </c>
      <c r="E65" s="3">
        <v>70627</v>
      </c>
      <c r="F65" s="2" t="s">
        <v>17</v>
      </c>
      <c r="G65" s="2" t="s">
        <v>14</v>
      </c>
      <c r="H65" t="str">
        <f t="shared" si="0"/>
        <v>Chevrolet</v>
      </c>
      <c r="I65" t="str">
        <f t="shared" si="1"/>
        <v>Hatchback</v>
      </c>
    </row>
    <row r="66" spans="1:9">
      <c r="A66" s="2">
        <v>65</v>
      </c>
      <c r="B66" s="2" t="s">
        <v>43</v>
      </c>
      <c r="C66" s="2" t="s">
        <v>12</v>
      </c>
      <c r="D66" s="2">
        <v>8</v>
      </c>
      <c r="E66" s="3">
        <v>64098</v>
      </c>
      <c r="F66" s="2" t="s">
        <v>20</v>
      </c>
      <c r="G66" s="2" t="s">
        <v>29</v>
      </c>
      <c r="H66" t="str">
        <f t="shared" si="0"/>
        <v>Hyundai</v>
      </c>
      <c r="I66" t="str">
        <f t="shared" si="1"/>
        <v>SUV</v>
      </c>
    </row>
    <row r="67" spans="1:9">
      <c r="A67" s="2">
        <v>66</v>
      </c>
      <c r="B67" s="2" t="s">
        <v>67</v>
      </c>
      <c r="C67" s="2" t="s">
        <v>22</v>
      </c>
      <c r="D67" s="2">
        <v>12</v>
      </c>
      <c r="E67" s="3">
        <v>58827</v>
      </c>
      <c r="F67" s="2" t="s">
        <v>38</v>
      </c>
      <c r="G67" s="2" t="s">
        <v>18</v>
      </c>
      <c r="H67" t="str">
        <f t="shared" ref="H67:H130" si="2">LEFT(B67,FIND(",",B67)-1)</f>
        <v>BMW</v>
      </c>
      <c r="I67" t="str">
        <f t="shared" ref="I67:I130" si="3">TRIM(MID(B67,FIND(",",B67)+1,LEN(B67)))</f>
        <v>Sedan</v>
      </c>
    </row>
    <row r="68" spans="1:9">
      <c r="A68" s="2">
        <v>67</v>
      </c>
      <c r="B68" s="2" t="s">
        <v>68</v>
      </c>
      <c r="C68" s="2" t="s">
        <v>12</v>
      </c>
      <c r="D68" s="2">
        <v>24</v>
      </c>
      <c r="E68" s="3">
        <v>65852</v>
      </c>
      <c r="F68" s="2" t="s">
        <v>13</v>
      </c>
      <c r="G68" s="2" t="s">
        <v>14</v>
      </c>
      <c r="H68" t="str">
        <f t="shared" si="2"/>
        <v>Honda</v>
      </c>
      <c r="I68" t="str">
        <f t="shared" si="3"/>
        <v>Coupe</v>
      </c>
    </row>
    <row r="69" spans="1:9">
      <c r="A69" s="2">
        <v>68</v>
      </c>
      <c r="B69" s="2" t="s">
        <v>53</v>
      </c>
      <c r="C69" s="2" t="s">
        <v>8</v>
      </c>
      <c r="D69" s="2">
        <v>45</v>
      </c>
      <c r="E69" s="3">
        <v>61904</v>
      </c>
      <c r="F69" s="2" t="s">
        <v>13</v>
      </c>
      <c r="G69" s="2" t="s">
        <v>18</v>
      </c>
      <c r="H69" t="str">
        <f t="shared" si="2"/>
        <v>BMW</v>
      </c>
      <c r="I69" t="str">
        <f t="shared" si="3"/>
        <v>Minivan</v>
      </c>
    </row>
    <row r="70" spans="1:9">
      <c r="A70" s="2">
        <v>69</v>
      </c>
      <c r="B70" s="2" t="s">
        <v>69</v>
      </c>
      <c r="C70" s="2" t="s">
        <v>8</v>
      </c>
      <c r="D70" s="2">
        <v>10</v>
      </c>
      <c r="E70" s="3">
        <v>96255</v>
      </c>
      <c r="F70" s="2" t="s">
        <v>28</v>
      </c>
      <c r="G70" s="2" t="s">
        <v>10</v>
      </c>
      <c r="H70" t="str">
        <f t="shared" si="2"/>
        <v>BMW</v>
      </c>
      <c r="I70" t="str">
        <f t="shared" si="3"/>
        <v>Truck</v>
      </c>
    </row>
    <row r="71" spans="1:9">
      <c r="A71" s="2">
        <v>70</v>
      </c>
      <c r="B71" s="2" t="s">
        <v>37</v>
      </c>
      <c r="C71" s="2" t="s">
        <v>22</v>
      </c>
      <c r="D71" s="2">
        <v>33</v>
      </c>
      <c r="E71" s="3">
        <v>82405</v>
      </c>
      <c r="F71" s="2" t="s">
        <v>38</v>
      </c>
      <c r="G71" s="2" t="s">
        <v>26</v>
      </c>
      <c r="H71" t="str">
        <f t="shared" si="2"/>
        <v>Tesla</v>
      </c>
      <c r="I71" t="str">
        <f t="shared" si="3"/>
        <v>Truck</v>
      </c>
    </row>
    <row r="72" spans="1:9">
      <c r="A72" s="2">
        <v>71</v>
      </c>
      <c r="B72" s="2" t="s">
        <v>70</v>
      </c>
      <c r="C72" s="2" t="s">
        <v>8</v>
      </c>
      <c r="D72" s="2">
        <v>25</v>
      </c>
      <c r="E72" s="3">
        <v>51773</v>
      </c>
      <c r="F72" s="2" t="s">
        <v>25</v>
      </c>
      <c r="G72" s="2" t="s">
        <v>23</v>
      </c>
      <c r="H72" t="str">
        <f t="shared" si="2"/>
        <v>Chevrolet</v>
      </c>
      <c r="I72" t="str">
        <f t="shared" si="3"/>
        <v>Convertible</v>
      </c>
    </row>
    <row r="73" spans="1:9">
      <c r="A73" s="2">
        <v>72</v>
      </c>
      <c r="B73" s="2" t="s">
        <v>27</v>
      </c>
      <c r="C73" s="2" t="s">
        <v>22</v>
      </c>
      <c r="D73" s="2">
        <v>27</v>
      </c>
      <c r="E73" s="3">
        <v>60691</v>
      </c>
      <c r="F73" s="2" t="s">
        <v>9</v>
      </c>
      <c r="G73" s="2" t="s">
        <v>29</v>
      </c>
      <c r="H73" t="str">
        <f t="shared" si="2"/>
        <v>Ford</v>
      </c>
      <c r="I73" t="str">
        <f t="shared" si="3"/>
        <v>Hatchback</v>
      </c>
    </row>
    <row r="74" spans="1:9">
      <c r="A74" s="2">
        <v>73</v>
      </c>
      <c r="B74" s="2" t="s">
        <v>71</v>
      </c>
      <c r="C74" s="2" t="s">
        <v>8</v>
      </c>
      <c r="D74" s="2">
        <v>39</v>
      </c>
      <c r="E74" s="3">
        <v>32869</v>
      </c>
      <c r="F74" s="2" t="s">
        <v>9</v>
      </c>
      <c r="G74" s="2" t="s">
        <v>23</v>
      </c>
      <c r="H74" t="str">
        <f t="shared" si="2"/>
        <v>Volkswagen</v>
      </c>
      <c r="I74" t="str">
        <f t="shared" si="3"/>
        <v>Coupe</v>
      </c>
    </row>
    <row r="75" spans="1:9">
      <c r="A75" s="2">
        <v>74</v>
      </c>
      <c r="B75" s="2" t="s">
        <v>72</v>
      </c>
      <c r="C75" s="2" t="s">
        <v>16</v>
      </c>
      <c r="D75" s="2">
        <v>9</v>
      </c>
      <c r="E75" s="3">
        <v>28555</v>
      </c>
      <c r="F75" s="2" t="s">
        <v>38</v>
      </c>
      <c r="G75" s="2" t="s">
        <v>23</v>
      </c>
      <c r="H75" t="str">
        <f t="shared" si="2"/>
        <v>Honda</v>
      </c>
      <c r="I75" t="str">
        <f t="shared" si="3"/>
        <v>Hatchback</v>
      </c>
    </row>
    <row r="76" spans="1:9">
      <c r="A76" s="2">
        <v>75</v>
      </c>
      <c r="B76" s="2" t="s">
        <v>57</v>
      </c>
      <c r="C76" s="2" t="s">
        <v>22</v>
      </c>
      <c r="D76" s="2">
        <v>37</v>
      </c>
      <c r="E76" s="3">
        <v>39519</v>
      </c>
      <c r="F76" s="2" t="s">
        <v>32</v>
      </c>
      <c r="G76" s="2" t="s">
        <v>10</v>
      </c>
      <c r="H76" t="str">
        <f t="shared" si="2"/>
        <v>Nissan</v>
      </c>
      <c r="I76" t="str">
        <f t="shared" si="3"/>
        <v>Sedan</v>
      </c>
    </row>
    <row r="77" spans="1:9">
      <c r="A77" s="2">
        <v>76</v>
      </c>
      <c r="B77" s="2" t="s">
        <v>19</v>
      </c>
      <c r="C77" s="2" t="s">
        <v>8</v>
      </c>
      <c r="D77" s="2">
        <v>25</v>
      </c>
      <c r="E77" s="3">
        <v>84785</v>
      </c>
      <c r="F77" s="2" t="s">
        <v>28</v>
      </c>
      <c r="G77" s="2" t="s">
        <v>29</v>
      </c>
      <c r="H77" t="str">
        <f t="shared" si="2"/>
        <v>Tesla</v>
      </c>
      <c r="I77" t="str">
        <f t="shared" si="3"/>
        <v>Minivan</v>
      </c>
    </row>
    <row r="78" spans="1:9">
      <c r="A78" s="2">
        <v>77</v>
      </c>
      <c r="B78" s="2" t="s">
        <v>50</v>
      </c>
      <c r="C78" s="2" t="s">
        <v>16</v>
      </c>
      <c r="D78" s="2">
        <v>28</v>
      </c>
      <c r="E78" s="3">
        <v>31027</v>
      </c>
      <c r="F78" s="2" t="s">
        <v>32</v>
      </c>
      <c r="G78" s="2" t="s">
        <v>23</v>
      </c>
      <c r="H78" t="str">
        <f t="shared" si="2"/>
        <v>Honda</v>
      </c>
      <c r="I78" t="str">
        <f t="shared" si="3"/>
        <v>Truck</v>
      </c>
    </row>
    <row r="79" spans="1:9">
      <c r="A79" s="2">
        <v>78</v>
      </c>
      <c r="B79" s="2" t="s">
        <v>73</v>
      </c>
      <c r="C79" s="2" t="s">
        <v>22</v>
      </c>
      <c r="D79" s="2">
        <v>12</v>
      </c>
      <c r="E79" s="3">
        <v>79362</v>
      </c>
      <c r="F79" s="2" t="s">
        <v>38</v>
      </c>
      <c r="G79" s="2" t="s">
        <v>14</v>
      </c>
      <c r="H79" t="str">
        <f t="shared" si="2"/>
        <v>Hyundai</v>
      </c>
      <c r="I79" t="str">
        <f t="shared" si="3"/>
        <v>Minivan</v>
      </c>
    </row>
    <row r="80" spans="1:9">
      <c r="A80" s="2">
        <v>79</v>
      </c>
      <c r="B80" s="2" t="s">
        <v>74</v>
      </c>
      <c r="C80" s="2" t="s">
        <v>8</v>
      </c>
      <c r="D80" s="2">
        <v>32</v>
      </c>
      <c r="E80" s="3">
        <v>49083</v>
      </c>
      <c r="F80" s="2" t="s">
        <v>32</v>
      </c>
      <c r="G80" s="2" t="s">
        <v>18</v>
      </c>
      <c r="H80" t="str">
        <f t="shared" si="2"/>
        <v>Audi</v>
      </c>
      <c r="I80" t="str">
        <f t="shared" si="3"/>
        <v>Hatchback</v>
      </c>
    </row>
    <row r="81" spans="1:9">
      <c r="A81" s="2">
        <v>80</v>
      </c>
      <c r="B81" s="2" t="s">
        <v>62</v>
      </c>
      <c r="C81" s="2" t="s">
        <v>8</v>
      </c>
      <c r="D81" s="2">
        <v>41</v>
      </c>
      <c r="E81" s="3">
        <v>66335</v>
      </c>
      <c r="F81" s="2" t="s">
        <v>25</v>
      </c>
      <c r="G81" s="2" t="s">
        <v>26</v>
      </c>
      <c r="H81" t="str">
        <f t="shared" si="2"/>
        <v>Chevrolet</v>
      </c>
      <c r="I81" t="str">
        <f t="shared" si="3"/>
        <v>Minivan</v>
      </c>
    </row>
    <row r="82" spans="1:9">
      <c r="A82" s="2">
        <v>81</v>
      </c>
      <c r="B82" s="2" t="s">
        <v>75</v>
      </c>
      <c r="C82" s="2" t="s">
        <v>16</v>
      </c>
      <c r="D82" s="2">
        <v>35</v>
      </c>
      <c r="E82" s="3">
        <v>93382</v>
      </c>
      <c r="F82" s="2" t="s">
        <v>38</v>
      </c>
      <c r="G82" s="2" t="s">
        <v>18</v>
      </c>
      <c r="H82" t="str">
        <f t="shared" si="2"/>
        <v>Nissan</v>
      </c>
      <c r="I82" t="str">
        <f t="shared" si="3"/>
        <v>Convertible</v>
      </c>
    </row>
    <row r="83" spans="1:9">
      <c r="A83" s="2">
        <v>82</v>
      </c>
      <c r="B83" s="2" t="s">
        <v>64</v>
      </c>
      <c r="C83" s="2" t="s">
        <v>12</v>
      </c>
      <c r="D83" s="2">
        <v>45</v>
      </c>
      <c r="E83" s="3">
        <v>52078</v>
      </c>
      <c r="F83" s="2" t="s">
        <v>17</v>
      </c>
      <c r="G83" s="2" t="s">
        <v>26</v>
      </c>
      <c r="H83" t="str">
        <f t="shared" si="2"/>
        <v>Tesla</v>
      </c>
      <c r="I83" t="str">
        <f t="shared" si="3"/>
        <v>Coupe</v>
      </c>
    </row>
    <row r="84" spans="1:9">
      <c r="A84" s="2">
        <v>83</v>
      </c>
      <c r="B84" s="2" t="s">
        <v>69</v>
      </c>
      <c r="C84" s="2" t="s">
        <v>12</v>
      </c>
      <c r="D84" s="2">
        <v>42</v>
      </c>
      <c r="E84" s="3">
        <v>65316</v>
      </c>
      <c r="F84" s="2" t="s">
        <v>32</v>
      </c>
      <c r="G84" s="2" t="s">
        <v>14</v>
      </c>
      <c r="H84" t="str">
        <f t="shared" si="2"/>
        <v>BMW</v>
      </c>
      <c r="I84" t="str">
        <f t="shared" si="3"/>
        <v>Truck</v>
      </c>
    </row>
    <row r="85" spans="1:9">
      <c r="A85" s="2">
        <v>84</v>
      </c>
      <c r="B85" s="2" t="s">
        <v>11</v>
      </c>
      <c r="C85" s="2" t="s">
        <v>16</v>
      </c>
      <c r="D85" s="2">
        <v>12</v>
      </c>
      <c r="E85" s="3">
        <v>45607</v>
      </c>
      <c r="F85" s="2" t="s">
        <v>38</v>
      </c>
      <c r="G85" s="2" t="s">
        <v>18</v>
      </c>
      <c r="H85" t="str">
        <f t="shared" si="2"/>
        <v>Toyota</v>
      </c>
      <c r="I85" t="str">
        <f t="shared" si="3"/>
        <v>Hatchback</v>
      </c>
    </row>
    <row r="86" spans="1:9">
      <c r="A86" s="2">
        <v>85</v>
      </c>
      <c r="B86" s="2" t="s">
        <v>42</v>
      </c>
      <c r="C86" s="2" t="s">
        <v>16</v>
      </c>
      <c r="D86" s="2">
        <v>36</v>
      </c>
      <c r="E86" s="3">
        <v>35768</v>
      </c>
      <c r="F86" s="2" t="s">
        <v>25</v>
      </c>
      <c r="G86" s="2" t="s">
        <v>10</v>
      </c>
      <c r="H86" t="str">
        <f t="shared" si="2"/>
        <v>Tesla</v>
      </c>
      <c r="I86" t="str">
        <f t="shared" si="3"/>
        <v>Hatchback</v>
      </c>
    </row>
    <row r="87" spans="1:9">
      <c r="A87" s="2">
        <v>86</v>
      </c>
      <c r="B87" s="2" t="s">
        <v>76</v>
      </c>
      <c r="C87" s="2" t="s">
        <v>22</v>
      </c>
      <c r="D87" s="2">
        <v>11</v>
      </c>
      <c r="E87" s="3">
        <v>42146</v>
      </c>
      <c r="F87" s="2" t="s">
        <v>20</v>
      </c>
      <c r="G87" s="2" t="s">
        <v>14</v>
      </c>
      <c r="H87" t="str">
        <f t="shared" si="2"/>
        <v>Toyota</v>
      </c>
      <c r="I87" t="str">
        <f t="shared" si="3"/>
        <v>Minivan</v>
      </c>
    </row>
    <row r="88" spans="1:9">
      <c r="A88" s="2">
        <v>87</v>
      </c>
      <c r="B88" s="2" t="s">
        <v>48</v>
      </c>
      <c r="C88" s="2" t="s">
        <v>12</v>
      </c>
      <c r="D88" s="2">
        <v>32</v>
      </c>
      <c r="E88" s="3">
        <v>37839</v>
      </c>
      <c r="F88" s="2" t="s">
        <v>28</v>
      </c>
      <c r="G88" s="2" t="s">
        <v>10</v>
      </c>
      <c r="H88" t="str">
        <f t="shared" si="2"/>
        <v>BMW</v>
      </c>
      <c r="I88" t="str">
        <f t="shared" si="3"/>
        <v>Coupe</v>
      </c>
    </row>
    <row r="89" spans="1:9">
      <c r="A89" s="2">
        <v>88</v>
      </c>
      <c r="B89" s="2" t="s">
        <v>47</v>
      </c>
      <c r="C89" s="2" t="s">
        <v>22</v>
      </c>
      <c r="D89" s="2">
        <v>19</v>
      </c>
      <c r="E89" s="3">
        <v>51734</v>
      </c>
      <c r="F89" s="2" t="s">
        <v>13</v>
      </c>
      <c r="G89" s="2" t="s">
        <v>29</v>
      </c>
      <c r="H89" t="str">
        <f t="shared" si="2"/>
        <v>Audi</v>
      </c>
      <c r="I89" t="str">
        <f t="shared" si="3"/>
        <v>Minivan</v>
      </c>
    </row>
    <row r="90" spans="1:9">
      <c r="A90" s="2">
        <v>89</v>
      </c>
      <c r="B90" s="2" t="s">
        <v>70</v>
      </c>
      <c r="C90" s="2" t="s">
        <v>8</v>
      </c>
      <c r="D90" s="2">
        <v>9</v>
      </c>
      <c r="E90" s="3">
        <v>67678</v>
      </c>
      <c r="F90" s="2" t="s">
        <v>17</v>
      </c>
      <c r="G90" s="2" t="s">
        <v>18</v>
      </c>
      <c r="H90" t="str">
        <f t="shared" si="2"/>
        <v>Chevrolet</v>
      </c>
      <c r="I90" t="str">
        <f t="shared" si="3"/>
        <v>Convertible</v>
      </c>
    </row>
    <row r="91" spans="1:9">
      <c r="A91" s="2">
        <v>90</v>
      </c>
      <c r="B91" s="2" t="s">
        <v>65</v>
      </c>
      <c r="C91" s="2" t="s">
        <v>16</v>
      </c>
      <c r="D91" s="2">
        <v>12</v>
      </c>
      <c r="E91" s="3">
        <v>59718</v>
      </c>
      <c r="F91" s="2" t="s">
        <v>13</v>
      </c>
      <c r="G91" s="2" t="s">
        <v>10</v>
      </c>
      <c r="H91" t="str">
        <f t="shared" si="2"/>
        <v>Ford</v>
      </c>
      <c r="I91" t="str">
        <f t="shared" si="3"/>
        <v>Sedan</v>
      </c>
    </row>
    <row r="92" spans="1:9">
      <c r="A92" s="2">
        <v>91</v>
      </c>
      <c r="B92" s="2" t="s">
        <v>21</v>
      </c>
      <c r="C92" s="2" t="s">
        <v>22</v>
      </c>
      <c r="D92" s="2">
        <v>21</v>
      </c>
      <c r="E92" s="3">
        <v>62827</v>
      </c>
      <c r="F92" s="2" t="s">
        <v>13</v>
      </c>
      <c r="G92" s="2" t="s">
        <v>18</v>
      </c>
      <c r="H92" t="str">
        <f t="shared" si="2"/>
        <v>Tesla</v>
      </c>
      <c r="I92" t="str">
        <f t="shared" si="3"/>
        <v>Convertible</v>
      </c>
    </row>
    <row r="93" spans="1:9">
      <c r="A93" s="2">
        <v>92</v>
      </c>
      <c r="B93" s="2" t="s">
        <v>63</v>
      </c>
      <c r="C93" s="2" t="s">
        <v>16</v>
      </c>
      <c r="D93" s="2">
        <v>29</v>
      </c>
      <c r="E93" s="3">
        <v>36230</v>
      </c>
      <c r="F93" s="2" t="s">
        <v>32</v>
      </c>
      <c r="G93" s="2" t="s">
        <v>29</v>
      </c>
      <c r="H93" t="str">
        <f t="shared" si="2"/>
        <v>Volkswagen</v>
      </c>
      <c r="I93" t="str">
        <f t="shared" si="3"/>
        <v>Sedan</v>
      </c>
    </row>
    <row r="94" spans="1:9">
      <c r="A94" s="2">
        <v>93</v>
      </c>
      <c r="B94" s="2" t="s">
        <v>77</v>
      </c>
      <c r="C94" s="2" t="s">
        <v>22</v>
      </c>
      <c r="D94" s="2">
        <v>40</v>
      </c>
      <c r="E94" s="3">
        <v>56668</v>
      </c>
      <c r="F94" s="2" t="s">
        <v>38</v>
      </c>
      <c r="G94" s="2" t="s">
        <v>23</v>
      </c>
      <c r="H94" t="str">
        <f t="shared" si="2"/>
        <v>BMW</v>
      </c>
      <c r="I94" t="str">
        <f t="shared" si="3"/>
        <v>SUV</v>
      </c>
    </row>
    <row r="95" spans="1:9">
      <c r="A95" s="2">
        <v>94</v>
      </c>
      <c r="B95" s="2" t="s">
        <v>42</v>
      </c>
      <c r="C95" s="2" t="s">
        <v>8</v>
      </c>
      <c r="D95" s="2">
        <v>4</v>
      </c>
      <c r="E95" s="3">
        <v>25173</v>
      </c>
      <c r="F95" s="2" t="s">
        <v>20</v>
      </c>
      <c r="G95" s="2" t="s">
        <v>18</v>
      </c>
      <c r="H95" t="str">
        <f t="shared" si="2"/>
        <v>Tesla</v>
      </c>
      <c r="I95" t="str">
        <f t="shared" si="3"/>
        <v>Hatchback</v>
      </c>
    </row>
    <row r="96" spans="1:9">
      <c r="A96" s="2">
        <v>95</v>
      </c>
      <c r="B96" s="2" t="s">
        <v>78</v>
      </c>
      <c r="C96" s="2" t="s">
        <v>8</v>
      </c>
      <c r="D96" s="2">
        <v>23</v>
      </c>
      <c r="E96" s="3">
        <v>28990</v>
      </c>
      <c r="F96" s="2" t="s">
        <v>20</v>
      </c>
      <c r="G96" s="2" t="s">
        <v>29</v>
      </c>
      <c r="H96" t="str">
        <f t="shared" si="2"/>
        <v>Hyundai</v>
      </c>
      <c r="I96" t="str">
        <f t="shared" si="3"/>
        <v>Hatchback</v>
      </c>
    </row>
    <row r="97" spans="1:9">
      <c r="A97" s="2">
        <v>96</v>
      </c>
      <c r="B97" s="2" t="s">
        <v>79</v>
      </c>
      <c r="C97" s="2" t="s">
        <v>12</v>
      </c>
      <c r="D97" s="2">
        <v>1</v>
      </c>
      <c r="E97" s="3">
        <v>26440</v>
      </c>
      <c r="F97" s="2" t="s">
        <v>28</v>
      </c>
      <c r="G97" s="2" t="s">
        <v>14</v>
      </c>
      <c r="H97" t="str">
        <f t="shared" si="2"/>
        <v>Audi</v>
      </c>
      <c r="I97" t="str">
        <f t="shared" si="3"/>
        <v>Truck</v>
      </c>
    </row>
    <row r="98" spans="1:9">
      <c r="A98" s="2">
        <v>97</v>
      </c>
      <c r="B98" s="2" t="s">
        <v>43</v>
      </c>
      <c r="C98" s="2" t="s">
        <v>12</v>
      </c>
      <c r="D98" s="2">
        <v>32</v>
      </c>
      <c r="E98" s="3">
        <v>76505</v>
      </c>
      <c r="F98" s="2" t="s">
        <v>17</v>
      </c>
      <c r="G98" s="2" t="s">
        <v>18</v>
      </c>
      <c r="H98" t="str">
        <f t="shared" si="2"/>
        <v>Hyundai</v>
      </c>
      <c r="I98" t="str">
        <f t="shared" si="3"/>
        <v>SUV</v>
      </c>
    </row>
    <row r="99" spans="1:9">
      <c r="A99" s="2">
        <v>98</v>
      </c>
      <c r="B99" s="2" t="s">
        <v>72</v>
      </c>
      <c r="C99" s="2" t="s">
        <v>8</v>
      </c>
      <c r="D99" s="2">
        <v>9</v>
      </c>
      <c r="E99" s="3">
        <v>86067</v>
      </c>
      <c r="F99" s="2" t="s">
        <v>17</v>
      </c>
      <c r="G99" s="2" t="s">
        <v>14</v>
      </c>
      <c r="H99" t="str">
        <f t="shared" si="2"/>
        <v>Honda</v>
      </c>
      <c r="I99" t="str">
        <f t="shared" si="3"/>
        <v>Hatchback</v>
      </c>
    </row>
    <row r="100" spans="1:9">
      <c r="A100" s="2">
        <v>99</v>
      </c>
      <c r="B100" s="2" t="s">
        <v>49</v>
      </c>
      <c r="C100" s="2" t="s">
        <v>22</v>
      </c>
      <c r="D100" s="2">
        <v>13</v>
      </c>
      <c r="E100" s="3">
        <v>40674</v>
      </c>
      <c r="F100" s="2" t="s">
        <v>28</v>
      </c>
      <c r="G100" s="2" t="s">
        <v>29</v>
      </c>
      <c r="H100" t="str">
        <f t="shared" si="2"/>
        <v>Chevrolet</v>
      </c>
      <c r="I100" t="str">
        <f t="shared" si="3"/>
        <v>Sedan</v>
      </c>
    </row>
    <row r="101" spans="1:9">
      <c r="A101" s="2">
        <v>100</v>
      </c>
      <c r="B101" s="2" t="s">
        <v>68</v>
      </c>
      <c r="C101" s="2" t="s">
        <v>16</v>
      </c>
      <c r="D101" s="2">
        <v>25</v>
      </c>
      <c r="E101" s="3">
        <v>82750</v>
      </c>
      <c r="F101" s="2" t="s">
        <v>32</v>
      </c>
      <c r="G101" s="2" t="s">
        <v>14</v>
      </c>
      <c r="H101" t="str">
        <f t="shared" si="2"/>
        <v>Honda</v>
      </c>
      <c r="I101" t="str">
        <f t="shared" si="3"/>
        <v>Coupe</v>
      </c>
    </row>
    <row r="102" spans="1:9">
      <c r="A102" s="2">
        <v>101</v>
      </c>
      <c r="B102" s="2" t="s">
        <v>80</v>
      </c>
      <c r="C102" s="2" t="s">
        <v>8</v>
      </c>
      <c r="D102" s="2">
        <v>36</v>
      </c>
      <c r="E102" s="3">
        <v>62409</v>
      </c>
      <c r="F102" s="2" t="s">
        <v>32</v>
      </c>
      <c r="G102" s="2" t="s">
        <v>10</v>
      </c>
      <c r="H102" t="str">
        <f t="shared" si="2"/>
        <v>Tesla</v>
      </c>
      <c r="I102" t="str">
        <f t="shared" si="3"/>
        <v>Sedan</v>
      </c>
    </row>
    <row r="103" spans="1:9">
      <c r="A103" s="2">
        <v>102</v>
      </c>
      <c r="B103" s="2" t="s">
        <v>39</v>
      </c>
      <c r="C103" s="2" t="s">
        <v>8</v>
      </c>
      <c r="D103" s="2">
        <v>33</v>
      </c>
      <c r="E103" s="3">
        <v>61410</v>
      </c>
      <c r="F103" s="2" t="s">
        <v>9</v>
      </c>
      <c r="G103" s="2" t="s">
        <v>23</v>
      </c>
      <c r="H103" t="str">
        <f t="shared" si="2"/>
        <v>Nissan</v>
      </c>
      <c r="I103" t="str">
        <f t="shared" si="3"/>
        <v>Minivan</v>
      </c>
    </row>
    <row r="104" spans="1:9">
      <c r="A104" s="2">
        <v>103</v>
      </c>
      <c r="B104" s="2" t="s">
        <v>81</v>
      </c>
      <c r="C104" s="2" t="s">
        <v>22</v>
      </c>
      <c r="D104" s="2">
        <v>42</v>
      </c>
      <c r="E104" s="3">
        <v>64707</v>
      </c>
      <c r="F104" s="2" t="s">
        <v>13</v>
      </c>
      <c r="G104" s="2" t="s">
        <v>14</v>
      </c>
      <c r="H104" t="str">
        <f t="shared" si="2"/>
        <v>Nissan</v>
      </c>
      <c r="I104" t="str">
        <f t="shared" si="3"/>
        <v>Hatchback</v>
      </c>
    </row>
    <row r="105" spans="1:9">
      <c r="A105" s="2">
        <v>104</v>
      </c>
      <c r="B105" s="2" t="s">
        <v>55</v>
      </c>
      <c r="C105" s="2" t="s">
        <v>8</v>
      </c>
      <c r="D105" s="2">
        <v>32</v>
      </c>
      <c r="E105" s="3">
        <v>80119</v>
      </c>
      <c r="F105" s="2" t="s">
        <v>38</v>
      </c>
      <c r="G105" s="2" t="s">
        <v>10</v>
      </c>
      <c r="H105" t="str">
        <f t="shared" si="2"/>
        <v>Chevrolet</v>
      </c>
      <c r="I105" t="str">
        <f t="shared" si="3"/>
        <v>Hatchback</v>
      </c>
    </row>
    <row r="106" spans="1:9">
      <c r="A106" s="2">
        <v>105</v>
      </c>
      <c r="B106" s="2" t="s">
        <v>54</v>
      </c>
      <c r="C106" s="2" t="s">
        <v>8</v>
      </c>
      <c r="D106" s="2">
        <v>27</v>
      </c>
      <c r="E106" s="3">
        <v>58807</v>
      </c>
      <c r="F106" s="2" t="s">
        <v>28</v>
      </c>
      <c r="G106" s="2" t="s">
        <v>23</v>
      </c>
      <c r="H106" t="str">
        <f t="shared" si="2"/>
        <v>Volkswagen</v>
      </c>
      <c r="I106" t="str">
        <f t="shared" si="3"/>
        <v>Minivan</v>
      </c>
    </row>
    <row r="107" spans="1:9">
      <c r="A107" s="2">
        <v>106</v>
      </c>
      <c r="B107" s="2" t="s">
        <v>82</v>
      </c>
      <c r="C107" s="2" t="s">
        <v>22</v>
      </c>
      <c r="D107" s="2">
        <v>44</v>
      </c>
      <c r="E107" s="3">
        <v>58282</v>
      </c>
      <c r="F107" s="2" t="s">
        <v>25</v>
      </c>
      <c r="G107" s="2" t="s">
        <v>29</v>
      </c>
      <c r="H107" t="str">
        <f t="shared" si="2"/>
        <v>Audi</v>
      </c>
      <c r="I107" t="str">
        <f t="shared" si="3"/>
        <v>Sedan</v>
      </c>
    </row>
    <row r="108" spans="1:9">
      <c r="A108" s="2">
        <v>107</v>
      </c>
      <c r="B108" s="2" t="s">
        <v>71</v>
      </c>
      <c r="C108" s="2" t="s">
        <v>8</v>
      </c>
      <c r="D108" s="2">
        <v>32</v>
      </c>
      <c r="E108" s="3">
        <v>87144</v>
      </c>
      <c r="F108" s="2" t="s">
        <v>13</v>
      </c>
      <c r="G108" s="2" t="s">
        <v>29</v>
      </c>
      <c r="H108" t="str">
        <f t="shared" si="2"/>
        <v>Volkswagen</v>
      </c>
      <c r="I108" t="str">
        <f t="shared" si="3"/>
        <v>Coupe</v>
      </c>
    </row>
    <row r="109" spans="1:9">
      <c r="A109" s="2">
        <v>108</v>
      </c>
      <c r="B109" s="2" t="s">
        <v>41</v>
      </c>
      <c r="C109" s="2" t="s">
        <v>12</v>
      </c>
      <c r="D109" s="2">
        <v>27</v>
      </c>
      <c r="E109" s="3">
        <v>65200</v>
      </c>
      <c r="F109" s="2" t="s">
        <v>20</v>
      </c>
      <c r="G109" s="2" t="s">
        <v>18</v>
      </c>
      <c r="H109" t="str">
        <f t="shared" si="2"/>
        <v>Audi</v>
      </c>
      <c r="I109" t="str">
        <f t="shared" si="3"/>
        <v>SUV</v>
      </c>
    </row>
    <row r="110" spans="1:9">
      <c r="A110" s="2">
        <v>109</v>
      </c>
      <c r="B110" s="2" t="s">
        <v>52</v>
      </c>
      <c r="C110" s="2" t="s">
        <v>12</v>
      </c>
      <c r="D110" s="2">
        <v>46</v>
      </c>
      <c r="E110" s="3">
        <v>63043</v>
      </c>
      <c r="F110" s="2" t="s">
        <v>20</v>
      </c>
      <c r="G110" s="2" t="s">
        <v>10</v>
      </c>
      <c r="H110" t="str">
        <f t="shared" si="2"/>
        <v>BMW</v>
      </c>
      <c r="I110" t="str">
        <f t="shared" si="3"/>
        <v>Hatchback</v>
      </c>
    </row>
    <row r="111" spans="1:9">
      <c r="A111" s="2">
        <v>110</v>
      </c>
      <c r="B111" s="2" t="s">
        <v>37</v>
      </c>
      <c r="C111" s="2" t="s">
        <v>12</v>
      </c>
      <c r="D111" s="2">
        <v>29</v>
      </c>
      <c r="E111" s="3">
        <v>50521</v>
      </c>
      <c r="F111" s="2" t="s">
        <v>28</v>
      </c>
      <c r="G111" s="2" t="s">
        <v>26</v>
      </c>
      <c r="H111" t="str">
        <f t="shared" si="2"/>
        <v>Tesla</v>
      </c>
      <c r="I111" t="str">
        <f t="shared" si="3"/>
        <v>Truck</v>
      </c>
    </row>
    <row r="112" spans="1:9">
      <c r="A112" s="2">
        <v>111</v>
      </c>
      <c r="B112" s="2" t="s">
        <v>83</v>
      </c>
      <c r="C112" s="2" t="s">
        <v>12</v>
      </c>
      <c r="D112" s="2">
        <v>32</v>
      </c>
      <c r="E112" s="3">
        <v>40846</v>
      </c>
      <c r="F112" s="2" t="s">
        <v>17</v>
      </c>
      <c r="G112" s="2" t="s">
        <v>23</v>
      </c>
      <c r="H112" t="str">
        <f t="shared" si="2"/>
        <v>Honda</v>
      </c>
      <c r="I112" t="str">
        <f t="shared" si="3"/>
        <v>Sedan</v>
      </c>
    </row>
    <row r="113" spans="1:9">
      <c r="A113" s="2">
        <v>112</v>
      </c>
      <c r="B113" s="2" t="s">
        <v>57</v>
      </c>
      <c r="C113" s="2" t="s">
        <v>8</v>
      </c>
      <c r="D113" s="2">
        <v>11</v>
      </c>
      <c r="E113" s="3">
        <v>34294</v>
      </c>
      <c r="F113" s="2" t="s">
        <v>20</v>
      </c>
      <c r="G113" s="2" t="s">
        <v>18</v>
      </c>
      <c r="H113" t="str">
        <f t="shared" si="2"/>
        <v>Nissan</v>
      </c>
      <c r="I113" t="str">
        <f t="shared" si="3"/>
        <v>Sedan</v>
      </c>
    </row>
    <row r="114" spans="1:9">
      <c r="A114" s="2">
        <v>113</v>
      </c>
      <c r="B114" s="2" t="s">
        <v>84</v>
      </c>
      <c r="C114" s="2" t="s">
        <v>16</v>
      </c>
      <c r="D114" s="2">
        <v>6</v>
      </c>
      <c r="E114" s="3">
        <v>64172</v>
      </c>
      <c r="F114" s="2" t="s">
        <v>28</v>
      </c>
      <c r="G114" s="2" t="s">
        <v>18</v>
      </c>
      <c r="H114" t="str">
        <f t="shared" si="2"/>
        <v>Hyundai</v>
      </c>
      <c r="I114" t="str">
        <f t="shared" si="3"/>
        <v>Truck</v>
      </c>
    </row>
    <row r="115" spans="1:9">
      <c r="A115" s="2">
        <v>114</v>
      </c>
      <c r="B115" s="2" t="s">
        <v>31</v>
      </c>
      <c r="C115" s="2" t="s">
        <v>12</v>
      </c>
      <c r="D115" s="2">
        <v>37</v>
      </c>
      <c r="E115" s="3">
        <v>71689</v>
      </c>
      <c r="F115" s="2" t="s">
        <v>28</v>
      </c>
      <c r="G115" s="2" t="s">
        <v>29</v>
      </c>
      <c r="H115" t="str">
        <f t="shared" si="2"/>
        <v>Ford</v>
      </c>
      <c r="I115" t="str">
        <f t="shared" si="3"/>
        <v>Minivan</v>
      </c>
    </row>
    <row r="116" spans="1:9">
      <c r="A116" s="2">
        <v>115</v>
      </c>
      <c r="B116" s="2" t="s">
        <v>85</v>
      </c>
      <c r="C116" s="2" t="s">
        <v>12</v>
      </c>
      <c r="D116" s="2">
        <v>2</v>
      </c>
      <c r="E116" s="3">
        <v>63110</v>
      </c>
      <c r="F116" s="2" t="s">
        <v>9</v>
      </c>
      <c r="G116" s="2" t="s">
        <v>14</v>
      </c>
      <c r="H116" t="str">
        <f t="shared" si="2"/>
        <v>Toyota</v>
      </c>
      <c r="I116" t="str">
        <f t="shared" si="3"/>
        <v>Sedan</v>
      </c>
    </row>
    <row r="117" spans="1:9">
      <c r="A117" s="2">
        <v>116</v>
      </c>
      <c r="B117" s="2" t="s">
        <v>7</v>
      </c>
      <c r="C117" s="2" t="s">
        <v>8</v>
      </c>
      <c r="D117" s="2">
        <v>49</v>
      </c>
      <c r="E117" s="3">
        <v>66332</v>
      </c>
      <c r="F117" s="2" t="s">
        <v>13</v>
      </c>
      <c r="G117" s="2" t="s">
        <v>23</v>
      </c>
      <c r="H117" t="str">
        <f t="shared" si="2"/>
        <v>Ford</v>
      </c>
      <c r="I117" t="str">
        <f t="shared" si="3"/>
        <v>Truck</v>
      </c>
    </row>
    <row r="118" spans="1:9">
      <c r="A118" s="2">
        <v>117</v>
      </c>
      <c r="B118" s="2" t="s">
        <v>50</v>
      </c>
      <c r="C118" s="2" t="s">
        <v>8</v>
      </c>
      <c r="D118" s="2">
        <v>15</v>
      </c>
      <c r="E118" s="3">
        <v>81488</v>
      </c>
      <c r="F118" s="2" t="s">
        <v>9</v>
      </c>
      <c r="G118" s="2" t="s">
        <v>26</v>
      </c>
      <c r="H118" t="str">
        <f t="shared" si="2"/>
        <v>Honda</v>
      </c>
      <c r="I118" t="str">
        <f t="shared" si="3"/>
        <v>Truck</v>
      </c>
    </row>
    <row r="119" spans="1:9">
      <c r="A119" s="2">
        <v>118</v>
      </c>
      <c r="B119" s="2" t="s">
        <v>50</v>
      </c>
      <c r="C119" s="2" t="s">
        <v>22</v>
      </c>
      <c r="D119" s="2">
        <v>19</v>
      </c>
      <c r="E119" s="3">
        <v>97032</v>
      </c>
      <c r="F119" s="2" t="s">
        <v>32</v>
      </c>
      <c r="G119" s="2" t="s">
        <v>29</v>
      </c>
      <c r="H119" t="str">
        <f t="shared" si="2"/>
        <v>Honda</v>
      </c>
      <c r="I119" t="str">
        <f t="shared" si="3"/>
        <v>Truck</v>
      </c>
    </row>
    <row r="120" spans="1:9">
      <c r="A120" s="2">
        <v>119</v>
      </c>
      <c r="B120" s="2" t="s">
        <v>34</v>
      </c>
      <c r="C120" s="2" t="s">
        <v>12</v>
      </c>
      <c r="D120" s="2">
        <v>3</v>
      </c>
      <c r="E120" s="3">
        <v>60843</v>
      </c>
      <c r="F120" s="2" t="s">
        <v>17</v>
      </c>
      <c r="G120" s="2" t="s">
        <v>29</v>
      </c>
      <c r="H120" t="str">
        <f t="shared" si="2"/>
        <v>Audi</v>
      </c>
      <c r="I120" t="str">
        <f t="shared" si="3"/>
        <v>Coupe</v>
      </c>
    </row>
    <row r="121" spans="1:9">
      <c r="A121" s="2">
        <v>120</v>
      </c>
      <c r="B121" s="2" t="s">
        <v>33</v>
      </c>
      <c r="C121" s="2" t="s">
        <v>22</v>
      </c>
      <c r="D121" s="2">
        <v>18</v>
      </c>
      <c r="E121" s="3">
        <v>87914</v>
      </c>
      <c r="F121" s="2" t="s">
        <v>9</v>
      </c>
      <c r="G121" s="2" t="s">
        <v>26</v>
      </c>
      <c r="H121" t="str">
        <f t="shared" si="2"/>
        <v>Volkswagen</v>
      </c>
      <c r="I121" t="str">
        <f t="shared" si="3"/>
        <v>SUV</v>
      </c>
    </row>
    <row r="122" spans="1:9">
      <c r="A122" s="2">
        <v>121</v>
      </c>
      <c r="B122" s="2" t="s">
        <v>58</v>
      </c>
      <c r="C122" s="2" t="s">
        <v>12</v>
      </c>
      <c r="D122" s="2">
        <v>15</v>
      </c>
      <c r="E122" s="3">
        <v>84063</v>
      </c>
      <c r="F122" s="2" t="s">
        <v>9</v>
      </c>
      <c r="G122" s="2" t="s">
        <v>14</v>
      </c>
      <c r="H122" t="str">
        <f t="shared" si="2"/>
        <v>Ford</v>
      </c>
      <c r="I122" t="str">
        <f t="shared" si="3"/>
        <v>SUV</v>
      </c>
    </row>
    <row r="123" spans="1:9">
      <c r="A123" s="2">
        <v>122</v>
      </c>
      <c r="B123" s="2" t="s">
        <v>59</v>
      </c>
      <c r="C123" s="2" t="s">
        <v>16</v>
      </c>
      <c r="D123" s="2">
        <v>35</v>
      </c>
      <c r="E123" s="3">
        <v>58054</v>
      </c>
      <c r="F123" s="2" t="s">
        <v>38</v>
      </c>
      <c r="G123" s="2" t="s">
        <v>10</v>
      </c>
      <c r="H123" t="str">
        <f t="shared" si="2"/>
        <v>Audi</v>
      </c>
      <c r="I123" t="str">
        <f t="shared" si="3"/>
        <v>Convertible</v>
      </c>
    </row>
    <row r="124" spans="1:9">
      <c r="A124" s="2">
        <v>123</v>
      </c>
      <c r="B124" s="2" t="s">
        <v>34</v>
      </c>
      <c r="C124" s="2" t="s">
        <v>8</v>
      </c>
      <c r="D124" s="2">
        <v>19</v>
      </c>
      <c r="E124" s="3">
        <v>54524</v>
      </c>
      <c r="F124" s="2" t="s">
        <v>9</v>
      </c>
      <c r="G124" s="2" t="s">
        <v>10</v>
      </c>
      <c r="H124" t="str">
        <f t="shared" si="2"/>
        <v>Audi</v>
      </c>
      <c r="I124" t="str">
        <f t="shared" si="3"/>
        <v>Coupe</v>
      </c>
    </row>
    <row r="125" spans="1:9">
      <c r="A125" s="2">
        <v>124</v>
      </c>
      <c r="B125" s="2" t="s">
        <v>40</v>
      </c>
      <c r="C125" s="2" t="s">
        <v>8</v>
      </c>
      <c r="D125" s="2">
        <v>11</v>
      </c>
      <c r="E125" s="3">
        <v>44167</v>
      </c>
      <c r="F125" s="2" t="s">
        <v>20</v>
      </c>
      <c r="G125" s="2" t="s">
        <v>26</v>
      </c>
      <c r="H125" t="str">
        <f t="shared" si="2"/>
        <v>Volkswagen</v>
      </c>
      <c r="I125" t="str">
        <f t="shared" si="3"/>
        <v>Convertible</v>
      </c>
    </row>
    <row r="126" spans="1:9">
      <c r="A126" s="2">
        <v>125</v>
      </c>
      <c r="B126" s="2" t="s">
        <v>78</v>
      </c>
      <c r="C126" s="2" t="s">
        <v>22</v>
      </c>
      <c r="D126" s="2">
        <v>50</v>
      </c>
      <c r="E126" s="3">
        <v>71582</v>
      </c>
      <c r="F126" s="2" t="s">
        <v>28</v>
      </c>
      <c r="G126" s="2" t="s">
        <v>23</v>
      </c>
      <c r="H126" t="str">
        <f t="shared" si="2"/>
        <v>Hyundai</v>
      </c>
      <c r="I126" t="str">
        <f t="shared" si="3"/>
        <v>Hatchback</v>
      </c>
    </row>
    <row r="127" spans="1:9">
      <c r="A127" s="2">
        <v>126</v>
      </c>
      <c r="B127" s="2" t="s">
        <v>39</v>
      </c>
      <c r="C127" s="2" t="s">
        <v>22</v>
      </c>
      <c r="D127" s="2">
        <v>30</v>
      </c>
      <c r="E127" s="3">
        <v>33399</v>
      </c>
      <c r="F127" s="2" t="s">
        <v>20</v>
      </c>
      <c r="G127" s="2" t="s">
        <v>14</v>
      </c>
      <c r="H127" t="str">
        <f t="shared" si="2"/>
        <v>Nissan</v>
      </c>
      <c r="I127" t="str">
        <f t="shared" si="3"/>
        <v>Minivan</v>
      </c>
    </row>
    <row r="128" spans="1:9">
      <c r="A128" s="2">
        <v>127</v>
      </c>
      <c r="B128" s="2" t="s">
        <v>86</v>
      </c>
      <c r="C128" s="2" t="s">
        <v>8</v>
      </c>
      <c r="D128" s="2">
        <v>37</v>
      </c>
      <c r="E128" s="3">
        <v>31121</v>
      </c>
      <c r="F128" s="2" t="s">
        <v>13</v>
      </c>
      <c r="G128" s="2" t="s">
        <v>14</v>
      </c>
      <c r="H128" t="str">
        <f t="shared" si="2"/>
        <v>Chevrolet</v>
      </c>
      <c r="I128" t="str">
        <f t="shared" si="3"/>
        <v>SUV</v>
      </c>
    </row>
    <row r="129" spans="1:9">
      <c r="A129" s="2">
        <v>128</v>
      </c>
      <c r="B129" s="2" t="s">
        <v>87</v>
      </c>
      <c r="C129" s="2" t="s">
        <v>8</v>
      </c>
      <c r="D129" s="2">
        <v>48</v>
      </c>
      <c r="E129" s="3">
        <v>34404</v>
      </c>
      <c r="F129" s="2" t="s">
        <v>32</v>
      </c>
      <c r="G129" s="2" t="s">
        <v>18</v>
      </c>
      <c r="H129" t="str">
        <f t="shared" si="2"/>
        <v>Nissan</v>
      </c>
      <c r="I129" t="str">
        <f t="shared" si="3"/>
        <v>SUV</v>
      </c>
    </row>
    <row r="130" spans="1:9">
      <c r="A130" s="2">
        <v>129</v>
      </c>
      <c r="B130" s="2" t="s">
        <v>45</v>
      </c>
      <c r="C130" s="2" t="s">
        <v>8</v>
      </c>
      <c r="D130" s="2">
        <v>50</v>
      </c>
      <c r="E130" s="3">
        <v>58260</v>
      </c>
      <c r="F130" s="2" t="s">
        <v>32</v>
      </c>
      <c r="G130" s="2" t="s">
        <v>14</v>
      </c>
      <c r="H130" t="str">
        <f t="shared" si="2"/>
        <v>Toyota</v>
      </c>
      <c r="I130" t="str">
        <f t="shared" si="3"/>
        <v>SUV</v>
      </c>
    </row>
    <row r="131" spans="1:9">
      <c r="A131" s="2">
        <v>130</v>
      </c>
      <c r="B131" s="2" t="s">
        <v>65</v>
      </c>
      <c r="C131" s="2" t="s">
        <v>12</v>
      </c>
      <c r="D131" s="2">
        <v>50</v>
      </c>
      <c r="E131" s="3">
        <v>37098</v>
      </c>
      <c r="F131" s="2" t="s">
        <v>17</v>
      </c>
      <c r="G131" s="2" t="s">
        <v>26</v>
      </c>
      <c r="H131" t="str">
        <f t="shared" ref="H131:H194" si="4">LEFT(B131,FIND(",",B131)-1)</f>
        <v>Ford</v>
      </c>
      <c r="I131" t="str">
        <f t="shared" ref="I131:I194" si="5">TRIM(MID(B131,FIND(",",B131)+1,LEN(B131)))</f>
        <v>Sedan</v>
      </c>
    </row>
    <row r="132" spans="1:9">
      <c r="A132" s="2">
        <v>131</v>
      </c>
      <c r="B132" s="2" t="s">
        <v>75</v>
      </c>
      <c r="C132" s="2" t="s">
        <v>12</v>
      </c>
      <c r="D132" s="2">
        <v>32</v>
      </c>
      <c r="E132" s="3">
        <v>82343</v>
      </c>
      <c r="F132" s="2" t="s">
        <v>13</v>
      </c>
      <c r="G132" s="2" t="s">
        <v>23</v>
      </c>
      <c r="H132" t="str">
        <f t="shared" si="4"/>
        <v>Nissan</v>
      </c>
      <c r="I132" t="str">
        <f t="shared" si="5"/>
        <v>Convertible</v>
      </c>
    </row>
    <row r="133" spans="1:9">
      <c r="A133" s="2">
        <v>132</v>
      </c>
      <c r="B133" s="2" t="s">
        <v>62</v>
      </c>
      <c r="C133" s="2" t="s">
        <v>16</v>
      </c>
      <c r="D133" s="2">
        <v>36</v>
      </c>
      <c r="E133" s="3">
        <v>78187</v>
      </c>
      <c r="F133" s="2" t="s">
        <v>17</v>
      </c>
      <c r="G133" s="2" t="s">
        <v>14</v>
      </c>
      <c r="H133" t="str">
        <f t="shared" si="4"/>
        <v>Chevrolet</v>
      </c>
      <c r="I133" t="str">
        <f t="shared" si="5"/>
        <v>Minivan</v>
      </c>
    </row>
    <row r="134" spans="1:9">
      <c r="A134" s="2">
        <v>133</v>
      </c>
      <c r="B134" s="2" t="s">
        <v>48</v>
      </c>
      <c r="C134" s="2" t="s">
        <v>12</v>
      </c>
      <c r="D134" s="2">
        <v>33</v>
      </c>
      <c r="E134" s="3">
        <v>58490</v>
      </c>
      <c r="F134" s="2" t="s">
        <v>38</v>
      </c>
      <c r="G134" s="2" t="s">
        <v>18</v>
      </c>
      <c r="H134" t="str">
        <f t="shared" si="4"/>
        <v>BMW</v>
      </c>
      <c r="I134" t="str">
        <f t="shared" si="5"/>
        <v>Coupe</v>
      </c>
    </row>
    <row r="135" spans="1:9">
      <c r="A135" s="2">
        <v>134</v>
      </c>
      <c r="B135" s="2" t="s">
        <v>60</v>
      </c>
      <c r="C135" s="2" t="s">
        <v>8</v>
      </c>
      <c r="D135" s="2">
        <v>8</v>
      </c>
      <c r="E135" s="3">
        <v>67914</v>
      </c>
      <c r="F135" s="2" t="s">
        <v>28</v>
      </c>
      <c r="G135" s="2" t="s">
        <v>10</v>
      </c>
      <c r="H135" t="str">
        <f t="shared" si="4"/>
        <v>Ford</v>
      </c>
      <c r="I135" t="str">
        <f t="shared" si="5"/>
        <v>Convertible</v>
      </c>
    </row>
    <row r="136" spans="1:9">
      <c r="A136" s="2">
        <v>135</v>
      </c>
      <c r="B136" s="2" t="s">
        <v>55</v>
      </c>
      <c r="C136" s="2" t="s">
        <v>12</v>
      </c>
      <c r="D136" s="2">
        <v>37</v>
      </c>
      <c r="E136" s="3">
        <v>46197</v>
      </c>
      <c r="F136" s="2" t="s">
        <v>32</v>
      </c>
      <c r="G136" s="2" t="s">
        <v>14</v>
      </c>
      <c r="H136" t="str">
        <f t="shared" si="4"/>
        <v>Chevrolet</v>
      </c>
      <c r="I136" t="str">
        <f t="shared" si="5"/>
        <v>Hatchback</v>
      </c>
    </row>
    <row r="137" spans="1:9">
      <c r="A137" s="2">
        <v>136</v>
      </c>
      <c r="B137" s="2" t="s">
        <v>41</v>
      </c>
      <c r="C137" s="2" t="s">
        <v>22</v>
      </c>
      <c r="D137" s="2">
        <v>8</v>
      </c>
      <c r="E137" s="3">
        <v>71320</v>
      </c>
      <c r="F137" s="2" t="s">
        <v>28</v>
      </c>
      <c r="G137" s="2" t="s">
        <v>14</v>
      </c>
      <c r="H137" t="str">
        <f t="shared" si="4"/>
        <v>Audi</v>
      </c>
      <c r="I137" t="str">
        <f t="shared" si="5"/>
        <v>SUV</v>
      </c>
    </row>
    <row r="138" spans="1:9">
      <c r="A138" s="2">
        <v>137</v>
      </c>
      <c r="B138" s="2" t="s">
        <v>68</v>
      </c>
      <c r="C138" s="2" t="s">
        <v>8</v>
      </c>
      <c r="D138" s="2">
        <v>18</v>
      </c>
      <c r="E138" s="3">
        <v>84233</v>
      </c>
      <c r="F138" s="2" t="s">
        <v>20</v>
      </c>
      <c r="G138" s="2" t="s">
        <v>23</v>
      </c>
      <c r="H138" t="str">
        <f t="shared" si="4"/>
        <v>Honda</v>
      </c>
      <c r="I138" t="str">
        <f t="shared" si="5"/>
        <v>Coupe</v>
      </c>
    </row>
    <row r="139" spans="1:9">
      <c r="A139" s="2">
        <v>138</v>
      </c>
      <c r="B139" s="2" t="s">
        <v>88</v>
      </c>
      <c r="C139" s="2" t="s">
        <v>12</v>
      </c>
      <c r="D139" s="2">
        <v>50</v>
      </c>
      <c r="E139" s="3">
        <v>71143</v>
      </c>
      <c r="F139" s="2" t="s">
        <v>13</v>
      </c>
      <c r="G139" s="2" t="s">
        <v>26</v>
      </c>
      <c r="H139" t="str">
        <f t="shared" si="4"/>
        <v>Hyundai</v>
      </c>
      <c r="I139" t="str">
        <f t="shared" si="5"/>
        <v>Convertible</v>
      </c>
    </row>
    <row r="140" spans="1:9">
      <c r="A140" s="2">
        <v>139</v>
      </c>
      <c r="B140" s="2" t="s">
        <v>45</v>
      </c>
      <c r="C140" s="2" t="s">
        <v>8</v>
      </c>
      <c r="D140" s="2">
        <v>35</v>
      </c>
      <c r="E140" s="3">
        <v>77511</v>
      </c>
      <c r="F140" s="2" t="s">
        <v>17</v>
      </c>
      <c r="G140" s="2" t="s">
        <v>26</v>
      </c>
      <c r="H140" t="str">
        <f t="shared" si="4"/>
        <v>Toyota</v>
      </c>
      <c r="I140" t="str">
        <f t="shared" si="5"/>
        <v>SUV</v>
      </c>
    </row>
    <row r="141" spans="1:9">
      <c r="A141" s="2">
        <v>140</v>
      </c>
      <c r="B141" s="2" t="s">
        <v>86</v>
      </c>
      <c r="C141" s="2" t="s">
        <v>22</v>
      </c>
      <c r="D141" s="2">
        <v>24</v>
      </c>
      <c r="E141" s="3">
        <v>68349</v>
      </c>
      <c r="F141" s="2" t="s">
        <v>20</v>
      </c>
      <c r="G141" s="2" t="s">
        <v>18</v>
      </c>
      <c r="H141" t="str">
        <f t="shared" si="4"/>
        <v>Chevrolet</v>
      </c>
      <c r="I141" t="str">
        <f t="shared" si="5"/>
        <v>SUV</v>
      </c>
    </row>
    <row r="142" spans="1:9">
      <c r="A142" s="2">
        <v>141</v>
      </c>
      <c r="B142" s="2" t="s">
        <v>30</v>
      </c>
      <c r="C142" s="2" t="s">
        <v>22</v>
      </c>
      <c r="D142" s="2">
        <v>35</v>
      </c>
      <c r="E142" s="3">
        <v>91751</v>
      </c>
      <c r="F142" s="2" t="s">
        <v>25</v>
      </c>
      <c r="G142" s="2" t="s">
        <v>14</v>
      </c>
      <c r="H142" t="str">
        <f t="shared" si="4"/>
        <v>Nissan</v>
      </c>
      <c r="I142" t="str">
        <f t="shared" si="5"/>
        <v>Coupe</v>
      </c>
    </row>
    <row r="143" spans="1:9">
      <c r="A143" s="2">
        <v>142</v>
      </c>
      <c r="B143" s="2" t="s">
        <v>72</v>
      </c>
      <c r="C143" s="2" t="s">
        <v>12</v>
      </c>
      <c r="D143" s="2">
        <v>49</v>
      </c>
      <c r="E143" s="3">
        <v>40733</v>
      </c>
      <c r="F143" s="2" t="s">
        <v>9</v>
      </c>
      <c r="G143" s="2" t="s">
        <v>23</v>
      </c>
      <c r="H143" t="str">
        <f t="shared" si="4"/>
        <v>Honda</v>
      </c>
      <c r="I143" t="str">
        <f t="shared" si="5"/>
        <v>Hatchback</v>
      </c>
    </row>
    <row r="144" spans="1:9">
      <c r="A144" s="2">
        <v>143</v>
      </c>
      <c r="B144" s="2" t="s">
        <v>61</v>
      </c>
      <c r="C144" s="2" t="s">
        <v>8</v>
      </c>
      <c r="D144" s="2">
        <v>3</v>
      </c>
      <c r="E144" s="3">
        <v>39716</v>
      </c>
      <c r="F144" s="2" t="s">
        <v>17</v>
      </c>
      <c r="G144" s="2" t="s">
        <v>18</v>
      </c>
      <c r="H144" t="str">
        <f t="shared" si="4"/>
        <v>Nissan</v>
      </c>
      <c r="I144" t="str">
        <f t="shared" si="5"/>
        <v>Truck</v>
      </c>
    </row>
    <row r="145" spans="1:9">
      <c r="A145" s="2">
        <v>144</v>
      </c>
      <c r="B145" s="2" t="s">
        <v>51</v>
      </c>
      <c r="C145" s="2" t="s">
        <v>16</v>
      </c>
      <c r="D145" s="2">
        <v>49</v>
      </c>
      <c r="E145" s="3">
        <v>70187</v>
      </c>
      <c r="F145" s="2" t="s">
        <v>17</v>
      </c>
      <c r="G145" s="2" t="s">
        <v>26</v>
      </c>
      <c r="H145" t="str">
        <f t="shared" si="4"/>
        <v>Ford</v>
      </c>
      <c r="I145" t="str">
        <f t="shared" si="5"/>
        <v>Coupe</v>
      </c>
    </row>
    <row r="146" spans="1:9">
      <c r="A146" s="2">
        <v>145</v>
      </c>
      <c r="B146" s="2" t="s">
        <v>15</v>
      </c>
      <c r="C146" s="2" t="s">
        <v>22</v>
      </c>
      <c r="D146" s="2">
        <v>47</v>
      </c>
      <c r="E146" s="3">
        <v>47401</v>
      </c>
      <c r="F146" s="2" t="s">
        <v>32</v>
      </c>
      <c r="G146" s="2" t="s">
        <v>29</v>
      </c>
      <c r="H146" t="str">
        <f t="shared" si="4"/>
        <v>Chevrolet</v>
      </c>
      <c r="I146" t="str">
        <f t="shared" si="5"/>
        <v>Truck</v>
      </c>
    </row>
    <row r="147" spans="1:9">
      <c r="A147" s="2">
        <v>146</v>
      </c>
      <c r="B147" s="2" t="s">
        <v>81</v>
      </c>
      <c r="C147" s="2" t="s">
        <v>16</v>
      </c>
      <c r="D147" s="2">
        <v>29</v>
      </c>
      <c r="E147" s="3">
        <v>92848</v>
      </c>
      <c r="F147" s="2" t="s">
        <v>28</v>
      </c>
      <c r="G147" s="2" t="s">
        <v>18</v>
      </c>
      <c r="H147" t="str">
        <f t="shared" si="4"/>
        <v>Nissan</v>
      </c>
      <c r="I147" t="str">
        <f t="shared" si="5"/>
        <v>Hatchback</v>
      </c>
    </row>
    <row r="148" spans="1:9">
      <c r="A148" s="2">
        <v>147</v>
      </c>
      <c r="B148" s="2" t="s">
        <v>63</v>
      </c>
      <c r="C148" s="2" t="s">
        <v>12</v>
      </c>
      <c r="D148" s="2">
        <v>35</v>
      </c>
      <c r="E148" s="3">
        <v>66070</v>
      </c>
      <c r="F148" s="2" t="s">
        <v>25</v>
      </c>
      <c r="G148" s="2" t="s">
        <v>29</v>
      </c>
      <c r="H148" t="str">
        <f t="shared" si="4"/>
        <v>Volkswagen</v>
      </c>
      <c r="I148" t="str">
        <f t="shared" si="5"/>
        <v>Sedan</v>
      </c>
    </row>
    <row r="149" spans="1:9">
      <c r="A149" s="2">
        <v>148</v>
      </c>
      <c r="B149" s="2" t="s">
        <v>19</v>
      </c>
      <c r="C149" s="2" t="s">
        <v>22</v>
      </c>
      <c r="D149" s="2">
        <v>14</v>
      </c>
      <c r="E149" s="3">
        <v>80936</v>
      </c>
      <c r="F149" s="2" t="s">
        <v>32</v>
      </c>
      <c r="G149" s="2" t="s">
        <v>29</v>
      </c>
      <c r="H149" t="str">
        <f t="shared" si="4"/>
        <v>Tesla</v>
      </c>
      <c r="I149" t="str">
        <f t="shared" si="5"/>
        <v>Minivan</v>
      </c>
    </row>
    <row r="150" spans="1:9">
      <c r="A150" s="2">
        <v>149</v>
      </c>
      <c r="B150" s="2" t="s">
        <v>68</v>
      </c>
      <c r="C150" s="2" t="s">
        <v>16</v>
      </c>
      <c r="D150" s="2">
        <v>28</v>
      </c>
      <c r="E150" s="3">
        <v>60649</v>
      </c>
      <c r="F150" s="2" t="s">
        <v>9</v>
      </c>
      <c r="G150" s="2" t="s">
        <v>18</v>
      </c>
      <c r="H150" t="str">
        <f t="shared" si="4"/>
        <v>Honda</v>
      </c>
      <c r="I150" t="str">
        <f t="shared" si="5"/>
        <v>Coupe</v>
      </c>
    </row>
    <row r="151" spans="1:9">
      <c r="A151" s="2">
        <v>150</v>
      </c>
      <c r="B151" s="2" t="s">
        <v>69</v>
      </c>
      <c r="C151" s="2" t="s">
        <v>22</v>
      </c>
      <c r="D151" s="2">
        <v>7</v>
      </c>
      <c r="E151" s="3">
        <v>37395</v>
      </c>
      <c r="F151" s="2" t="s">
        <v>32</v>
      </c>
      <c r="G151" s="2" t="s">
        <v>18</v>
      </c>
      <c r="H151" t="str">
        <f t="shared" si="4"/>
        <v>BMW</v>
      </c>
      <c r="I151" t="str">
        <f t="shared" si="5"/>
        <v>Truck</v>
      </c>
    </row>
    <row r="152" spans="1:9">
      <c r="A152" s="2">
        <v>151</v>
      </c>
      <c r="B152" s="2" t="s">
        <v>72</v>
      </c>
      <c r="C152" s="2" t="s">
        <v>16</v>
      </c>
      <c r="D152" s="2">
        <v>48</v>
      </c>
      <c r="E152" s="3">
        <v>67138</v>
      </c>
      <c r="F152" s="2" t="s">
        <v>32</v>
      </c>
      <c r="G152" s="2" t="s">
        <v>23</v>
      </c>
      <c r="H152" t="str">
        <f t="shared" si="4"/>
        <v>Honda</v>
      </c>
      <c r="I152" t="str">
        <f t="shared" si="5"/>
        <v>Hatchback</v>
      </c>
    </row>
    <row r="153" spans="1:9">
      <c r="A153" s="2">
        <v>152</v>
      </c>
      <c r="B153" s="2" t="s">
        <v>75</v>
      </c>
      <c r="C153" s="2" t="s">
        <v>8</v>
      </c>
      <c r="D153" s="2">
        <v>42</v>
      </c>
      <c r="E153" s="3">
        <v>98941</v>
      </c>
      <c r="F153" s="2" t="s">
        <v>32</v>
      </c>
      <c r="G153" s="2" t="s">
        <v>18</v>
      </c>
      <c r="H153" t="str">
        <f t="shared" si="4"/>
        <v>Nissan</v>
      </c>
      <c r="I153" t="str">
        <f t="shared" si="5"/>
        <v>Convertible</v>
      </c>
    </row>
    <row r="154" spans="1:9">
      <c r="A154" s="2">
        <v>153</v>
      </c>
      <c r="B154" s="2" t="s">
        <v>87</v>
      </c>
      <c r="C154" s="2" t="s">
        <v>8</v>
      </c>
      <c r="D154" s="2">
        <v>49</v>
      </c>
      <c r="E154" s="3">
        <v>28134</v>
      </c>
      <c r="F154" s="2" t="s">
        <v>28</v>
      </c>
      <c r="G154" s="2" t="s">
        <v>10</v>
      </c>
      <c r="H154" t="str">
        <f t="shared" si="4"/>
        <v>Nissan</v>
      </c>
      <c r="I154" t="str">
        <f t="shared" si="5"/>
        <v>SUV</v>
      </c>
    </row>
    <row r="155" spans="1:9">
      <c r="A155" s="2">
        <v>154</v>
      </c>
      <c r="B155" s="2" t="s">
        <v>85</v>
      </c>
      <c r="C155" s="2" t="s">
        <v>12</v>
      </c>
      <c r="D155" s="2">
        <v>16</v>
      </c>
      <c r="E155" s="3">
        <v>93947</v>
      </c>
      <c r="F155" s="2" t="s">
        <v>32</v>
      </c>
      <c r="G155" s="2" t="s">
        <v>26</v>
      </c>
      <c r="H155" t="str">
        <f t="shared" si="4"/>
        <v>Toyota</v>
      </c>
      <c r="I155" t="str">
        <f t="shared" si="5"/>
        <v>Sedan</v>
      </c>
    </row>
    <row r="156" spans="1:9">
      <c r="A156" s="2">
        <v>155</v>
      </c>
      <c r="B156" s="2" t="s">
        <v>71</v>
      </c>
      <c r="C156" s="2" t="s">
        <v>22</v>
      </c>
      <c r="D156" s="2">
        <v>20</v>
      </c>
      <c r="E156" s="3">
        <v>90093</v>
      </c>
      <c r="F156" s="2" t="s">
        <v>32</v>
      </c>
      <c r="G156" s="2" t="s">
        <v>14</v>
      </c>
      <c r="H156" t="str">
        <f t="shared" si="4"/>
        <v>Volkswagen</v>
      </c>
      <c r="I156" t="str">
        <f t="shared" si="5"/>
        <v>Coupe</v>
      </c>
    </row>
    <row r="157" spans="1:9">
      <c r="A157" s="2">
        <v>156</v>
      </c>
      <c r="B157" s="2" t="s">
        <v>69</v>
      </c>
      <c r="C157" s="2" t="s">
        <v>16</v>
      </c>
      <c r="D157" s="2">
        <v>3</v>
      </c>
      <c r="E157" s="3">
        <v>68509</v>
      </c>
      <c r="F157" s="2" t="s">
        <v>32</v>
      </c>
      <c r="G157" s="2" t="s">
        <v>18</v>
      </c>
      <c r="H157" t="str">
        <f t="shared" si="4"/>
        <v>BMW</v>
      </c>
      <c r="I157" t="str">
        <f t="shared" si="5"/>
        <v>Truck</v>
      </c>
    </row>
    <row r="158" spans="1:9">
      <c r="A158" s="2">
        <v>157</v>
      </c>
      <c r="B158" s="2" t="s">
        <v>88</v>
      </c>
      <c r="C158" s="2" t="s">
        <v>12</v>
      </c>
      <c r="D158" s="2">
        <v>29</v>
      </c>
      <c r="E158" s="3">
        <v>96428</v>
      </c>
      <c r="F158" s="2" t="s">
        <v>32</v>
      </c>
      <c r="G158" s="2" t="s">
        <v>29</v>
      </c>
      <c r="H158" t="str">
        <f t="shared" si="4"/>
        <v>Hyundai</v>
      </c>
      <c r="I158" t="str">
        <f t="shared" si="5"/>
        <v>Convertible</v>
      </c>
    </row>
    <row r="159" spans="1:9">
      <c r="A159" s="2">
        <v>158</v>
      </c>
      <c r="B159" s="2" t="s">
        <v>89</v>
      </c>
      <c r="C159" s="2" t="s">
        <v>8</v>
      </c>
      <c r="D159" s="2">
        <v>17</v>
      </c>
      <c r="E159" s="3">
        <v>62641</v>
      </c>
      <c r="F159" s="2" t="s">
        <v>17</v>
      </c>
      <c r="G159" s="2" t="s">
        <v>29</v>
      </c>
      <c r="H159" t="str">
        <f t="shared" si="4"/>
        <v>Toyota</v>
      </c>
      <c r="I159" t="str">
        <f t="shared" si="5"/>
        <v>Truck</v>
      </c>
    </row>
    <row r="160" spans="1:9">
      <c r="A160" s="2">
        <v>159</v>
      </c>
      <c r="B160" s="2" t="s">
        <v>27</v>
      </c>
      <c r="C160" s="2" t="s">
        <v>8</v>
      </c>
      <c r="D160" s="2">
        <v>23</v>
      </c>
      <c r="E160" s="3">
        <v>32831</v>
      </c>
      <c r="F160" s="2" t="s">
        <v>25</v>
      </c>
      <c r="G160" s="2" t="s">
        <v>18</v>
      </c>
      <c r="H160" t="str">
        <f t="shared" si="4"/>
        <v>Ford</v>
      </c>
      <c r="I160" t="str">
        <f t="shared" si="5"/>
        <v>Hatchback</v>
      </c>
    </row>
    <row r="161" spans="1:9">
      <c r="A161" s="2">
        <v>160</v>
      </c>
      <c r="B161" s="2" t="s">
        <v>48</v>
      </c>
      <c r="C161" s="2" t="s">
        <v>12</v>
      </c>
      <c r="D161" s="2">
        <v>6</v>
      </c>
      <c r="E161" s="3">
        <v>76091</v>
      </c>
      <c r="F161" s="2" t="s">
        <v>20</v>
      </c>
      <c r="G161" s="2" t="s">
        <v>14</v>
      </c>
      <c r="H161" t="str">
        <f t="shared" si="4"/>
        <v>BMW</v>
      </c>
      <c r="I161" t="str">
        <f t="shared" si="5"/>
        <v>Coupe</v>
      </c>
    </row>
    <row r="162" spans="1:9">
      <c r="A162" s="2">
        <v>161</v>
      </c>
      <c r="B162" s="2" t="s">
        <v>55</v>
      </c>
      <c r="C162" s="2" t="s">
        <v>22</v>
      </c>
      <c r="D162" s="2">
        <v>29</v>
      </c>
      <c r="E162" s="3">
        <v>63718</v>
      </c>
      <c r="F162" s="2" t="s">
        <v>20</v>
      </c>
      <c r="G162" s="2" t="s">
        <v>14</v>
      </c>
      <c r="H162" t="str">
        <f t="shared" si="4"/>
        <v>Chevrolet</v>
      </c>
      <c r="I162" t="str">
        <f t="shared" si="5"/>
        <v>Hatchback</v>
      </c>
    </row>
    <row r="163" spans="1:9">
      <c r="A163" s="2">
        <v>162</v>
      </c>
      <c r="B163" s="2" t="s">
        <v>37</v>
      </c>
      <c r="C163" s="2" t="s">
        <v>16</v>
      </c>
      <c r="D163" s="2">
        <v>8</v>
      </c>
      <c r="E163" s="3">
        <v>58159</v>
      </c>
      <c r="F163" s="2" t="s">
        <v>20</v>
      </c>
      <c r="G163" s="2" t="s">
        <v>23</v>
      </c>
      <c r="H163" t="str">
        <f t="shared" si="4"/>
        <v>Tesla</v>
      </c>
      <c r="I163" t="str">
        <f t="shared" si="5"/>
        <v>Truck</v>
      </c>
    </row>
    <row r="164" spans="1:9">
      <c r="A164" s="2">
        <v>163</v>
      </c>
      <c r="B164" s="2" t="s">
        <v>36</v>
      </c>
      <c r="C164" s="2" t="s">
        <v>8</v>
      </c>
      <c r="D164" s="2">
        <v>50</v>
      </c>
      <c r="E164" s="3">
        <v>40952</v>
      </c>
      <c r="F164" s="2" t="s">
        <v>9</v>
      </c>
      <c r="G164" s="2" t="s">
        <v>23</v>
      </c>
      <c r="H164" t="str">
        <f t="shared" si="4"/>
        <v>Toyota</v>
      </c>
      <c r="I164" t="str">
        <f t="shared" si="5"/>
        <v>Coupe</v>
      </c>
    </row>
    <row r="165" spans="1:9">
      <c r="A165" s="2">
        <v>164</v>
      </c>
      <c r="B165" s="2" t="s">
        <v>19</v>
      </c>
      <c r="C165" s="2" t="s">
        <v>12</v>
      </c>
      <c r="D165" s="2">
        <v>16</v>
      </c>
      <c r="E165" s="3">
        <v>48902</v>
      </c>
      <c r="F165" s="2" t="s">
        <v>38</v>
      </c>
      <c r="G165" s="2" t="s">
        <v>23</v>
      </c>
      <c r="H165" t="str">
        <f t="shared" si="4"/>
        <v>Tesla</v>
      </c>
      <c r="I165" t="str">
        <f t="shared" si="5"/>
        <v>Minivan</v>
      </c>
    </row>
    <row r="166" spans="1:9">
      <c r="A166" s="2">
        <v>165</v>
      </c>
      <c r="B166" s="2" t="s">
        <v>90</v>
      </c>
      <c r="C166" s="2" t="s">
        <v>8</v>
      </c>
      <c r="D166" s="2">
        <v>14</v>
      </c>
      <c r="E166" s="3">
        <v>52021</v>
      </c>
      <c r="F166" s="2" t="s">
        <v>38</v>
      </c>
      <c r="G166" s="2" t="s">
        <v>14</v>
      </c>
      <c r="H166" t="str">
        <f t="shared" si="4"/>
        <v>Volkswagen</v>
      </c>
      <c r="I166" t="str">
        <f t="shared" si="5"/>
        <v>Truck</v>
      </c>
    </row>
    <row r="167" spans="1:9">
      <c r="A167" s="2">
        <v>166</v>
      </c>
      <c r="B167" s="2" t="s">
        <v>58</v>
      </c>
      <c r="C167" s="2" t="s">
        <v>8</v>
      </c>
      <c r="D167" s="2">
        <v>48</v>
      </c>
      <c r="E167" s="3">
        <v>67975</v>
      </c>
      <c r="F167" s="2" t="s">
        <v>9</v>
      </c>
      <c r="G167" s="2" t="s">
        <v>29</v>
      </c>
      <c r="H167" t="str">
        <f t="shared" si="4"/>
        <v>Ford</v>
      </c>
      <c r="I167" t="str">
        <f t="shared" si="5"/>
        <v>SUV</v>
      </c>
    </row>
    <row r="168" spans="1:9">
      <c r="A168" s="2">
        <v>167</v>
      </c>
      <c r="B168" s="2" t="s">
        <v>51</v>
      </c>
      <c r="C168" s="2" t="s">
        <v>16</v>
      </c>
      <c r="D168" s="2">
        <v>38</v>
      </c>
      <c r="E168" s="3">
        <v>99278</v>
      </c>
      <c r="F168" s="2" t="s">
        <v>17</v>
      </c>
      <c r="G168" s="2" t="s">
        <v>23</v>
      </c>
      <c r="H168" t="str">
        <f t="shared" si="4"/>
        <v>Ford</v>
      </c>
      <c r="I168" t="str">
        <f t="shared" si="5"/>
        <v>Coupe</v>
      </c>
    </row>
    <row r="169" spans="1:9">
      <c r="A169" s="2">
        <v>168</v>
      </c>
      <c r="B169" s="2" t="s">
        <v>73</v>
      </c>
      <c r="C169" s="2" t="s">
        <v>22</v>
      </c>
      <c r="D169" s="2">
        <v>45</v>
      </c>
      <c r="E169" s="3">
        <v>99881</v>
      </c>
      <c r="F169" s="2" t="s">
        <v>17</v>
      </c>
      <c r="G169" s="2" t="s">
        <v>18</v>
      </c>
      <c r="H169" t="str">
        <f t="shared" si="4"/>
        <v>Hyundai</v>
      </c>
      <c r="I169" t="str">
        <f t="shared" si="5"/>
        <v>Minivan</v>
      </c>
    </row>
    <row r="170" spans="1:9">
      <c r="A170" s="2">
        <v>169</v>
      </c>
      <c r="B170" s="2" t="s">
        <v>51</v>
      </c>
      <c r="C170" s="2" t="s">
        <v>22</v>
      </c>
      <c r="D170" s="2">
        <v>23</v>
      </c>
      <c r="E170" s="3">
        <v>39851</v>
      </c>
      <c r="F170" s="2" t="s">
        <v>9</v>
      </c>
      <c r="G170" s="2" t="s">
        <v>23</v>
      </c>
      <c r="H170" t="str">
        <f t="shared" si="4"/>
        <v>Ford</v>
      </c>
      <c r="I170" t="str">
        <f t="shared" si="5"/>
        <v>Coupe</v>
      </c>
    </row>
    <row r="171" spans="1:9">
      <c r="A171" s="2">
        <v>170</v>
      </c>
      <c r="B171" s="2" t="s">
        <v>57</v>
      </c>
      <c r="C171" s="2" t="s">
        <v>16</v>
      </c>
      <c r="D171" s="2">
        <v>46</v>
      </c>
      <c r="E171" s="3">
        <v>57598</v>
      </c>
      <c r="F171" s="2" t="s">
        <v>28</v>
      </c>
      <c r="G171" s="2" t="s">
        <v>18</v>
      </c>
      <c r="H171" t="str">
        <f t="shared" si="4"/>
        <v>Nissan</v>
      </c>
      <c r="I171" t="str">
        <f t="shared" si="5"/>
        <v>Sedan</v>
      </c>
    </row>
    <row r="172" spans="1:9">
      <c r="A172" s="2">
        <v>171</v>
      </c>
      <c r="B172" s="2" t="s">
        <v>91</v>
      </c>
      <c r="C172" s="2" t="s">
        <v>12</v>
      </c>
      <c r="D172" s="2">
        <v>40</v>
      </c>
      <c r="E172" s="3">
        <v>59472</v>
      </c>
      <c r="F172" s="2" t="s">
        <v>9</v>
      </c>
      <c r="G172" s="2" t="s">
        <v>18</v>
      </c>
      <c r="H172" t="str">
        <f t="shared" si="4"/>
        <v>Honda</v>
      </c>
      <c r="I172" t="str">
        <f t="shared" si="5"/>
        <v>SUV</v>
      </c>
    </row>
    <row r="173" spans="1:9">
      <c r="A173" s="2">
        <v>172</v>
      </c>
      <c r="B173" s="2" t="s">
        <v>68</v>
      </c>
      <c r="C173" s="2" t="s">
        <v>12</v>
      </c>
      <c r="D173" s="2">
        <v>41</v>
      </c>
      <c r="E173" s="3">
        <v>83041</v>
      </c>
      <c r="F173" s="2" t="s">
        <v>25</v>
      </c>
      <c r="G173" s="2" t="s">
        <v>29</v>
      </c>
      <c r="H173" t="str">
        <f t="shared" si="4"/>
        <v>Honda</v>
      </c>
      <c r="I173" t="str">
        <f t="shared" si="5"/>
        <v>Coupe</v>
      </c>
    </row>
    <row r="174" spans="1:9">
      <c r="A174" s="2">
        <v>173</v>
      </c>
      <c r="B174" s="2" t="s">
        <v>88</v>
      </c>
      <c r="C174" s="2" t="s">
        <v>22</v>
      </c>
      <c r="D174" s="2">
        <v>28</v>
      </c>
      <c r="E174" s="3">
        <v>72013</v>
      </c>
      <c r="F174" s="2" t="s">
        <v>28</v>
      </c>
      <c r="G174" s="2" t="s">
        <v>26</v>
      </c>
      <c r="H174" t="str">
        <f t="shared" si="4"/>
        <v>Hyundai</v>
      </c>
      <c r="I174" t="str">
        <f t="shared" si="5"/>
        <v>Convertible</v>
      </c>
    </row>
    <row r="175" spans="1:9">
      <c r="A175" s="2">
        <v>174</v>
      </c>
      <c r="B175" s="2" t="s">
        <v>61</v>
      </c>
      <c r="C175" s="2" t="s">
        <v>8</v>
      </c>
      <c r="D175" s="2">
        <v>11</v>
      </c>
      <c r="E175" s="3">
        <v>50120</v>
      </c>
      <c r="F175" s="2" t="s">
        <v>13</v>
      </c>
      <c r="G175" s="2" t="s">
        <v>18</v>
      </c>
      <c r="H175" t="str">
        <f t="shared" si="4"/>
        <v>Nissan</v>
      </c>
      <c r="I175" t="str">
        <f t="shared" si="5"/>
        <v>Truck</v>
      </c>
    </row>
    <row r="176" spans="1:9">
      <c r="A176" s="2">
        <v>175</v>
      </c>
      <c r="B176" s="2" t="s">
        <v>24</v>
      </c>
      <c r="C176" s="2" t="s">
        <v>8</v>
      </c>
      <c r="D176" s="2">
        <v>40</v>
      </c>
      <c r="E176" s="3">
        <v>80386</v>
      </c>
      <c r="F176" s="2" t="s">
        <v>32</v>
      </c>
      <c r="G176" s="2" t="s">
        <v>23</v>
      </c>
      <c r="H176" t="str">
        <f t="shared" si="4"/>
        <v>Honda</v>
      </c>
      <c r="I176" t="str">
        <f t="shared" si="5"/>
        <v>Convertible</v>
      </c>
    </row>
    <row r="177" spans="1:9">
      <c r="A177" s="2">
        <v>176</v>
      </c>
      <c r="B177" s="2" t="s">
        <v>15</v>
      </c>
      <c r="C177" s="2" t="s">
        <v>12</v>
      </c>
      <c r="D177" s="2">
        <v>9</v>
      </c>
      <c r="E177" s="3">
        <v>54810</v>
      </c>
      <c r="F177" s="2" t="s">
        <v>25</v>
      </c>
      <c r="G177" s="2" t="s">
        <v>29</v>
      </c>
      <c r="H177" t="str">
        <f t="shared" si="4"/>
        <v>Chevrolet</v>
      </c>
      <c r="I177" t="str">
        <f t="shared" si="5"/>
        <v>Truck</v>
      </c>
    </row>
    <row r="178" spans="1:9">
      <c r="A178" s="2">
        <v>177</v>
      </c>
      <c r="B178" s="2" t="s">
        <v>81</v>
      </c>
      <c r="C178" s="2" t="s">
        <v>16</v>
      </c>
      <c r="D178" s="2">
        <v>14</v>
      </c>
      <c r="E178" s="3">
        <v>54102</v>
      </c>
      <c r="F178" s="2" t="s">
        <v>38</v>
      </c>
      <c r="G178" s="2" t="s">
        <v>29</v>
      </c>
      <c r="H178" t="str">
        <f t="shared" si="4"/>
        <v>Nissan</v>
      </c>
      <c r="I178" t="str">
        <f t="shared" si="5"/>
        <v>Hatchback</v>
      </c>
    </row>
    <row r="179" spans="1:9">
      <c r="A179" s="2">
        <v>178</v>
      </c>
      <c r="B179" s="2" t="s">
        <v>90</v>
      </c>
      <c r="C179" s="2" t="s">
        <v>8</v>
      </c>
      <c r="D179" s="2">
        <v>14</v>
      </c>
      <c r="E179" s="3">
        <v>51592</v>
      </c>
      <c r="F179" s="2" t="s">
        <v>13</v>
      </c>
      <c r="G179" s="2" t="s">
        <v>14</v>
      </c>
      <c r="H179" t="str">
        <f t="shared" si="4"/>
        <v>Volkswagen</v>
      </c>
      <c r="I179" t="str">
        <f t="shared" si="5"/>
        <v>Truck</v>
      </c>
    </row>
    <row r="180" spans="1:9">
      <c r="A180" s="2">
        <v>179</v>
      </c>
      <c r="B180" s="2" t="s">
        <v>82</v>
      </c>
      <c r="C180" s="2" t="s">
        <v>12</v>
      </c>
      <c r="D180" s="2">
        <v>4</v>
      </c>
      <c r="E180" s="3">
        <v>85527</v>
      </c>
      <c r="F180" s="2" t="s">
        <v>9</v>
      </c>
      <c r="G180" s="2" t="s">
        <v>18</v>
      </c>
      <c r="H180" t="str">
        <f t="shared" si="4"/>
        <v>Audi</v>
      </c>
      <c r="I180" t="str">
        <f t="shared" si="5"/>
        <v>Sedan</v>
      </c>
    </row>
    <row r="181" spans="1:9">
      <c r="A181" s="2">
        <v>180</v>
      </c>
      <c r="B181" s="2" t="s">
        <v>19</v>
      </c>
      <c r="C181" s="2" t="s">
        <v>16</v>
      </c>
      <c r="D181" s="2">
        <v>37</v>
      </c>
      <c r="E181" s="3">
        <v>44533</v>
      </c>
      <c r="F181" s="2" t="s">
        <v>38</v>
      </c>
      <c r="G181" s="2" t="s">
        <v>23</v>
      </c>
      <c r="H181" t="str">
        <f t="shared" si="4"/>
        <v>Tesla</v>
      </c>
      <c r="I181" t="str">
        <f t="shared" si="5"/>
        <v>Minivan</v>
      </c>
    </row>
    <row r="182" spans="1:9">
      <c r="A182" s="2">
        <v>181</v>
      </c>
      <c r="B182" s="2" t="s">
        <v>81</v>
      </c>
      <c r="C182" s="2" t="s">
        <v>22</v>
      </c>
      <c r="D182" s="2">
        <v>23</v>
      </c>
      <c r="E182" s="3">
        <v>63058</v>
      </c>
      <c r="F182" s="2" t="s">
        <v>17</v>
      </c>
      <c r="G182" s="2" t="s">
        <v>18</v>
      </c>
      <c r="H182" t="str">
        <f t="shared" si="4"/>
        <v>Nissan</v>
      </c>
      <c r="I182" t="str">
        <f t="shared" si="5"/>
        <v>Hatchback</v>
      </c>
    </row>
    <row r="183" spans="1:9">
      <c r="A183" s="2">
        <v>182</v>
      </c>
      <c r="B183" s="2" t="s">
        <v>64</v>
      </c>
      <c r="C183" s="2" t="s">
        <v>16</v>
      </c>
      <c r="D183" s="2">
        <v>35</v>
      </c>
      <c r="E183" s="3">
        <v>38871</v>
      </c>
      <c r="F183" s="2" t="s">
        <v>13</v>
      </c>
      <c r="G183" s="2" t="s">
        <v>23</v>
      </c>
      <c r="H183" t="str">
        <f t="shared" si="4"/>
        <v>Tesla</v>
      </c>
      <c r="I183" t="str">
        <f t="shared" si="5"/>
        <v>Coupe</v>
      </c>
    </row>
    <row r="184" spans="1:9">
      <c r="A184" s="2">
        <v>183</v>
      </c>
      <c r="B184" s="2" t="s">
        <v>15</v>
      </c>
      <c r="C184" s="2" t="s">
        <v>22</v>
      </c>
      <c r="D184" s="2">
        <v>18</v>
      </c>
      <c r="E184" s="3">
        <v>80593</v>
      </c>
      <c r="F184" s="2" t="s">
        <v>25</v>
      </c>
      <c r="G184" s="2" t="s">
        <v>10</v>
      </c>
      <c r="H184" t="str">
        <f t="shared" si="4"/>
        <v>Chevrolet</v>
      </c>
      <c r="I184" t="str">
        <f t="shared" si="5"/>
        <v>Truck</v>
      </c>
    </row>
    <row r="185" spans="1:9">
      <c r="A185" s="2">
        <v>184</v>
      </c>
      <c r="B185" s="2" t="s">
        <v>82</v>
      </c>
      <c r="C185" s="2" t="s">
        <v>12</v>
      </c>
      <c r="D185" s="2">
        <v>39</v>
      </c>
      <c r="E185" s="3">
        <v>43935</v>
      </c>
      <c r="F185" s="2" t="s">
        <v>9</v>
      </c>
      <c r="G185" s="2" t="s">
        <v>14</v>
      </c>
      <c r="H185" t="str">
        <f t="shared" si="4"/>
        <v>Audi</v>
      </c>
      <c r="I185" t="str">
        <f t="shared" si="5"/>
        <v>Sedan</v>
      </c>
    </row>
    <row r="186" spans="1:9">
      <c r="A186" s="2">
        <v>185</v>
      </c>
      <c r="B186" s="2" t="s">
        <v>92</v>
      </c>
      <c r="C186" s="2" t="s">
        <v>16</v>
      </c>
      <c r="D186" s="2">
        <v>35</v>
      </c>
      <c r="E186" s="3">
        <v>38057</v>
      </c>
      <c r="F186" s="2" t="s">
        <v>20</v>
      </c>
      <c r="G186" s="2" t="s">
        <v>29</v>
      </c>
      <c r="H186" t="str">
        <f t="shared" si="4"/>
        <v>BMW</v>
      </c>
      <c r="I186" t="str">
        <f t="shared" si="5"/>
        <v>Convertible</v>
      </c>
    </row>
    <row r="187" spans="1:9">
      <c r="A187" s="2">
        <v>186</v>
      </c>
      <c r="B187" s="2" t="s">
        <v>73</v>
      </c>
      <c r="C187" s="2" t="s">
        <v>12</v>
      </c>
      <c r="D187" s="2">
        <v>11</v>
      </c>
      <c r="E187" s="3">
        <v>72444</v>
      </c>
      <c r="F187" s="2" t="s">
        <v>9</v>
      </c>
      <c r="G187" s="2" t="s">
        <v>14</v>
      </c>
      <c r="H187" t="str">
        <f t="shared" si="4"/>
        <v>Hyundai</v>
      </c>
      <c r="I187" t="str">
        <f t="shared" si="5"/>
        <v>Minivan</v>
      </c>
    </row>
    <row r="188" spans="1:9">
      <c r="A188" s="2">
        <v>187</v>
      </c>
      <c r="B188" s="2" t="s">
        <v>81</v>
      </c>
      <c r="C188" s="2" t="s">
        <v>22</v>
      </c>
      <c r="D188" s="2">
        <v>21</v>
      </c>
      <c r="E188" s="3">
        <v>92351</v>
      </c>
      <c r="F188" s="2" t="s">
        <v>17</v>
      </c>
      <c r="G188" s="2" t="s">
        <v>10</v>
      </c>
      <c r="H188" t="str">
        <f t="shared" si="4"/>
        <v>Nissan</v>
      </c>
      <c r="I188" t="str">
        <f t="shared" si="5"/>
        <v>Hatchback</v>
      </c>
    </row>
    <row r="189" spans="1:9">
      <c r="A189" s="2">
        <v>188</v>
      </c>
      <c r="B189" s="2" t="s">
        <v>73</v>
      </c>
      <c r="C189" s="2" t="s">
        <v>8</v>
      </c>
      <c r="D189" s="2">
        <v>46</v>
      </c>
      <c r="E189" s="3">
        <v>33600</v>
      </c>
      <c r="F189" s="2" t="s">
        <v>38</v>
      </c>
      <c r="G189" s="2" t="s">
        <v>26</v>
      </c>
      <c r="H189" t="str">
        <f t="shared" si="4"/>
        <v>Hyundai</v>
      </c>
      <c r="I189" t="str">
        <f t="shared" si="5"/>
        <v>Minivan</v>
      </c>
    </row>
    <row r="190" spans="1:9">
      <c r="A190" s="2">
        <v>189</v>
      </c>
      <c r="B190" s="2" t="s">
        <v>27</v>
      </c>
      <c r="C190" s="2" t="s">
        <v>8</v>
      </c>
      <c r="D190" s="2">
        <v>19</v>
      </c>
      <c r="E190" s="3">
        <v>70785</v>
      </c>
      <c r="F190" s="2" t="s">
        <v>38</v>
      </c>
      <c r="G190" s="2" t="s">
        <v>14</v>
      </c>
      <c r="H190" t="str">
        <f t="shared" si="4"/>
        <v>Ford</v>
      </c>
      <c r="I190" t="str">
        <f t="shared" si="5"/>
        <v>Hatchback</v>
      </c>
    </row>
    <row r="191" spans="1:9">
      <c r="A191" s="2">
        <v>190</v>
      </c>
      <c r="B191" s="2" t="s">
        <v>80</v>
      </c>
      <c r="C191" s="2" t="s">
        <v>22</v>
      </c>
      <c r="D191" s="2">
        <v>19</v>
      </c>
      <c r="E191" s="3">
        <v>70172</v>
      </c>
      <c r="F191" s="2" t="s">
        <v>32</v>
      </c>
      <c r="G191" s="2" t="s">
        <v>14</v>
      </c>
      <c r="H191" t="str">
        <f t="shared" si="4"/>
        <v>Tesla</v>
      </c>
      <c r="I191" t="str">
        <f t="shared" si="5"/>
        <v>Sedan</v>
      </c>
    </row>
    <row r="192" spans="1:9">
      <c r="A192" s="2">
        <v>191</v>
      </c>
      <c r="B192" s="2" t="s">
        <v>21</v>
      </c>
      <c r="C192" s="2" t="s">
        <v>8</v>
      </c>
      <c r="D192" s="2">
        <v>37</v>
      </c>
      <c r="E192" s="3">
        <v>63485</v>
      </c>
      <c r="F192" s="2" t="s">
        <v>13</v>
      </c>
      <c r="G192" s="2" t="s">
        <v>10</v>
      </c>
      <c r="H192" t="str">
        <f t="shared" si="4"/>
        <v>Tesla</v>
      </c>
      <c r="I192" t="str">
        <f t="shared" si="5"/>
        <v>Convertible</v>
      </c>
    </row>
    <row r="193" spans="1:9">
      <c r="A193" s="2">
        <v>192</v>
      </c>
      <c r="B193" s="2" t="s">
        <v>27</v>
      </c>
      <c r="C193" s="2" t="s">
        <v>8</v>
      </c>
      <c r="D193" s="2">
        <v>18</v>
      </c>
      <c r="E193" s="3">
        <v>25687</v>
      </c>
      <c r="F193" s="2" t="s">
        <v>20</v>
      </c>
      <c r="G193" s="2" t="s">
        <v>14</v>
      </c>
      <c r="H193" t="str">
        <f t="shared" si="4"/>
        <v>Ford</v>
      </c>
      <c r="I193" t="str">
        <f t="shared" si="5"/>
        <v>Hatchback</v>
      </c>
    </row>
    <row r="194" spans="1:9">
      <c r="A194" s="2">
        <v>193</v>
      </c>
      <c r="B194" s="2" t="s">
        <v>48</v>
      </c>
      <c r="C194" s="2" t="s">
        <v>16</v>
      </c>
      <c r="D194" s="2">
        <v>33</v>
      </c>
      <c r="E194" s="3">
        <v>56913</v>
      </c>
      <c r="F194" s="2" t="s">
        <v>17</v>
      </c>
      <c r="G194" s="2" t="s">
        <v>14</v>
      </c>
      <c r="H194" t="str">
        <f t="shared" si="4"/>
        <v>BMW</v>
      </c>
      <c r="I194" t="str">
        <f t="shared" si="5"/>
        <v>Coupe</v>
      </c>
    </row>
    <row r="195" spans="1:9">
      <c r="A195" s="2">
        <v>194</v>
      </c>
      <c r="B195" s="2" t="s">
        <v>76</v>
      </c>
      <c r="C195" s="2" t="s">
        <v>16</v>
      </c>
      <c r="D195" s="2">
        <v>44</v>
      </c>
      <c r="E195" s="3">
        <v>80258</v>
      </c>
      <c r="F195" s="2" t="s">
        <v>17</v>
      </c>
      <c r="G195" s="2" t="s">
        <v>10</v>
      </c>
      <c r="H195" t="str">
        <f t="shared" ref="H195:H258" si="6">LEFT(B195,FIND(",",B195)-1)</f>
        <v>Toyota</v>
      </c>
      <c r="I195" t="str">
        <f t="shared" ref="I195:I258" si="7">TRIM(MID(B195,FIND(",",B195)+1,LEN(B195)))</f>
        <v>Minivan</v>
      </c>
    </row>
    <row r="196" spans="1:9">
      <c r="A196" s="2">
        <v>195</v>
      </c>
      <c r="B196" s="2" t="s">
        <v>90</v>
      </c>
      <c r="C196" s="2" t="s">
        <v>8</v>
      </c>
      <c r="D196" s="2">
        <v>7</v>
      </c>
      <c r="E196" s="3">
        <v>98948</v>
      </c>
      <c r="F196" s="2" t="s">
        <v>28</v>
      </c>
      <c r="G196" s="2" t="s">
        <v>10</v>
      </c>
      <c r="H196" t="str">
        <f t="shared" si="6"/>
        <v>Volkswagen</v>
      </c>
      <c r="I196" t="str">
        <f t="shared" si="7"/>
        <v>Truck</v>
      </c>
    </row>
    <row r="197" spans="1:9">
      <c r="A197" s="2">
        <v>196</v>
      </c>
      <c r="B197" s="2" t="s">
        <v>39</v>
      </c>
      <c r="C197" s="2" t="s">
        <v>16</v>
      </c>
      <c r="D197" s="2">
        <v>9</v>
      </c>
      <c r="E197" s="3">
        <v>49380</v>
      </c>
      <c r="F197" s="2" t="s">
        <v>25</v>
      </c>
      <c r="G197" s="2" t="s">
        <v>29</v>
      </c>
      <c r="H197" t="str">
        <f t="shared" si="6"/>
        <v>Nissan</v>
      </c>
      <c r="I197" t="str">
        <f t="shared" si="7"/>
        <v>Minivan</v>
      </c>
    </row>
    <row r="198" spans="1:9">
      <c r="A198" s="2">
        <v>197</v>
      </c>
      <c r="B198" s="2" t="s">
        <v>19</v>
      </c>
      <c r="C198" s="2" t="s">
        <v>22</v>
      </c>
      <c r="D198" s="2">
        <v>49</v>
      </c>
      <c r="E198" s="3">
        <v>96080</v>
      </c>
      <c r="F198" s="2" t="s">
        <v>28</v>
      </c>
      <c r="G198" s="2" t="s">
        <v>26</v>
      </c>
      <c r="H198" t="str">
        <f t="shared" si="6"/>
        <v>Tesla</v>
      </c>
      <c r="I198" t="str">
        <f t="shared" si="7"/>
        <v>Minivan</v>
      </c>
    </row>
    <row r="199" spans="1:9">
      <c r="A199" s="2">
        <v>198</v>
      </c>
      <c r="B199" s="2" t="s">
        <v>33</v>
      </c>
      <c r="C199" s="2" t="s">
        <v>16</v>
      </c>
      <c r="D199" s="2">
        <v>27</v>
      </c>
      <c r="E199" s="3">
        <v>61805</v>
      </c>
      <c r="F199" s="2" t="s">
        <v>32</v>
      </c>
      <c r="G199" s="2" t="s">
        <v>23</v>
      </c>
      <c r="H199" t="str">
        <f t="shared" si="6"/>
        <v>Volkswagen</v>
      </c>
      <c r="I199" t="str">
        <f t="shared" si="7"/>
        <v>SUV</v>
      </c>
    </row>
    <row r="200" spans="1:9">
      <c r="A200" s="2">
        <v>199</v>
      </c>
      <c r="B200" s="2" t="s">
        <v>21</v>
      </c>
      <c r="C200" s="2" t="s">
        <v>16</v>
      </c>
      <c r="D200" s="2">
        <v>4</v>
      </c>
      <c r="E200" s="3">
        <v>57181</v>
      </c>
      <c r="F200" s="2" t="s">
        <v>28</v>
      </c>
      <c r="G200" s="2" t="s">
        <v>23</v>
      </c>
      <c r="H200" t="str">
        <f t="shared" si="6"/>
        <v>Tesla</v>
      </c>
      <c r="I200" t="str">
        <f t="shared" si="7"/>
        <v>Convertible</v>
      </c>
    </row>
    <row r="201" spans="1:9">
      <c r="A201" s="2">
        <v>200</v>
      </c>
      <c r="B201" s="2" t="s">
        <v>76</v>
      </c>
      <c r="C201" s="2" t="s">
        <v>16</v>
      </c>
      <c r="D201" s="2">
        <v>18</v>
      </c>
      <c r="E201" s="3">
        <v>94661</v>
      </c>
      <c r="F201" s="2" t="s">
        <v>9</v>
      </c>
      <c r="G201" s="2" t="s">
        <v>26</v>
      </c>
      <c r="H201" t="str">
        <f t="shared" si="6"/>
        <v>Toyota</v>
      </c>
      <c r="I201" t="str">
        <f t="shared" si="7"/>
        <v>Minivan</v>
      </c>
    </row>
    <row r="202" spans="1:9">
      <c r="A202" s="2">
        <v>201</v>
      </c>
      <c r="B202" s="2" t="s">
        <v>7</v>
      </c>
      <c r="C202" s="2" t="s">
        <v>12</v>
      </c>
      <c r="D202" s="2">
        <v>42</v>
      </c>
      <c r="E202" s="3">
        <v>57117</v>
      </c>
      <c r="F202" s="2" t="s">
        <v>17</v>
      </c>
      <c r="G202" s="2" t="s">
        <v>26</v>
      </c>
      <c r="H202" t="str">
        <f t="shared" si="6"/>
        <v>Ford</v>
      </c>
      <c r="I202" t="str">
        <f t="shared" si="7"/>
        <v>Truck</v>
      </c>
    </row>
    <row r="203" spans="1:9">
      <c r="A203" s="2">
        <v>202</v>
      </c>
      <c r="B203" s="2" t="s">
        <v>45</v>
      </c>
      <c r="C203" s="2" t="s">
        <v>22</v>
      </c>
      <c r="D203" s="2">
        <v>9</v>
      </c>
      <c r="E203" s="3">
        <v>92239</v>
      </c>
      <c r="F203" s="2" t="s">
        <v>17</v>
      </c>
      <c r="G203" s="2" t="s">
        <v>26</v>
      </c>
      <c r="H203" t="str">
        <f t="shared" si="6"/>
        <v>Toyota</v>
      </c>
      <c r="I203" t="str">
        <f t="shared" si="7"/>
        <v>SUV</v>
      </c>
    </row>
    <row r="204" spans="1:9">
      <c r="A204" s="2">
        <v>203</v>
      </c>
      <c r="B204" s="2" t="s">
        <v>42</v>
      </c>
      <c r="C204" s="2" t="s">
        <v>8</v>
      </c>
      <c r="D204" s="2">
        <v>45</v>
      </c>
      <c r="E204" s="3">
        <v>99016</v>
      </c>
      <c r="F204" s="2" t="s">
        <v>25</v>
      </c>
      <c r="G204" s="2" t="s">
        <v>10</v>
      </c>
      <c r="H204" t="str">
        <f t="shared" si="6"/>
        <v>Tesla</v>
      </c>
      <c r="I204" t="str">
        <f t="shared" si="7"/>
        <v>Hatchback</v>
      </c>
    </row>
    <row r="205" spans="1:9">
      <c r="A205" s="2">
        <v>204</v>
      </c>
      <c r="B205" s="2" t="s">
        <v>58</v>
      </c>
      <c r="C205" s="2" t="s">
        <v>8</v>
      </c>
      <c r="D205" s="2">
        <v>9</v>
      </c>
      <c r="E205" s="3">
        <v>98275</v>
      </c>
      <c r="F205" s="2" t="s">
        <v>9</v>
      </c>
      <c r="G205" s="2" t="s">
        <v>23</v>
      </c>
      <c r="H205" t="str">
        <f t="shared" si="6"/>
        <v>Ford</v>
      </c>
      <c r="I205" t="str">
        <f t="shared" si="7"/>
        <v>SUV</v>
      </c>
    </row>
    <row r="206" spans="1:9">
      <c r="A206" s="2">
        <v>205</v>
      </c>
      <c r="B206" s="2" t="s">
        <v>35</v>
      </c>
      <c r="C206" s="2" t="s">
        <v>12</v>
      </c>
      <c r="D206" s="2">
        <v>16</v>
      </c>
      <c r="E206" s="3">
        <v>87305</v>
      </c>
      <c r="F206" s="2" t="s">
        <v>13</v>
      </c>
      <c r="G206" s="2" t="s">
        <v>18</v>
      </c>
      <c r="H206" t="str">
        <f t="shared" si="6"/>
        <v>Toyota</v>
      </c>
      <c r="I206" t="str">
        <f t="shared" si="7"/>
        <v>Convertible</v>
      </c>
    </row>
    <row r="207" spans="1:9">
      <c r="A207" s="2">
        <v>206</v>
      </c>
      <c r="B207" s="2" t="s">
        <v>69</v>
      </c>
      <c r="C207" s="2" t="s">
        <v>16</v>
      </c>
      <c r="D207" s="2">
        <v>10</v>
      </c>
      <c r="E207" s="3">
        <v>54003</v>
      </c>
      <c r="F207" s="2" t="s">
        <v>32</v>
      </c>
      <c r="G207" s="2" t="s">
        <v>18</v>
      </c>
      <c r="H207" t="str">
        <f t="shared" si="6"/>
        <v>BMW</v>
      </c>
      <c r="I207" t="str">
        <f t="shared" si="7"/>
        <v>Truck</v>
      </c>
    </row>
    <row r="208" spans="1:9">
      <c r="A208" s="2">
        <v>207</v>
      </c>
      <c r="B208" s="2" t="s">
        <v>27</v>
      </c>
      <c r="C208" s="2" t="s">
        <v>22</v>
      </c>
      <c r="D208" s="2">
        <v>46</v>
      </c>
      <c r="E208" s="3">
        <v>75129</v>
      </c>
      <c r="F208" s="2" t="s">
        <v>13</v>
      </c>
      <c r="G208" s="2" t="s">
        <v>18</v>
      </c>
      <c r="H208" t="str">
        <f t="shared" si="6"/>
        <v>Ford</v>
      </c>
      <c r="I208" t="str">
        <f t="shared" si="7"/>
        <v>Hatchback</v>
      </c>
    </row>
    <row r="209" spans="1:9">
      <c r="A209" s="2">
        <v>208</v>
      </c>
      <c r="B209" s="2" t="s">
        <v>39</v>
      </c>
      <c r="C209" s="2" t="s">
        <v>22</v>
      </c>
      <c r="D209" s="2">
        <v>21</v>
      </c>
      <c r="E209" s="3">
        <v>67432</v>
      </c>
      <c r="F209" s="2" t="s">
        <v>17</v>
      </c>
      <c r="G209" s="2" t="s">
        <v>29</v>
      </c>
      <c r="H209" t="str">
        <f t="shared" si="6"/>
        <v>Nissan</v>
      </c>
      <c r="I209" t="str">
        <f t="shared" si="7"/>
        <v>Minivan</v>
      </c>
    </row>
    <row r="210" spans="1:9">
      <c r="A210" s="2">
        <v>209</v>
      </c>
      <c r="B210" s="2" t="s">
        <v>42</v>
      </c>
      <c r="C210" s="2" t="s">
        <v>8</v>
      </c>
      <c r="D210" s="2">
        <v>16</v>
      </c>
      <c r="E210" s="3">
        <v>89967</v>
      </c>
      <c r="F210" s="2" t="s">
        <v>17</v>
      </c>
      <c r="G210" s="2" t="s">
        <v>26</v>
      </c>
      <c r="H210" t="str">
        <f t="shared" si="6"/>
        <v>Tesla</v>
      </c>
      <c r="I210" t="str">
        <f t="shared" si="7"/>
        <v>Hatchback</v>
      </c>
    </row>
    <row r="211" spans="1:9">
      <c r="A211" s="2">
        <v>210</v>
      </c>
      <c r="B211" s="2" t="s">
        <v>62</v>
      </c>
      <c r="C211" s="2" t="s">
        <v>12</v>
      </c>
      <c r="D211" s="2">
        <v>49</v>
      </c>
      <c r="E211" s="3">
        <v>67295</v>
      </c>
      <c r="F211" s="2" t="s">
        <v>13</v>
      </c>
      <c r="G211" s="2" t="s">
        <v>26</v>
      </c>
      <c r="H211" t="str">
        <f t="shared" si="6"/>
        <v>Chevrolet</v>
      </c>
      <c r="I211" t="str">
        <f t="shared" si="7"/>
        <v>Minivan</v>
      </c>
    </row>
    <row r="212" spans="1:9">
      <c r="A212" s="2">
        <v>211</v>
      </c>
      <c r="B212" s="2" t="s">
        <v>78</v>
      </c>
      <c r="C212" s="2" t="s">
        <v>12</v>
      </c>
      <c r="D212" s="2">
        <v>44</v>
      </c>
      <c r="E212" s="3">
        <v>85230</v>
      </c>
      <c r="F212" s="2" t="s">
        <v>28</v>
      </c>
      <c r="G212" s="2" t="s">
        <v>23</v>
      </c>
      <c r="H212" t="str">
        <f t="shared" si="6"/>
        <v>Hyundai</v>
      </c>
      <c r="I212" t="str">
        <f t="shared" si="7"/>
        <v>Hatchback</v>
      </c>
    </row>
    <row r="213" spans="1:9">
      <c r="A213" s="2">
        <v>212</v>
      </c>
      <c r="B213" s="2" t="s">
        <v>42</v>
      </c>
      <c r="C213" s="2" t="s">
        <v>12</v>
      </c>
      <c r="D213" s="2">
        <v>26</v>
      </c>
      <c r="E213" s="3">
        <v>77228</v>
      </c>
      <c r="F213" s="2" t="s">
        <v>9</v>
      </c>
      <c r="G213" s="2" t="s">
        <v>14</v>
      </c>
      <c r="H213" t="str">
        <f t="shared" si="6"/>
        <v>Tesla</v>
      </c>
      <c r="I213" t="str">
        <f t="shared" si="7"/>
        <v>Hatchback</v>
      </c>
    </row>
    <row r="214" spans="1:9">
      <c r="A214" s="2">
        <v>213</v>
      </c>
      <c r="B214" s="2" t="s">
        <v>39</v>
      </c>
      <c r="C214" s="2" t="s">
        <v>12</v>
      </c>
      <c r="D214" s="2">
        <v>32</v>
      </c>
      <c r="E214" s="3">
        <v>43097</v>
      </c>
      <c r="F214" s="2" t="s">
        <v>25</v>
      </c>
      <c r="G214" s="2" t="s">
        <v>10</v>
      </c>
      <c r="H214" t="str">
        <f t="shared" si="6"/>
        <v>Nissan</v>
      </c>
      <c r="I214" t="str">
        <f t="shared" si="7"/>
        <v>Minivan</v>
      </c>
    </row>
    <row r="215" spans="1:9">
      <c r="A215" s="2">
        <v>214</v>
      </c>
      <c r="B215" s="2" t="s">
        <v>91</v>
      </c>
      <c r="C215" s="2" t="s">
        <v>22</v>
      </c>
      <c r="D215" s="2">
        <v>10</v>
      </c>
      <c r="E215" s="3">
        <v>45479</v>
      </c>
      <c r="F215" s="2" t="s">
        <v>25</v>
      </c>
      <c r="G215" s="2" t="s">
        <v>23</v>
      </c>
      <c r="H215" t="str">
        <f t="shared" si="6"/>
        <v>Honda</v>
      </c>
      <c r="I215" t="str">
        <f t="shared" si="7"/>
        <v>SUV</v>
      </c>
    </row>
    <row r="216" spans="1:9">
      <c r="A216" s="2">
        <v>215</v>
      </c>
      <c r="B216" s="2" t="s">
        <v>93</v>
      </c>
      <c r="C216" s="2" t="s">
        <v>16</v>
      </c>
      <c r="D216" s="2">
        <v>37</v>
      </c>
      <c r="E216" s="3">
        <v>55706</v>
      </c>
      <c r="F216" s="2" t="s">
        <v>32</v>
      </c>
      <c r="G216" s="2" t="s">
        <v>29</v>
      </c>
      <c r="H216" t="str">
        <f t="shared" si="6"/>
        <v>Volkswagen</v>
      </c>
      <c r="I216" t="str">
        <f t="shared" si="7"/>
        <v>Hatchback</v>
      </c>
    </row>
    <row r="217" spans="1:9">
      <c r="A217" s="2">
        <v>216</v>
      </c>
      <c r="B217" s="2" t="s">
        <v>63</v>
      </c>
      <c r="C217" s="2" t="s">
        <v>8</v>
      </c>
      <c r="D217" s="2">
        <v>41</v>
      </c>
      <c r="E217" s="3">
        <v>68832</v>
      </c>
      <c r="F217" s="2" t="s">
        <v>20</v>
      </c>
      <c r="G217" s="2" t="s">
        <v>14</v>
      </c>
      <c r="H217" t="str">
        <f t="shared" si="6"/>
        <v>Volkswagen</v>
      </c>
      <c r="I217" t="str">
        <f t="shared" si="7"/>
        <v>Sedan</v>
      </c>
    </row>
    <row r="218" spans="1:9">
      <c r="A218" s="2">
        <v>217</v>
      </c>
      <c r="B218" s="2" t="s">
        <v>78</v>
      </c>
      <c r="C218" s="2" t="s">
        <v>22</v>
      </c>
      <c r="D218" s="2">
        <v>18</v>
      </c>
      <c r="E218" s="3">
        <v>52662</v>
      </c>
      <c r="F218" s="2" t="s">
        <v>28</v>
      </c>
      <c r="G218" s="2" t="s">
        <v>26</v>
      </c>
      <c r="H218" t="str">
        <f t="shared" si="6"/>
        <v>Hyundai</v>
      </c>
      <c r="I218" t="str">
        <f t="shared" si="7"/>
        <v>Hatchback</v>
      </c>
    </row>
    <row r="219" spans="1:9">
      <c r="A219" s="2">
        <v>218</v>
      </c>
      <c r="B219" s="2" t="s">
        <v>42</v>
      </c>
      <c r="C219" s="2" t="s">
        <v>12</v>
      </c>
      <c r="D219" s="2">
        <v>41</v>
      </c>
      <c r="E219" s="3">
        <v>73970</v>
      </c>
      <c r="F219" s="2" t="s">
        <v>32</v>
      </c>
      <c r="G219" s="2" t="s">
        <v>10</v>
      </c>
      <c r="H219" t="str">
        <f t="shared" si="6"/>
        <v>Tesla</v>
      </c>
      <c r="I219" t="str">
        <f t="shared" si="7"/>
        <v>Hatchback</v>
      </c>
    </row>
    <row r="220" spans="1:9">
      <c r="A220" s="2">
        <v>219</v>
      </c>
      <c r="B220" s="2" t="s">
        <v>94</v>
      </c>
      <c r="C220" s="2" t="s">
        <v>12</v>
      </c>
      <c r="D220" s="2">
        <v>27</v>
      </c>
      <c r="E220" s="3">
        <v>72256</v>
      </c>
      <c r="F220" s="2" t="s">
        <v>13</v>
      </c>
      <c r="G220" s="2" t="s">
        <v>14</v>
      </c>
      <c r="H220" t="str">
        <f t="shared" si="6"/>
        <v>Hyundai</v>
      </c>
      <c r="I220" t="str">
        <f t="shared" si="7"/>
        <v>Sedan</v>
      </c>
    </row>
    <row r="221" spans="1:9">
      <c r="A221" s="2">
        <v>220</v>
      </c>
      <c r="B221" s="2" t="s">
        <v>79</v>
      </c>
      <c r="C221" s="2" t="s">
        <v>8</v>
      </c>
      <c r="D221" s="2">
        <v>25</v>
      </c>
      <c r="E221" s="3">
        <v>33476</v>
      </c>
      <c r="F221" s="2" t="s">
        <v>13</v>
      </c>
      <c r="G221" s="2" t="s">
        <v>10</v>
      </c>
      <c r="H221" t="str">
        <f t="shared" si="6"/>
        <v>Audi</v>
      </c>
      <c r="I221" t="str">
        <f t="shared" si="7"/>
        <v>Truck</v>
      </c>
    </row>
    <row r="222" spans="1:9">
      <c r="A222" s="2">
        <v>221</v>
      </c>
      <c r="B222" s="2" t="s">
        <v>19</v>
      </c>
      <c r="C222" s="2" t="s">
        <v>16</v>
      </c>
      <c r="D222" s="2">
        <v>29</v>
      </c>
      <c r="E222" s="3">
        <v>46064</v>
      </c>
      <c r="F222" s="2" t="s">
        <v>32</v>
      </c>
      <c r="G222" s="2" t="s">
        <v>18</v>
      </c>
      <c r="H222" t="str">
        <f t="shared" si="6"/>
        <v>Tesla</v>
      </c>
      <c r="I222" t="str">
        <f t="shared" si="7"/>
        <v>Minivan</v>
      </c>
    </row>
    <row r="223" spans="1:9">
      <c r="A223" s="2">
        <v>222</v>
      </c>
      <c r="B223" s="2" t="s">
        <v>51</v>
      </c>
      <c r="C223" s="2" t="s">
        <v>16</v>
      </c>
      <c r="D223" s="2">
        <v>5</v>
      </c>
      <c r="E223" s="3">
        <v>98433</v>
      </c>
      <c r="F223" s="2" t="s">
        <v>25</v>
      </c>
      <c r="G223" s="2" t="s">
        <v>26</v>
      </c>
      <c r="H223" t="str">
        <f t="shared" si="6"/>
        <v>Ford</v>
      </c>
      <c r="I223" t="str">
        <f t="shared" si="7"/>
        <v>Coupe</v>
      </c>
    </row>
    <row r="224" spans="1:9">
      <c r="A224" s="2">
        <v>223</v>
      </c>
      <c r="B224" s="2" t="s">
        <v>65</v>
      </c>
      <c r="C224" s="2" t="s">
        <v>16</v>
      </c>
      <c r="D224" s="2">
        <v>41</v>
      </c>
      <c r="E224" s="3">
        <v>29662</v>
      </c>
      <c r="F224" s="2" t="s">
        <v>25</v>
      </c>
      <c r="G224" s="2" t="s">
        <v>26</v>
      </c>
      <c r="H224" t="str">
        <f t="shared" si="6"/>
        <v>Ford</v>
      </c>
      <c r="I224" t="str">
        <f t="shared" si="7"/>
        <v>Sedan</v>
      </c>
    </row>
    <row r="225" spans="1:9">
      <c r="A225" s="2">
        <v>224</v>
      </c>
      <c r="B225" s="2" t="s">
        <v>59</v>
      </c>
      <c r="C225" s="2" t="s">
        <v>12</v>
      </c>
      <c r="D225" s="2">
        <v>50</v>
      </c>
      <c r="E225" s="3">
        <v>90387</v>
      </c>
      <c r="F225" s="2" t="s">
        <v>9</v>
      </c>
      <c r="G225" s="2" t="s">
        <v>26</v>
      </c>
      <c r="H225" t="str">
        <f t="shared" si="6"/>
        <v>Audi</v>
      </c>
      <c r="I225" t="str">
        <f t="shared" si="7"/>
        <v>Convertible</v>
      </c>
    </row>
    <row r="226" spans="1:9">
      <c r="A226" s="2">
        <v>225</v>
      </c>
      <c r="B226" s="2" t="s">
        <v>69</v>
      </c>
      <c r="C226" s="2" t="s">
        <v>22</v>
      </c>
      <c r="D226" s="2">
        <v>6</v>
      </c>
      <c r="E226" s="3">
        <v>26501</v>
      </c>
      <c r="F226" s="2" t="s">
        <v>38</v>
      </c>
      <c r="G226" s="2" t="s">
        <v>10</v>
      </c>
      <c r="H226" t="str">
        <f t="shared" si="6"/>
        <v>BMW</v>
      </c>
      <c r="I226" t="str">
        <f t="shared" si="7"/>
        <v>Truck</v>
      </c>
    </row>
    <row r="227" spans="1:9">
      <c r="A227" s="2">
        <v>226</v>
      </c>
      <c r="B227" s="2" t="s">
        <v>74</v>
      </c>
      <c r="C227" s="2" t="s">
        <v>22</v>
      </c>
      <c r="D227" s="2">
        <v>26</v>
      </c>
      <c r="E227" s="3">
        <v>48383</v>
      </c>
      <c r="F227" s="2" t="s">
        <v>25</v>
      </c>
      <c r="G227" s="2" t="s">
        <v>10</v>
      </c>
      <c r="H227" t="str">
        <f t="shared" si="6"/>
        <v>Audi</v>
      </c>
      <c r="I227" t="str">
        <f t="shared" si="7"/>
        <v>Hatchback</v>
      </c>
    </row>
    <row r="228" spans="1:9">
      <c r="A228" s="2">
        <v>227</v>
      </c>
      <c r="B228" s="2" t="s">
        <v>41</v>
      </c>
      <c r="C228" s="2" t="s">
        <v>16</v>
      </c>
      <c r="D228" s="2">
        <v>33</v>
      </c>
      <c r="E228" s="3">
        <v>52838</v>
      </c>
      <c r="F228" s="2" t="s">
        <v>13</v>
      </c>
      <c r="G228" s="2" t="s">
        <v>29</v>
      </c>
      <c r="H228" t="str">
        <f t="shared" si="6"/>
        <v>Audi</v>
      </c>
      <c r="I228" t="str">
        <f t="shared" si="7"/>
        <v>SUV</v>
      </c>
    </row>
    <row r="229" spans="1:9">
      <c r="A229" s="2">
        <v>228</v>
      </c>
      <c r="B229" s="2" t="s">
        <v>94</v>
      </c>
      <c r="C229" s="2" t="s">
        <v>8</v>
      </c>
      <c r="D229" s="2">
        <v>48</v>
      </c>
      <c r="E229" s="3">
        <v>57828</v>
      </c>
      <c r="F229" s="2" t="s">
        <v>9</v>
      </c>
      <c r="G229" s="2" t="s">
        <v>29</v>
      </c>
      <c r="H229" t="str">
        <f t="shared" si="6"/>
        <v>Hyundai</v>
      </c>
      <c r="I229" t="str">
        <f t="shared" si="7"/>
        <v>Sedan</v>
      </c>
    </row>
    <row r="230" spans="1:9">
      <c r="A230" s="2">
        <v>229</v>
      </c>
      <c r="B230" s="2" t="s">
        <v>89</v>
      </c>
      <c r="C230" s="2" t="s">
        <v>16</v>
      </c>
      <c r="D230" s="2">
        <v>18</v>
      </c>
      <c r="E230" s="3">
        <v>25084</v>
      </c>
      <c r="F230" s="2" t="s">
        <v>25</v>
      </c>
      <c r="G230" s="2" t="s">
        <v>29</v>
      </c>
      <c r="H230" t="str">
        <f t="shared" si="6"/>
        <v>Toyota</v>
      </c>
      <c r="I230" t="str">
        <f t="shared" si="7"/>
        <v>Truck</v>
      </c>
    </row>
    <row r="231" spans="1:9">
      <c r="A231" s="2">
        <v>230</v>
      </c>
      <c r="B231" s="2" t="s">
        <v>7</v>
      </c>
      <c r="C231" s="2" t="s">
        <v>16</v>
      </c>
      <c r="D231" s="2">
        <v>45</v>
      </c>
      <c r="E231" s="3">
        <v>68863</v>
      </c>
      <c r="F231" s="2" t="s">
        <v>17</v>
      </c>
      <c r="G231" s="2" t="s">
        <v>23</v>
      </c>
      <c r="H231" t="str">
        <f t="shared" si="6"/>
        <v>Ford</v>
      </c>
      <c r="I231" t="str">
        <f t="shared" si="7"/>
        <v>Truck</v>
      </c>
    </row>
    <row r="232" spans="1:9">
      <c r="A232" s="2">
        <v>231</v>
      </c>
      <c r="B232" s="2" t="s">
        <v>11</v>
      </c>
      <c r="C232" s="2" t="s">
        <v>8</v>
      </c>
      <c r="D232" s="2">
        <v>24</v>
      </c>
      <c r="E232" s="3">
        <v>50227</v>
      </c>
      <c r="F232" s="2" t="s">
        <v>9</v>
      </c>
      <c r="G232" s="2" t="s">
        <v>18</v>
      </c>
      <c r="H232" t="str">
        <f t="shared" si="6"/>
        <v>Toyota</v>
      </c>
      <c r="I232" t="str">
        <f t="shared" si="7"/>
        <v>Hatchback</v>
      </c>
    </row>
    <row r="233" spans="1:9">
      <c r="A233" s="2">
        <v>232</v>
      </c>
      <c r="B233" s="2" t="s">
        <v>34</v>
      </c>
      <c r="C233" s="2" t="s">
        <v>16</v>
      </c>
      <c r="D233" s="2">
        <v>30</v>
      </c>
      <c r="E233" s="3">
        <v>82825</v>
      </c>
      <c r="F233" s="2" t="s">
        <v>28</v>
      </c>
      <c r="G233" s="2" t="s">
        <v>18</v>
      </c>
      <c r="H233" t="str">
        <f t="shared" si="6"/>
        <v>Audi</v>
      </c>
      <c r="I233" t="str">
        <f t="shared" si="7"/>
        <v>Coupe</v>
      </c>
    </row>
    <row r="234" spans="1:9">
      <c r="A234" s="2">
        <v>233</v>
      </c>
      <c r="B234" s="2" t="s">
        <v>77</v>
      </c>
      <c r="C234" s="2" t="s">
        <v>8</v>
      </c>
      <c r="D234" s="2">
        <v>32</v>
      </c>
      <c r="E234" s="3">
        <v>38080</v>
      </c>
      <c r="F234" s="2" t="s">
        <v>28</v>
      </c>
      <c r="G234" s="2" t="s">
        <v>10</v>
      </c>
      <c r="H234" t="str">
        <f t="shared" si="6"/>
        <v>BMW</v>
      </c>
      <c r="I234" t="str">
        <f t="shared" si="7"/>
        <v>SUV</v>
      </c>
    </row>
    <row r="235" spans="1:9">
      <c r="A235" s="2">
        <v>234</v>
      </c>
      <c r="B235" s="2" t="s">
        <v>58</v>
      </c>
      <c r="C235" s="2" t="s">
        <v>8</v>
      </c>
      <c r="D235" s="2">
        <v>21</v>
      </c>
      <c r="E235" s="3">
        <v>42649</v>
      </c>
      <c r="F235" s="2" t="s">
        <v>38</v>
      </c>
      <c r="G235" s="2" t="s">
        <v>29</v>
      </c>
      <c r="H235" t="str">
        <f t="shared" si="6"/>
        <v>Ford</v>
      </c>
      <c r="I235" t="str">
        <f t="shared" si="7"/>
        <v>SUV</v>
      </c>
    </row>
    <row r="236" spans="1:9">
      <c r="A236" s="2">
        <v>235</v>
      </c>
      <c r="B236" s="2" t="s">
        <v>66</v>
      </c>
      <c r="C236" s="2" t="s">
        <v>22</v>
      </c>
      <c r="D236" s="2">
        <v>38</v>
      </c>
      <c r="E236" s="3">
        <v>56502</v>
      </c>
      <c r="F236" s="2" t="s">
        <v>13</v>
      </c>
      <c r="G236" s="2" t="s">
        <v>26</v>
      </c>
      <c r="H236" t="str">
        <f t="shared" si="6"/>
        <v>Tesla</v>
      </c>
      <c r="I236" t="str">
        <f t="shared" si="7"/>
        <v>SUV</v>
      </c>
    </row>
    <row r="237" spans="1:9">
      <c r="A237" s="2">
        <v>236</v>
      </c>
      <c r="B237" s="2" t="s">
        <v>19</v>
      </c>
      <c r="C237" s="2" t="s">
        <v>8</v>
      </c>
      <c r="D237" s="2">
        <v>1</v>
      </c>
      <c r="E237" s="3">
        <v>78599</v>
      </c>
      <c r="F237" s="2" t="s">
        <v>20</v>
      </c>
      <c r="G237" s="2" t="s">
        <v>26</v>
      </c>
      <c r="H237" t="str">
        <f t="shared" si="6"/>
        <v>Tesla</v>
      </c>
      <c r="I237" t="str">
        <f t="shared" si="7"/>
        <v>Minivan</v>
      </c>
    </row>
    <row r="238" spans="1:9">
      <c r="A238" s="2">
        <v>237</v>
      </c>
      <c r="B238" s="2" t="s">
        <v>21</v>
      </c>
      <c r="C238" s="2" t="s">
        <v>16</v>
      </c>
      <c r="D238" s="2">
        <v>50</v>
      </c>
      <c r="E238" s="3">
        <v>27824</v>
      </c>
      <c r="F238" s="2" t="s">
        <v>25</v>
      </c>
      <c r="G238" s="2" t="s">
        <v>18</v>
      </c>
      <c r="H238" t="str">
        <f t="shared" si="6"/>
        <v>Tesla</v>
      </c>
      <c r="I238" t="str">
        <f t="shared" si="7"/>
        <v>Convertible</v>
      </c>
    </row>
    <row r="239" spans="1:9">
      <c r="A239" s="2">
        <v>238</v>
      </c>
      <c r="B239" s="2" t="s">
        <v>61</v>
      </c>
      <c r="C239" s="2" t="s">
        <v>8</v>
      </c>
      <c r="D239" s="2">
        <v>47</v>
      </c>
      <c r="E239" s="3">
        <v>25018</v>
      </c>
      <c r="F239" s="2" t="s">
        <v>38</v>
      </c>
      <c r="G239" s="2" t="s">
        <v>18</v>
      </c>
      <c r="H239" t="str">
        <f t="shared" si="6"/>
        <v>Nissan</v>
      </c>
      <c r="I239" t="str">
        <f t="shared" si="7"/>
        <v>Truck</v>
      </c>
    </row>
    <row r="240" spans="1:9">
      <c r="A240" s="2">
        <v>239</v>
      </c>
      <c r="B240" s="2" t="s">
        <v>88</v>
      </c>
      <c r="C240" s="2" t="s">
        <v>16</v>
      </c>
      <c r="D240" s="2">
        <v>6</v>
      </c>
      <c r="E240" s="3">
        <v>90932</v>
      </c>
      <c r="F240" s="2" t="s">
        <v>32</v>
      </c>
      <c r="G240" s="2" t="s">
        <v>10</v>
      </c>
      <c r="H240" t="str">
        <f t="shared" si="6"/>
        <v>Hyundai</v>
      </c>
      <c r="I240" t="str">
        <f t="shared" si="7"/>
        <v>Convertible</v>
      </c>
    </row>
    <row r="241" spans="1:9">
      <c r="A241" s="2">
        <v>240</v>
      </c>
      <c r="B241" s="2" t="s">
        <v>24</v>
      </c>
      <c r="C241" s="2" t="s">
        <v>8</v>
      </c>
      <c r="D241" s="2">
        <v>47</v>
      </c>
      <c r="E241" s="3">
        <v>32893</v>
      </c>
      <c r="F241" s="2" t="s">
        <v>28</v>
      </c>
      <c r="G241" s="2" t="s">
        <v>10</v>
      </c>
      <c r="H241" t="str">
        <f t="shared" si="6"/>
        <v>Honda</v>
      </c>
      <c r="I241" t="str">
        <f t="shared" si="7"/>
        <v>Convertible</v>
      </c>
    </row>
    <row r="242" spans="1:9">
      <c r="A242" s="2">
        <v>241</v>
      </c>
      <c r="B242" s="2" t="s">
        <v>79</v>
      </c>
      <c r="C242" s="2" t="s">
        <v>22</v>
      </c>
      <c r="D242" s="2">
        <v>30</v>
      </c>
      <c r="E242" s="3">
        <v>38839</v>
      </c>
      <c r="F242" s="2" t="s">
        <v>9</v>
      </c>
      <c r="G242" s="2" t="s">
        <v>14</v>
      </c>
      <c r="H242" t="str">
        <f t="shared" si="6"/>
        <v>Audi</v>
      </c>
      <c r="I242" t="str">
        <f t="shared" si="7"/>
        <v>Truck</v>
      </c>
    </row>
    <row r="243" spans="1:9">
      <c r="A243" s="2">
        <v>242</v>
      </c>
      <c r="B243" s="2" t="s">
        <v>46</v>
      </c>
      <c r="C243" s="2" t="s">
        <v>16</v>
      </c>
      <c r="D243" s="2">
        <v>41</v>
      </c>
      <c r="E243" s="3">
        <v>92963</v>
      </c>
      <c r="F243" s="2" t="s">
        <v>20</v>
      </c>
      <c r="G243" s="2" t="s">
        <v>14</v>
      </c>
      <c r="H243" t="str">
        <f t="shared" si="6"/>
        <v>Honda</v>
      </c>
      <c r="I243" t="str">
        <f t="shared" si="7"/>
        <v>Minivan</v>
      </c>
    </row>
    <row r="244" spans="1:9">
      <c r="A244" s="2">
        <v>243</v>
      </c>
      <c r="B244" s="2" t="s">
        <v>86</v>
      </c>
      <c r="C244" s="2" t="s">
        <v>16</v>
      </c>
      <c r="D244" s="2">
        <v>43</v>
      </c>
      <c r="E244" s="3">
        <v>34485</v>
      </c>
      <c r="F244" s="2" t="s">
        <v>9</v>
      </c>
      <c r="G244" s="2" t="s">
        <v>10</v>
      </c>
      <c r="H244" t="str">
        <f t="shared" si="6"/>
        <v>Chevrolet</v>
      </c>
      <c r="I244" t="str">
        <f t="shared" si="7"/>
        <v>SUV</v>
      </c>
    </row>
    <row r="245" spans="1:9">
      <c r="A245" s="2">
        <v>244</v>
      </c>
      <c r="B245" s="2" t="s">
        <v>84</v>
      </c>
      <c r="C245" s="2" t="s">
        <v>16</v>
      </c>
      <c r="D245" s="2">
        <v>45</v>
      </c>
      <c r="E245" s="3">
        <v>88620</v>
      </c>
      <c r="F245" s="2" t="s">
        <v>17</v>
      </c>
      <c r="G245" s="2" t="s">
        <v>14</v>
      </c>
      <c r="H245" t="str">
        <f t="shared" si="6"/>
        <v>Hyundai</v>
      </c>
      <c r="I245" t="str">
        <f t="shared" si="7"/>
        <v>Truck</v>
      </c>
    </row>
    <row r="246" spans="1:9">
      <c r="A246" s="2">
        <v>245</v>
      </c>
      <c r="B246" s="2" t="s">
        <v>19</v>
      </c>
      <c r="C246" s="2" t="s">
        <v>8</v>
      </c>
      <c r="D246" s="2">
        <v>23</v>
      </c>
      <c r="E246" s="3">
        <v>42104</v>
      </c>
      <c r="F246" s="2" t="s">
        <v>28</v>
      </c>
      <c r="G246" s="2" t="s">
        <v>18</v>
      </c>
      <c r="H246" t="str">
        <f t="shared" si="6"/>
        <v>Tesla</v>
      </c>
      <c r="I246" t="str">
        <f t="shared" si="7"/>
        <v>Minivan</v>
      </c>
    </row>
    <row r="247" spans="1:9">
      <c r="A247" s="2">
        <v>246</v>
      </c>
      <c r="B247" s="2" t="s">
        <v>51</v>
      </c>
      <c r="C247" s="2" t="s">
        <v>22</v>
      </c>
      <c r="D247" s="2">
        <v>5</v>
      </c>
      <c r="E247" s="3">
        <v>98195</v>
      </c>
      <c r="F247" s="2" t="s">
        <v>17</v>
      </c>
      <c r="G247" s="2" t="s">
        <v>10</v>
      </c>
      <c r="H247" t="str">
        <f t="shared" si="6"/>
        <v>Ford</v>
      </c>
      <c r="I247" t="str">
        <f t="shared" si="7"/>
        <v>Coupe</v>
      </c>
    </row>
    <row r="248" spans="1:9">
      <c r="A248" s="2">
        <v>247</v>
      </c>
      <c r="B248" s="2" t="s">
        <v>73</v>
      </c>
      <c r="C248" s="2" t="s">
        <v>22</v>
      </c>
      <c r="D248" s="2">
        <v>35</v>
      </c>
      <c r="E248" s="3">
        <v>38436</v>
      </c>
      <c r="F248" s="2" t="s">
        <v>17</v>
      </c>
      <c r="G248" s="2" t="s">
        <v>10</v>
      </c>
      <c r="H248" t="str">
        <f t="shared" si="6"/>
        <v>Hyundai</v>
      </c>
      <c r="I248" t="str">
        <f t="shared" si="7"/>
        <v>Minivan</v>
      </c>
    </row>
    <row r="249" spans="1:9">
      <c r="A249" s="2">
        <v>248</v>
      </c>
      <c r="B249" s="2" t="s">
        <v>61</v>
      </c>
      <c r="C249" s="2" t="s">
        <v>22</v>
      </c>
      <c r="D249" s="2">
        <v>26</v>
      </c>
      <c r="E249" s="3">
        <v>98049</v>
      </c>
      <c r="F249" s="2" t="s">
        <v>28</v>
      </c>
      <c r="G249" s="2" t="s">
        <v>29</v>
      </c>
      <c r="H249" t="str">
        <f t="shared" si="6"/>
        <v>Nissan</v>
      </c>
      <c r="I249" t="str">
        <f t="shared" si="7"/>
        <v>Truck</v>
      </c>
    </row>
    <row r="250" spans="1:9">
      <c r="A250" s="2">
        <v>249</v>
      </c>
      <c r="B250" s="2" t="s">
        <v>27</v>
      </c>
      <c r="C250" s="2" t="s">
        <v>22</v>
      </c>
      <c r="D250" s="2">
        <v>14</v>
      </c>
      <c r="E250" s="3">
        <v>71131</v>
      </c>
      <c r="F250" s="2" t="s">
        <v>17</v>
      </c>
      <c r="G250" s="2" t="s">
        <v>18</v>
      </c>
      <c r="H250" t="str">
        <f t="shared" si="6"/>
        <v>Ford</v>
      </c>
      <c r="I250" t="str">
        <f t="shared" si="7"/>
        <v>Hatchback</v>
      </c>
    </row>
    <row r="251" spans="1:9">
      <c r="A251" s="2">
        <v>250</v>
      </c>
      <c r="B251" s="2" t="s">
        <v>76</v>
      </c>
      <c r="C251" s="2" t="s">
        <v>8</v>
      </c>
      <c r="D251" s="2">
        <v>28</v>
      </c>
      <c r="E251" s="3">
        <v>26796</v>
      </c>
      <c r="F251" s="2" t="s">
        <v>38</v>
      </c>
      <c r="G251" s="2" t="s">
        <v>18</v>
      </c>
      <c r="H251" t="str">
        <f t="shared" si="6"/>
        <v>Toyota</v>
      </c>
      <c r="I251" t="str">
        <f t="shared" si="7"/>
        <v>Minivan</v>
      </c>
    </row>
    <row r="252" spans="1:9">
      <c r="A252" s="2">
        <v>251</v>
      </c>
      <c r="B252" s="2" t="s">
        <v>61</v>
      </c>
      <c r="C252" s="2" t="s">
        <v>16</v>
      </c>
      <c r="D252" s="2">
        <v>14</v>
      </c>
      <c r="E252" s="3">
        <v>60827</v>
      </c>
      <c r="F252" s="2" t="s">
        <v>13</v>
      </c>
      <c r="G252" s="2" t="s">
        <v>23</v>
      </c>
      <c r="H252" t="str">
        <f t="shared" si="6"/>
        <v>Nissan</v>
      </c>
      <c r="I252" t="str">
        <f t="shared" si="7"/>
        <v>Truck</v>
      </c>
    </row>
    <row r="253" spans="1:9">
      <c r="A253" s="2">
        <v>252</v>
      </c>
      <c r="B253" s="2" t="s">
        <v>76</v>
      </c>
      <c r="C253" s="2" t="s">
        <v>12</v>
      </c>
      <c r="D253" s="2">
        <v>32</v>
      </c>
      <c r="E253" s="3">
        <v>79735</v>
      </c>
      <c r="F253" s="2" t="s">
        <v>20</v>
      </c>
      <c r="G253" s="2" t="s">
        <v>23</v>
      </c>
      <c r="H253" t="str">
        <f t="shared" si="6"/>
        <v>Toyota</v>
      </c>
      <c r="I253" t="str">
        <f t="shared" si="7"/>
        <v>Minivan</v>
      </c>
    </row>
    <row r="254" spans="1:9">
      <c r="A254" s="2">
        <v>253</v>
      </c>
      <c r="B254" s="2" t="s">
        <v>65</v>
      </c>
      <c r="C254" s="2" t="s">
        <v>22</v>
      </c>
      <c r="D254" s="2">
        <v>18</v>
      </c>
      <c r="E254" s="3">
        <v>71863</v>
      </c>
      <c r="F254" s="2" t="s">
        <v>17</v>
      </c>
      <c r="G254" s="2" t="s">
        <v>29</v>
      </c>
      <c r="H254" t="str">
        <f t="shared" si="6"/>
        <v>Ford</v>
      </c>
      <c r="I254" t="str">
        <f t="shared" si="7"/>
        <v>Sedan</v>
      </c>
    </row>
    <row r="255" spans="1:9">
      <c r="A255" s="2">
        <v>254</v>
      </c>
      <c r="B255" s="2" t="s">
        <v>64</v>
      </c>
      <c r="C255" s="2" t="s">
        <v>12</v>
      </c>
      <c r="D255" s="2">
        <v>21</v>
      </c>
      <c r="E255" s="3">
        <v>95516</v>
      </c>
      <c r="F255" s="2" t="s">
        <v>32</v>
      </c>
      <c r="G255" s="2" t="s">
        <v>23</v>
      </c>
      <c r="H255" t="str">
        <f t="shared" si="6"/>
        <v>Tesla</v>
      </c>
      <c r="I255" t="str">
        <f t="shared" si="7"/>
        <v>Coupe</v>
      </c>
    </row>
    <row r="256" spans="1:9">
      <c r="A256" s="2">
        <v>255</v>
      </c>
      <c r="B256" s="2" t="s">
        <v>83</v>
      </c>
      <c r="C256" s="2" t="s">
        <v>8</v>
      </c>
      <c r="D256" s="2">
        <v>19</v>
      </c>
      <c r="E256" s="3">
        <v>65342</v>
      </c>
      <c r="F256" s="2" t="s">
        <v>25</v>
      </c>
      <c r="G256" s="2" t="s">
        <v>14</v>
      </c>
      <c r="H256" t="str">
        <f t="shared" si="6"/>
        <v>Honda</v>
      </c>
      <c r="I256" t="str">
        <f t="shared" si="7"/>
        <v>Sedan</v>
      </c>
    </row>
    <row r="257" spans="1:9">
      <c r="A257" s="2">
        <v>256</v>
      </c>
      <c r="B257" s="2" t="s">
        <v>41</v>
      </c>
      <c r="C257" s="2" t="s">
        <v>8</v>
      </c>
      <c r="D257" s="2">
        <v>22</v>
      </c>
      <c r="E257" s="3">
        <v>81383</v>
      </c>
      <c r="F257" s="2" t="s">
        <v>28</v>
      </c>
      <c r="G257" s="2" t="s">
        <v>10</v>
      </c>
      <c r="H257" t="str">
        <f t="shared" si="6"/>
        <v>Audi</v>
      </c>
      <c r="I257" t="str">
        <f t="shared" si="7"/>
        <v>SUV</v>
      </c>
    </row>
    <row r="258" spans="1:9">
      <c r="A258" s="2">
        <v>257</v>
      </c>
      <c r="B258" s="2" t="s">
        <v>73</v>
      </c>
      <c r="C258" s="2" t="s">
        <v>12</v>
      </c>
      <c r="D258" s="2">
        <v>36</v>
      </c>
      <c r="E258" s="3">
        <v>44876</v>
      </c>
      <c r="F258" s="2" t="s">
        <v>17</v>
      </c>
      <c r="G258" s="2" t="s">
        <v>26</v>
      </c>
      <c r="H258" t="str">
        <f t="shared" si="6"/>
        <v>Hyundai</v>
      </c>
      <c r="I258" t="str">
        <f t="shared" si="7"/>
        <v>Minivan</v>
      </c>
    </row>
    <row r="259" spans="1:9">
      <c r="A259" s="2">
        <v>258</v>
      </c>
      <c r="B259" s="2" t="s">
        <v>43</v>
      </c>
      <c r="C259" s="2" t="s">
        <v>16</v>
      </c>
      <c r="D259" s="2">
        <v>37</v>
      </c>
      <c r="E259" s="3">
        <v>88731</v>
      </c>
      <c r="F259" s="2" t="s">
        <v>17</v>
      </c>
      <c r="G259" s="2" t="s">
        <v>14</v>
      </c>
      <c r="H259" t="str">
        <f t="shared" ref="H259:H322" si="8">LEFT(B259,FIND(",",B259)-1)</f>
        <v>Hyundai</v>
      </c>
      <c r="I259" t="str">
        <f t="shared" ref="I259:I322" si="9">TRIM(MID(B259,FIND(",",B259)+1,LEN(B259)))</f>
        <v>SUV</v>
      </c>
    </row>
    <row r="260" spans="1:9">
      <c r="A260" s="2">
        <v>259</v>
      </c>
      <c r="B260" s="2" t="s">
        <v>19</v>
      </c>
      <c r="C260" s="2" t="s">
        <v>12</v>
      </c>
      <c r="D260" s="2">
        <v>9</v>
      </c>
      <c r="E260" s="3">
        <v>93357</v>
      </c>
      <c r="F260" s="2" t="s">
        <v>9</v>
      </c>
      <c r="G260" s="2" t="s">
        <v>18</v>
      </c>
      <c r="H260" t="str">
        <f t="shared" si="8"/>
        <v>Tesla</v>
      </c>
      <c r="I260" t="str">
        <f t="shared" si="9"/>
        <v>Minivan</v>
      </c>
    </row>
    <row r="261" spans="1:9">
      <c r="A261" s="2">
        <v>260</v>
      </c>
      <c r="B261" s="2" t="s">
        <v>74</v>
      </c>
      <c r="C261" s="2" t="s">
        <v>8</v>
      </c>
      <c r="D261" s="2">
        <v>37</v>
      </c>
      <c r="E261" s="3">
        <v>86314</v>
      </c>
      <c r="F261" s="2" t="s">
        <v>9</v>
      </c>
      <c r="G261" s="2" t="s">
        <v>23</v>
      </c>
      <c r="H261" t="str">
        <f t="shared" si="8"/>
        <v>Audi</v>
      </c>
      <c r="I261" t="str">
        <f t="shared" si="9"/>
        <v>Hatchback</v>
      </c>
    </row>
    <row r="262" spans="1:9">
      <c r="A262" s="2">
        <v>261</v>
      </c>
      <c r="B262" s="2" t="s">
        <v>11</v>
      </c>
      <c r="C262" s="2" t="s">
        <v>12</v>
      </c>
      <c r="D262" s="2">
        <v>32</v>
      </c>
      <c r="E262" s="3">
        <v>61492</v>
      </c>
      <c r="F262" s="2" t="s">
        <v>20</v>
      </c>
      <c r="G262" s="2" t="s">
        <v>26</v>
      </c>
      <c r="H262" t="str">
        <f t="shared" si="8"/>
        <v>Toyota</v>
      </c>
      <c r="I262" t="str">
        <f t="shared" si="9"/>
        <v>Hatchback</v>
      </c>
    </row>
    <row r="263" spans="1:9">
      <c r="A263" s="2">
        <v>262</v>
      </c>
      <c r="B263" s="2" t="s">
        <v>72</v>
      </c>
      <c r="C263" s="2" t="s">
        <v>22</v>
      </c>
      <c r="D263" s="2">
        <v>22</v>
      </c>
      <c r="E263" s="3">
        <v>93283</v>
      </c>
      <c r="F263" s="2" t="s">
        <v>13</v>
      </c>
      <c r="G263" s="2" t="s">
        <v>14</v>
      </c>
      <c r="H263" t="str">
        <f t="shared" si="8"/>
        <v>Honda</v>
      </c>
      <c r="I263" t="str">
        <f t="shared" si="9"/>
        <v>Hatchback</v>
      </c>
    </row>
    <row r="264" spans="1:9">
      <c r="A264" s="2">
        <v>263</v>
      </c>
      <c r="B264" s="2" t="s">
        <v>34</v>
      </c>
      <c r="C264" s="2" t="s">
        <v>22</v>
      </c>
      <c r="D264" s="2">
        <v>44</v>
      </c>
      <c r="E264" s="3">
        <v>45648</v>
      </c>
      <c r="F264" s="2" t="s">
        <v>28</v>
      </c>
      <c r="G264" s="2" t="s">
        <v>18</v>
      </c>
      <c r="H264" t="str">
        <f t="shared" si="8"/>
        <v>Audi</v>
      </c>
      <c r="I264" t="str">
        <f t="shared" si="9"/>
        <v>Coupe</v>
      </c>
    </row>
    <row r="265" spans="1:9">
      <c r="A265" s="2">
        <v>264</v>
      </c>
      <c r="B265" s="2" t="s">
        <v>76</v>
      </c>
      <c r="C265" s="2" t="s">
        <v>16</v>
      </c>
      <c r="D265" s="2">
        <v>49</v>
      </c>
      <c r="E265" s="3">
        <v>70747</v>
      </c>
      <c r="F265" s="2" t="s">
        <v>9</v>
      </c>
      <c r="G265" s="2" t="s">
        <v>23</v>
      </c>
      <c r="H265" t="str">
        <f t="shared" si="8"/>
        <v>Toyota</v>
      </c>
      <c r="I265" t="str">
        <f t="shared" si="9"/>
        <v>Minivan</v>
      </c>
    </row>
    <row r="266" spans="1:9">
      <c r="A266" s="2">
        <v>265</v>
      </c>
      <c r="B266" s="2" t="s">
        <v>47</v>
      </c>
      <c r="C266" s="2" t="s">
        <v>12</v>
      </c>
      <c r="D266" s="2">
        <v>4</v>
      </c>
      <c r="E266" s="3">
        <v>29398</v>
      </c>
      <c r="F266" s="2" t="s">
        <v>25</v>
      </c>
      <c r="G266" s="2" t="s">
        <v>10</v>
      </c>
      <c r="H266" t="str">
        <f t="shared" si="8"/>
        <v>Audi</v>
      </c>
      <c r="I266" t="str">
        <f t="shared" si="9"/>
        <v>Minivan</v>
      </c>
    </row>
    <row r="267" spans="1:9">
      <c r="A267" s="2">
        <v>266</v>
      </c>
      <c r="B267" s="2" t="s">
        <v>70</v>
      </c>
      <c r="C267" s="2" t="s">
        <v>12</v>
      </c>
      <c r="D267" s="2">
        <v>3</v>
      </c>
      <c r="E267" s="3">
        <v>90816</v>
      </c>
      <c r="F267" s="2" t="s">
        <v>25</v>
      </c>
      <c r="G267" s="2" t="s">
        <v>10</v>
      </c>
      <c r="H267" t="str">
        <f t="shared" si="8"/>
        <v>Chevrolet</v>
      </c>
      <c r="I267" t="str">
        <f t="shared" si="9"/>
        <v>Convertible</v>
      </c>
    </row>
    <row r="268" spans="1:9">
      <c r="A268" s="2">
        <v>267</v>
      </c>
      <c r="B268" s="2" t="s">
        <v>84</v>
      </c>
      <c r="C268" s="2" t="s">
        <v>12</v>
      </c>
      <c r="D268" s="2">
        <v>7</v>
      </c>
      <c r="E268" s="3">
        <v>74924</v>
      </c>
      <c r="F268" s="2" t="s">
        <v>17</v>
      </c>
      <c r="G268" s="2" t="s">
        <v>23</v>
      </c>
      <c r="H268" t="str">
        <f t="shared" si="8"/>
        <v>Hyundai</v>
      </c>
      <c r="I268" t="str">
        <f t="shared" si="9"/>
        <v>Truck</v>
      </c>
    </row>
    <row r="269" spans="1:9">
      <c r="A269" s="2">
        <v>268</v>
      </c>
      <c r="B269" s="2" t="s">
        <v>49</v>
      </c>
      <c r="C269" s="2" t="s">
        <v>12</v>
      </c>
      <c r="D269" s="2">
        <v>41</v>
      </c>
      <c r="E269" s="3">
        <v>97884</v>
      </c>
      <c r="F269" s="2" t="s">
        <v>13</v>
      </c>
      <c r="G269" s="2" t="s">
        <v>10</v>
      </c>
      <c r="H269" t="str">
        <f t="shared" si="8"/>
        <v>Chevrolet</v>
      </c>
      <c r="I269" t="str">
        <f t="shared" si="9"/>
        <v>Sedan</v>
      </c>
    </row>
    <row r="270" spans="1:9">
      <c r="A270" s="2">
        <v>269</v>
      </c>
      <c r="B270" s="2" t="s">
        <v>47</v>
      </c>
      <c r="C270" s="2" t="s">
        <v>16</v>
      </c>
      <c r="D270" s="2">
        <v>30</v>
      </c>
      <c r="E270" s="3">
        <v>94616</v>
      </c>
      <c r="F270" s="2" t="s">
        <v>13</v>
      </c>
      <c r="G270" s="2" t="s">
        <v>29</v>
      </c>
      <c r="H270" t="str">
        <f t="shared" si="8"/>
        <v>Audi</v>
      </c>
      <c r="I270" t="str">
        <f t="shared" si="9"/>
        <v>Minivan</v>
      </c>
    </row>
    <row r="271" spans="1:9">
      <c r="A271" s="2">
        <v>270</v>
      </c>
      <c r="B271" s="2" t="s">
        <v>30</v>
      </c>
      <c r="C271" s="2" t="s">
        <v>8</v>
      </c>
      <c r="D271" s="2">
        <v>2</v>
      </c>
      <c r="E271" s="3">
        <v>49629</v>
      </c>
      <c r="F271" s="2" t="s">
        <v>20</v>
      </c>
      <c r="G271" s="2" t="s">
        <v>23</v>
      </c>
      <c r="H271" t="str">
        <f t="shared" si="8"/>
        <v>Nissan</v>
      </c>
      <c r="I271" t="str">
        <f t="shared" si="9"/>
        <v>Coupe</v>
      </c>
    </row>
    <row r="272" spans="1:9">
      <c r="A272" s="2">
        <v>271</v>
      </c>
      <c r="B272" s="2" t="s">
        <v>94</v>
      </c>
      <c r="C272" s="2" t="s">
        <v>16</v>
      </c>
      <c r="D272" s="2">
        <v>8</v>
      </c>
      <c r="E272" s="3">
        <v>52443</v>
      </c>
      <c r="F272" s="2" t="s">
        <v>20</v>
      </c>
      <c r="G272" s="2" t="s">
        <v>29</v>
      </c>
      <c r="H272" t="str">
        <f t="shared" si="8"/>
        <v>Hyundai</v>
      </c>
      <c r="I272" t="str">
        <f t="shared" si="9"/>
        <v>Sedan</v>
      </c>
    </row>
    <row r="273" spans="1:9">
      <c r="A273" s="2">
        <v>272</v>
      </c>
      <c r="B273" s="2" t="s">
        <v>50</v>
      </c>
      <c r="C273" s="2" t="s">
        <v>8</v>
      </c>
      <c r="D273" s="2">
        <v>11</v>
      </c>
      <c r="E273" s="3">
        <v>61083</v>
      </c>
      <c r="F273" s="2" t="s">
        <v>25</v>
      </c>
      <c r="G273" s="2" t="s">
        <v>23</v>
      </c>
      <c r="H273" t="str">
        <f t="shared" si="8"/>
        <v>Honda</v>
      </c>
      <c r="I273" t="str">
        <f t="shared" si="9"/>
        <v>Truck</v>
      </c>
    </row>
    <row r="274" spans="1:9">
      <c r="A274" s="2">
        <v>273</v>
      </c>
      <c r="B274" s="2" t="s">
        <v>21</v>
      </c>
      <c r="C274" s="2" t="s">
        <v>8</v>
      </c>
      <c r="D274" s="2">
        <v>29</v>
      </c>
      <c r="E274" s="3">
        <v>51383</v>
      </c>
      <c r="F274" s="2" t="s">
        <v>17</v>
      </c>
      <c r="G274" s="2" t="s">
        <v>29</v>
      </c>
      <c r="H274" t="str">
        <f t="shared" si="8"/>
        <v>Tesla</v>
      </c>
      <c r="I274" t="str">
        <f t="shared" si="9"/>
        <v>Convertible</v>
      </c>
    </row>
    <row r="275" spans="1:9">
      <c r="A275" s="2">
        <v>274</v>
      </c>
      <c r="B275" s="2" t="s">
        <v>49</v>
      </c>
      <c r="C275" s="2" t="s">
        <v>8</v>
      </c>
      <c r="D275" s="2">
        <v>30</v>
      </c>
      <c r="E275" s="3">
        <v>99447</v>
      </c>
      <c r="F275" s="2" t="s">
        <v>32</v>
      </c>
      <c r="G275" s="2" t="s">
        <v>10</v>
      </c>
      <c r="H275" t="str">
        <f t="shared" si="8"/>
        <v>Chevrolet</v>
      </c>
      <c r="I275" t="str">
        <f t="shared" si="9"/>
        <v>Sedan</v>
      </c>
    </row>
    <row r="276" spans="1:9">
      <c r="A276" s="2">
        <v>275</v>
      </c>
      <c r="B276" s="2" t="s">
        <v>64</v>
      </c>
      <c r="C276" s="2" t="s">
        <v>12</v>
      </c>
      <c r="D276" s="2">
        <v>1</v>
      </c>
      <c r="E276" s="3">
        <v>31339</v>
      </c>
      <c r="F276" s="2" t="s">
        <v>17</v>
      </c>
      <c r="G276" s="2" t="s">
        <v>10</v>
      </c>
      <c r="H276" t="str">
        <f t="shared" si="8"/>
        <v>Tesla</v>
      </c>
      <c r="I276" t="str">
        <f t="shared" si="9"/>
        <v>Coupe</v>
      </c>
    </row>
    <row r="277" spans="1:9">
      <c r="A277" s="2">
        <v>276</v>
      </c>
      <c r="B277" s="2" t="s">
        <v>89</v>
      </c>
      <c r="C277" s="2" t="s">
        <v>16</v>
      </c>
      <c r="D277" s="2">
        <v>28</v>
      </c>
      <c r="E277" s="3">
        <v>48417</v>
      </c>
      <c r="F277" s="2" t="s">
        <v>17</v>
      </c>
      <c r="G277" s="2" t="s">
        <v>14</v>
      </c>
      <c r="H277" t="str">
        <f t="shared" si="8"/>
        <v>Toyota</v>
      </c>
      <c r="I277" t="str">
        <f t="shared" si="9"/>
        <v>Truck</v>
      </c>
    </row>
    <row r="278" spans="1:9">
      <c r="A278" s="2">
        <v>277</v>
      </c>
      <c r="B278" s="2" t="s">
        <v>93</v>
      </c>
      <c r="C278" s="2" t="s">
        <v>8</v>
      </c>
      <c r="D278" s="2">
        <v>13</v>
      </c>
      <c r="E278" s="3">
        <v>96242</v>
      </c>
      <c r="F278" s="2" t="s">
        <v>28</v>
      </c>
      <c r="G278" s="2" t="s">
        <v>18</v>
      </c>
      <c r="H278" t="str">
        <f t="shared" si="8"/>
        <v>Volkswagen</v>
      </c>
      <c r="I278" t="str">
        <f t="shared" si="9"/>
        <v>Hatchback</v>
      </c>
    </row>
    <row r="279" spans="1:9">
      <c r="A279" s="2">
        <v>278</v>
      </c>
      <c r="B279" s="2" t="s">
        <v>81</v>
      </c>
      <c r="C279" s="2" t="s">
        <v>22</v>
      </c>
      <c r="D279" s="2">
        <v>45</v>
      </c>
      <c r="E279" s="3">
        <v>84957</v>
      </c>
      <c r="F279" s="2" t="s">
        <v>28</v>
      </c>
      <c r="G279" s="2" t="s">
        <v>29</v>
      </c>
      <c r="H279" t="str">
        <f t="shared" si="8"/>
        <v>Nissan</v>
      </c>
      <c r="I279" t="str">
        <f t="shared" si="9"/>
        <v>Hatchback</v>
      </c>
    </row>
    <row r="280" spans="1:9">
      <c r="A280" s="2">
        <v>279</v>
      </c>
      <c r="B280" s="2" t="s">
        <v>11</v>
      </c>
      <c r="C280" s="2" t="s">
        <v>8</v>
      </c>
      <c r="D280" s="2">
        <v>9</v>
      </c>
      <c r="E280" s="3">
        <v>90124</v>
      </c>
      <c r="F280" s="2" t="s">
        <v>13</v>
      </c>
      <c r="G280" s="2" t="s">
        <v>26</v>
      </c>
      <c r="H280" t="str">
        <f t="shared" si="8"/>
        <v>Toyota</v>
      </c>
      <c r="I280" t="str">
        <f t="shared" si="9"/>
        <v>Hatchback</v>
      </c>
    </row>
    <row r="281" spans="1:9">
      <c r="A281" s="2">
        <v>280</v>
      </c>
      <c r="B281" s="2" t="s">
        <v>69</v>
      </c>
      <c r="C281" s="2" t="s">
        <v>16</v>
      </c>
      <c r="D281" s="2">
        <v>42</v>
      </c>
      <c r="E281" s="3">
        <v>96537</v>
      </c>
      <c r="F281" s="2" t="s">
        <v>28</v>
      </c>
      <c r="G281" s="2" t="s">
        <v>23</v>
      </c>
      <c r="H281" t="str">
        <f t="shared" si="8"/>
        <v>BMW</v>
      </c>
      <c r="I281" t="str">
        <f t="shared" si="9"/>
        <v>Truck</v>
      </c>
    </row>
    <row r="282" spans="1:9">
      <c r="A282" s="2">
        <v>281</v>
      </c>
      <c r="B282" s="2" t="s">
        <v>35</v>
      </c>
      <c r="C282" s="2" t="s">
        <v>12</v>
      </c>
      <c r="D282" s="2">
        <v>20</v>
      </c>
      <c r="E282" s="3">
        <v>89798</v>
      </c>
      <c r="F282" s="2" t="s">
        <v>9</v>
      </c>
      <c r="G282" s="2" t="s">
        <v>10</v>
      </c>
      <c r="H282" t="str">
        <f t="shared" si="8"/>
        <v>Toyota</v>
      </c>
      <c r="I282" t="str">
        <f t="shared" si="9"/>
        <v>Convertible</v>
      </c>
    </row>
    <row r="283" spans="1:9">
      <c r="A283" s="2">
        <v>282</v>
      </c>
      <c r="B283" s="2" t="s">
        <v>36</v>
      </c>
      <c r="C283" s="2" t="s">
        <v>22</v>
      </c>
      <c r="D283" s="2">
        <v>11</v>
      </c>
      <c r="E283" s="3">
        <v>80433</v>
      </c>
      <c r="F283" s="2" t="s">
        <v>17</v>
      </c>
      <c r="G283" s="2" t="s">
        <v>10</v>
      </c>
      <c r="H283" t="str">
        <f t="shared" si="8"/>
        <v>Toyota</v>
      </c>
      <c r="I283" t="str">
        <f t="shared" si="9"/>
        <v>Coupe</v>
      </c>
    </row>
    <row r="284" spans="1:9">
      <c r="A284" s="2">
        <v>283</v>
      </c>
      <c r="B284" s="2" t="s">
        <v>54</v>
      </c>
      <c r="C284" s="2" t="s">
        <v>8</v>
      </c>
      <c r="D284" s="2">
        <v>18</v>
      </c>
      <c r="E284" s="3">
        <v>87680</v>
      </c>
      <c r="F284" s="2" t="s">
        <v>9</v>
      </c>
      <c r="G284" s="2" t="s">
        <v>23</v>
      </c>
      <c r="H284" t="str">
        <f t="shared" si="8"/>
        <v>Volkswagen</v>
      </c>
      <c r="I284" t="str">
        <f t="shared" si="9"/>
        <v>Minivan</v>
      </c>
    </row>
    <row r="285" spans="1:9">
      <c r="A285" s="2">
        <v>284</v>
      </c>
      <c r="B285" s="2" t="s">
        <v>78</v>
      </c>
      <c r="C285" s="2" t="s">
        <v>12</v>
      </c>
      <c r="D285" s="2">
        <v>6</v>
      </c>
      <c r="E285" s="3">
        <v>43108</v>
      </c>
      <c r="F285" s="2" t="s">
        <v>13</v>
      </c>
      <c r="G285" s="2" t="s">
        <v>18</v>
      </c>
      <c r="H285" t="str">
        <f t="shared" si="8"/>
        <v>Hyundai</v>
      </c>
      <c r="I285" t="str">
        <f t="shared" si="9"/>
        <v>Hatchback</v>
      </c>
    </row>
    <row r="286" spans="1:9">
      <c r="A286" s="2">
        <v>285</v>
      </c>
      <c r="B286" s="2" t="s">
        <v>61</v>
      </c>
      <c r="C286" s="2" t="s">
        <v>16</v>
      </c>
      <c r="D286" s="2">
        <v>42</v>
      </c>
      <c r="E286" s="3">
        <v>37940</v>
      </c>
      <c r="F286" s="2" t="s">
        <v>25</v>
      </c>
      <c r="G286" s="2" t="s">
        <v>23</v>
      </c>
      <c r="H286" t="str">
        <f t="shared" si="8"/>
        <v>Nissan</v>
      </c>
      <c r="I286" t="str">
        <f t="shared" si="9"/>
        <v>Truck</v>
      </c>
    </row>
    <row r="287" spans="1:9">
      <c r="A287" s="2">
        <v>286</v>
      </c>
      <c r="B287" s="2" t="s">
        <v>57</v>
      </c>
      <c r="C287" s="2" t="s">
        <v>16</v>
      </c>
      <c r="D287" s="2">
        <v>24</v>
      </c>
      <c r="E287" s="3">
        <v>85761</v>
      </c>
      <c r="F287" s="2" t="s">
        <v>25</v>
      </c>
      <c r="G287" s="2" t="s">
        <v>26</v>
      </c>
      <c r="H287" t="str">
        <f t="shared" si="8"/>
        <v>Nissan</v>
      </c>
      <c r="I287" t="str">
        <f t="shared" si="9"/>
        <v>Sedan</v>
      </c>
    </row>
    <row r="288" spans="1:9">
      <c r="A288" s="2">
        <v>287</v>
      </c>
      <c r="B288" s="2" t="s">
        <v>72</v>
      </c>
      <c r="C288" s="2" t="s">
        <v>22</v>
      </c>
      <c r="D288" s="2">
        <v>17</v>
      </c>
      <c r="E288" s="3">
        <v>72289</v>
      </c>
      <c r="F288" s="2" t="s">
        <v>38</v>
      </c>
      <c r="G288" s="2" t="s">
        <v>29</v>
      </c>
      <c r="H288" t="str">
        <f t="shared" si="8"/>
        <v>Honda</v>
      </c>
      <c r="I288" t="str">
        <f t="shared" si="9"/>
        <v>Hatchback</v>
      </c>
    </row>
    <row r="289" spans="1:9">
      <c r="A289" s="2">
        <v>288</v>
      </c>
      <c r="B289" s="2" t="s">
        <v>45</v>
      </c>
      <c r="C289" s="2" t="s">
        <v>22</v>
      </c>
      <c r="D289" s="2">
        <v>6</v>
      </c>
      <c r="E289" s="3">
        <v>54963</v>
      </c>
      <c r="F289" s="2" t="s">
        <v>25</v>
      </c>
      <c r="G289" s="2" t="s">
        <v>29</v>
      </c>
      <c r="H289" t="str">
        <f t="shared" si="8"/>
        <v>Toyota</v>
      </c>
      <c r="I289" t="str">
        <f t="shared" si="9"/>
        <v>SUV</v>
      </c>
    </row>
    <row r="290" spans="1:9">
      <c r="A290" s="2">
        <v>289</v>
      </c>
      <c r="B290" s="2" t="s">
        <v>30</v>
      </c>
      <c r="C290" s="2" t="s">
        <v>8</v>
      </c>
      <c r="D290" s="2">
        <v>24</v>
      </c>
      <c r="E290" s="3">
        <v>92672</v>
      </c>
      <c r="F290" s="2" t="s">
        <v>32</v>
      </c>
      <c r="G290" s="2" t="s">
        <v>26</v>
      </c>
      <c r="H290" t="str">
        <f t="shared" si="8"/>
        <v>Nissan</v>
      </c>
      <c r="I290" t="str">
        <f t="shared" si="9"/>
        <v>Coupe</v>
      </c>
    </row>
    <row r="291" spans="1:9">
      <c r="A291" s="2">
        <v>290</v>
      </c>
      <c r="B291" s="2" t="s">
        <v>65</v>
      </c>
      <c r="C291" s="2" t="s">
        <v>12</v>
      </c>
      <c r="D291" s="2">
        <v>43</v>
      </c>
      <c r="E291" s="3">
        <v>59509</v>
      </c>
      <c r="F291" s="2" t="s">
        <v>28</v>
      </c>
      <c r="G291" s="2" t="s">
        <v>26</v>
      </c>
      <c r="H291" t="str">
        <f t="shared" si="8"/>
        <v>Ford</v>
      </c>
      <c r="I291" t="str">
        <f t="shared" si="9"/>
        <v>Sedan</v>
      </c>
    </row>
    <row r="292" spans="1:9">
      <c r="A292" s="2">
        <v>291</v>
      </c>
      <c r="B292" s="2" t="s">
        <v>24</v>
      </c>
      <c r="C292" s="2" t="s">
        <v>12</v>
      </c>
      <c r="D292" s="2">
        <v>42</v>
      </c>
      <c r="E292" s="3">
        <v>49477</v>
      </c>
      <c r="F292" s="2" t="s">
        <v>20</v>
      </c>
      <c r="G292" s="2" t="s">
        <v>14</v>
      </c>
      <c r="H292" t="str">
        <f t="shared" si="8"/>
        <v>Honda</v>
      </c>
      <c r="I292" t="str">
        <f t="shared" si="9"/>
        <v>Convertible</v>
      </c>
    </row>
    <row r="293" spans="1:9">
      <c r="A293" s="2">
        <v>292</v>
      </c>
      <c r="B293" s="2" t="s">
        <v>60</v>
      </c>
      <c r="C293" s="2" t="s">
        <v>16</v>
      </c>
      <c r="D293" s="2">
        <v>11</v>
      </c>
      <c r="E293" s="3">
        <v>37407</v>
      </c>
      <c r="F293" s="2" t="s">
        <v>32</v>
      </c>
      <c r="G293" s="2" t="s">
        <v>26</v>
      </c>
      <c r="H293" t="str">
        <f t="shared" si="8"/>
        <v>Ford</v>
      </c>
      <c r="I293" t="str">
        <f t="shared" si="9"/>
        <v>Convertible</v>
      </c>
    </row>
    <row r="294" spans="1:9">
      <c r="A294" s="2">
        <v>293</v>
      </c>
      <c r="B294" s="2" t="s">
        <v>90</v>
      </c>
      <c r="C294" s="2" t="s">
        <v>16</v>
      </c>
      <c r="D294" s="2">
        <v>4</v>
      </c>
      <c r="E294" s="3">
        <v>40727</v>
      </c>
      <c r="F294" s="2" t="s">
        <v>25</v>
      </c>
      <c r="G294" s="2" t="s">
        <v>26</v>
      </c>
      <c r="H294" t="str">
        <f t="shared" si="8"/>
        <v>Volkswagen</v>
      </c>
      <c r="I294" t="str">
        <f t="shared" si="9"/>
        <v>Truck</v>
      </c>
    </row>
    <row r="295" spans="1:9">
      <c r="A295" s="2">
        <v>294</v>
      </c>
      <c r="B295" s="2" t="s">
        <v>60</v>
      </c>
      <c r="C295" s="2" t="s">
        <v>8</v>
      </c>
      <c r="D295" s="2">
        <v>26</v>
      </c>
      <c r="E295" s="3">
        <v>62927</v>
      </c>
      <c r="F295" s="2" t="s">
        <v>13</v>
      </c>
      <c r="G295" s="2" t="s">
        <v>23</v>
      </c>
      <c r="H295" t="str">
        <f t="shared" si="8"/>
        <v>Ford</v>
      </c>
      <c r="I295" t="str">
        <f t="shared" si="9"/>
        <v>Convertible</v>
      </c>
    </row>
    <row r="296" spans="1:9">
      <c r="A296" s="2">
        <v>295</v>
      </c>
      <c r="B296" s="2" t="s">
        <v>66</v>
      </c>
      <c r="C296" s="2" t="s">
        <v>8</v>
      </c>
      <c r="D296" s="2">
        <v>41</v>
      </c>
      <c r="E296" s="3">
        <v>67739</v>
      </c>
      <c r="F296" s="2" t="s">
        <v>20</v>
      </c>
      <c r="G296" s="2" t="s">
        <v>10</v>
      </c>
      <c r="H296" t="str">
        <f t="shared" si="8"/>
        <v>Tesla</v>
      </c>
      <c r="I296" t="str">
        <f t="shared" si="9"/>
        <v>SUV</v>
      </c>
    </row>
    <row r="297" spans="1:9">
      <c r="A297" s="2">
        <v>296</v>
      </c>
      <c r="B297" s="2" t="s">
        <v>74</v>
      </c>
      <c r="C297" s="2" t="s">
        <v>16</v>
      </c>
      <c r="D297" s="2">
        <v>20</v>
      </c>
      <c r="E297" s="3">
        <v>98155</v>
      </c>
      <c r="F297" s="2" t="s">
        <v>20</v>
      </c>
      <c r="G297" s="2" t="s">
        <v>14</v>
      </c>
      <c r="H297" t="str">
        <f t="shared" si="8"/>
        <v>Audi</v>
      </c>
      <c r="I297" t="str">
        <f t="shared" si="9"/>
        <v>Hatchback</v>
      </c>
    </row>
    <row r="298" spans="1:9">
      <c r="A298" s="2">
        <v>297</v>
      </c>
      <c r="B298" s="2" t="s">
        <v>65</v>
      </c>
      <c r="C298" s="2" t="s">
        <v>16</v>
      </c>
      <c r="D298" s="2">
        <v>47</v>
      </c>
      <c r="E298" s="3">
        <v>27038</v>
      </c>
      <c r="F298" s="2" t="s">
        <v>20</v>
      </c>
      <c r="G298" s="2" t="s">
        <v>23</v>
      </c>
      <c r="H298" t="str">
        <f t="shared" si="8"/>
        <v>Ford</v>
      </c>
      <c r="I298" t="str">
        <f t="shared" si="9"/>
        <v>Sedan</v>
      </c>
    </row>
    <row r="299" spans="1:9">
      <c r="A299" s="2">
        <v>298</v>
      </c>
      <c r="B299" s="2" t="s">
        <v>93</v>
      </c>
      <c r="C299" s="2" t="s">
        <v>12</v>
      </c>
      <c r="D299" s="2">
        <v>45</v>
      </c>
      <c r="E299" s="3">
        <v>92378</v>
      </c>
      <c r="F299" s="2" t="s">
        <v>9</v>
      </c>
      <c r="G299" s="2" t="s">
        <v>23</v>
      </c>
      <c r="H299" t="str">
        <f t="shared" si="8"/>
        <v>Volkswagen</v>
      </c>
      <c r="I299" t="str">
        <f t="shared" si="9"/>
        <v>Hatchback</v>
      </c>
    </row>
    <row r="300" spans="1:9">
      <c r="A300" s="2">
        <v>299</v>
      </c>
      <c r="B300" s="2" t="s">
        <v>19</v>
      </c>
      <c r="C300" s="2" t="s">
        <v>12</v>
      </c>
      <c r="D300" s="2">
        <v>49</v>
      </c>
      <c r="E300" s="3">
        <v>25648</v>
      </c>
      <c r="F300" s="2" t="s">
        <v>38</v>
      </c>
      <c r="G300" s="2" t="s">
        <v>10</v>
      </c>
      <c r="H300" t="str">
        <f t="shared" si="8"/>
        <v>Tesla</v>
      </c>
      <c r="I300" t="str">
        <f t="shared" si="9"/>
        <v>Minivan</v>
      </c>
    </row>
    <row r="301" spans="1:9">
      <c r="A301" s="2">
        <v>300</v>
      </c>
      <c r="B301" s="2" t="s">
        <v>71</v>
      </c>
      <c r="C301" s="2" t="s">
        <v>12</v>
      </c>
      <c r="D301" s="2">
        <v>15</v>
      </c>
      <c r="E301" s="3">
        <v>53396</v>
      </c>
      <c r="F301" s="2" t="s">
        <v>38</v>
      </c>
      <c r="G301" s="2" t="s">
        <v>18</v>
      </c>
      <c r="H301" t="str">
        <f t="shared" si="8"/>
        <v>Volkswagen</v>
      </c>
      <c r="I301" t="str">
        <f t="shared" si="9"/>
        <v>Coupe</v>
      </c>
    </row>
    <row r="302" spans="1:9">
      <c r="A302" s="2">
        <v>301</v>
      </c>
      <c r="B302" s="2" t="s">
        <v>93</v>
      </c>
      <c r="C302" s="2" t="s">
        <v>8</v>
      </c>
      <c r="D302" s="2">
        <v>28</v>
      </c>
      <c r="E302" s="3">
        <v>53552</v>
      </c>
      <c r="F302" s="2" t="s">
        <v>13</v>
      </c>
      <c r="G302" s="2" t="s">
        <v>23</v>
      </c>
      <c r="H302" t="str">
        <f t="shared" si="8"/>
        <v>Volkswagen</v>
      </c>
      <c r="I302" t="str">
        <f t="shared" si="9"/>
        <v>Hatchback</v>
      </c>
    </row>
    <row r="303" spans="1:9">
      <c r="A303" s="2">
        <v>302</v>
      </c>
      <c r="B303" s="2" t="s">
        <v>89</v>
      </c>
      <c r="C303" s="2" t="s">
        <v>12</v>
      </c>
      <c r="D303" s="2">
        <v>42</v>
      </c>
      <c r="E303" s="3">
        <v>93371</v>
      </c>
      <c r="F303" s="2" t="s">
        <v>20</v>
      </c>
      <c r="G303" s="2" t="s">
        <v>14</v>
      </c>
      <c r="H303" t="str">
        <f t="shared" si="8"/>
        <v>Toyota</v>
      </c>
      <c r="I303" t="str">
        <f t="shared" si="9"/>
        <v>Truck</v>
      </c>
    </row>
    <row r="304" spans="1:9">
      <c r="A304" s="2">
        <v>303</v>
      </c>
      <c r="B304" s="2" t="s">
        <v>93</v>
      </c>
      <c r="C304" s="2" t="s">
        <v>22</v>
      </c>
      <c r="D304" s="2">
        <v>6</v>
      </c>
      <c r="E304" s="3">
        <v>90334</v>
      </c>
      <c r="F304" s="2" t="s">
        <v>20</v>
      </c>
      <c r="G304" s="2" t="s">
        <v>10</v>
      </c>
      <c r="H304" t="str">
        <f t="shared" si="8"/>
        <v>Volkswagen</v>
      </c>
      <c r="I304" t="str">
        <f t="shared" si="9"/>
        <v>Hatchback</v>
      </c>
    </row>
    <row r="305" spans="1:9">
      <c r="A305" s="2">
        <v>304</v>
      </c>
      <c r="B305" s="2" t="s">
        <v>51</v>
      </c>
      <c r="C305" s="2" t="s">
        <v>22</v>
      </c>
      <c r="D305" s="2">
        <v>46</v>
      </c>
      <c r="E305" s="3">
        <v>97968</v>
      </c>
      <c r="F305" s="2" t="s">
        <v>28</v>
      </c>
      <c r="G305" s="2" t="s">
        <v>29</v>
      </c>
      <c r="H305" t="str">
        <f t="shared" si="8"/>
        <v>Ford</v>
      </c>
      <c r="I305" t="str">
        <f t="shared" si="9"/>
        <v>Coupe</v>
      </c>
    </row>
    <row r="306" spans="1:9">
      <c r="A306" s="2">
        <v>305</v>
      </c>
      <c r="B306" s="2" t="s">
        <v>82</v>
      </c>
      <c r="C306" s="2" t="s">
        <v>12</v>
      </c>
      <c r="D306" s="2">
        <v>7</v>
      </c>
      <c r="E306" s="3">
        <v>56101</v>
      </c>
      <c r="F306" s="2" t="s">
        <v>25</v>
      </c>
      <c r="G306" s="2" t="s">
        <v>18</v>
      </c>
      <c r="H306" t="str">
        <f t="shared" si="8"/>
        <v>Audi</v>
      </c>
      <c r="I306" t="str">
        <f t="shared" si="9"/>
        <v>Sedan</v>
      </c>
    </row>
    <row r="307" spans="1:9">
      <c r="A307" s="2">
        <v>306</v>
      </c>
      <c r="B307" s="2" t="s">
        <v>33</v>
      </c>
      <c r="C307" s="2" t="s">
        <v>12</v>
      </c>
      <c r="D307" s="2">
        <v>1</v>
      </c>
      <c r="E307" s="3">
        <v>43664</v>
      </c>
      <c r="F307" s="2" t="s">
        <v>20</v>
      </c>
      <c r="G307" s="2" t="s">
        <v>10</v>
      </c>
      <c r="H307" t="str">
        <f t="shared" si="8"/>
        <v>Volkswagen</v>
      </c>
      <c r="I307" t="str">
        <f t="shared" si="9"/>
        <v>SUV</v>
      </c>
    </row>
    <row r="308" spans="1:9">
      <c r="A308" s="2">
        <v>307</v>
      </c>
      <c r="B308" s="2" t="s">
        <v>63</v>
      </c>
      <c r="C308" s="2" t="s">
        <v>16</v>
      </c>
      <c r="D308" s="2">
        <v>14</v>
      </c>
      <c r="E308" s="3">
        <v>63289</v>
      </c>
      <c r="F308" s="2" t="s">
        <v>13</v>
      </c>
      <c r="G308" s="2" t="s">
        <v>14</v>
      </c>
      <c r="H308" t="str">
        <f t="shared" si="8"/>
        <v>Volkswagen</v>
      </c>
      <c r="I308" t="str">
        <f t="shared" si="9"/>
        <v>Sedan</v>
      </c>
    </row>
    <row r="309" spans="1:9">
      <c r="A309" s="2">
        <v>308</v>
      </c>
      <c r="B309" s="2" t="s">
        <v>57</v>
      </c>
      <c r="C309" s="2" t="s">
        <v>16</v>
      </c>
      <c r="D309" s="2">
        <v>31</v>
      </c>
      <c r="E309" s="3">
        <v>59479</v>
      </c>
      <c r="F309" s="2" t="s">
        <v>28</v>
      </c>
      <c r="G309" s="2" t="s">
        <v>23</v>
      </c>
      <c r="H309" t="str">
        <f t="shared" si="8"/>
        <v>Nissan</v>
      </c>
      <c r="I309" t="str">
        <f t="shared" si="9"/>
        <v>Sedan</v>
      </c>
    </row>
    <row r="310" spans="1:9">
      <c r="A310" s="2">
        <v>309</v>
      </c>
      <c r="B310" s="2" t="s">
        <v>69</v>
      </c>
      <c r="C310" s="2" t="s">
        <v>8</v>
      </c>
      <c r="D310" s="2">
        <v>5</v>
      </c>
      <c r="E310" s="3">
        <v>88559</v>
      </c>
      <c r="F310" s="2" t="s">
        <v>32</v>
      </c>
      <c r="G310" s="2" t="s">
        <v>14</v>
      </c>
      <c r="H310" t="str">
        <f t="shared" si="8"/>
        <v>BMW</v>
      </c>
      <c r="I310" t="str">
        <f t="shared" si="9"/>
        <v>Truck</v>
      </c>
    </row>
    <row r="311" spans="1:9">
      <c r="A311" s="2">
        <v>310</v>
      </c>
      <c r="B311" s="2" t="s">
        <v>44</v>
      </c>
      <c r="C311" s="2" t="s">
        <v>22</v>
      </c>
      <c r="D311" s="2">
        <v>9</v>
      </c>
      <c r="E311" s="3">
        <v>41225</v>
      </c>
      <c r="F311" s="2" t="s">
        <v>32</v>
      </c>
      <c r="G311" s="2" t="s">
        <v>26</v>
      </c>
      <c r="H311" t="str">
        <f t="shared" si="8"/>
        <v>Chevrolet</v>
      </c>
      <c r="I311" t="str">
        <f t="shared" si="9"/>
        <v>Coupe</v>
      </c>
    </row>
    <row r="312" spans="1:9">
      <c r="A312" s="2">
        <v>311</v>
      </c>
      <c r="B312" s="2" t="s">
        <v>80</v>
      </c>
      <c r="C312" s="2" t="s">
        <v>22</v>
      </c>
      <c r="D312" s="2">
        <v>38</v>
      </c>
      <c r="E312" s="3">
        <v>52035</v>
      </c>
      <c r="F312" s="2" t="s">
        <v>28</v>
      </c>
      <c r="G312" s="2" t="s">
        <v>23</v>
      </c>
      <c r="H312" t="str">
        <f t="shared" si="8"/>
        <v>Tesla</v>
      </c>
      <c r="I312" t="str">
        <f t="shared" si="9"/>
        <v>Sedan</v>
      </c>
    </row>
    <row r="313" spans="1:9">
      <c r="A313" s="2">
        <v>312</v>
      </c>
      <c r="B313" s="2" t="s">
        <v>67</v>
      </c>
      <c r="C313" s="2" t="s">
        <v>8</v>
      </c>
      <c r="D313" s="2">
        <v>15</v>
      </c>
      <c r="E313" s="3">
        <v>58604</v>
      </c>
      <c r="F313" s="2" t="s">
        <v>9</v>
      </c>
      <c r="G313" s="2" t="s">
        <v>10</v>
      </c>
      <c r="H313" t="str">
        <f t="shared" si="8"/>
        <v>BMW</v>
      </c>
      <c r="I313" t="str">
        <f t="shared" si="9"/>
        <v>Sedan</v>
      </c>
    </row>
    <row r="314" spans="1:9">
      <c r="A314" s="2">
        <v>313</v>
      </c>
      <c r="B314" s="2" t="s">
        <v>66</v>
      </c>
      <c r="C314" s="2" t="s">
        <v>12</v>
      </c>
      <c r="D314" s="2">
        <v>34</v>
      </c>
      <c r="E314" s="3">
        <v>26933</v>
      </c>
      <c r="F314" s="2" t="s">
        <v>25</v>
      </c>
      <c r="G314" s="2" t="s">
        <v>18</v>
      </c>
      <c r="H314" t="str">
        <f t="shared" si="8"/>
        <v>Tesla</v>
      </c>
      <c r="I314" t="str">
        <f t="shared" si="9"/>
        <v>SUV</v>
      </c>
    </row>
    <row r="315" spans="1:9">
      <c r="A315" s="2">
        <v>314</v>
      </c>
      <c r="B315" s="2" t="s">
        <v>70</v>
      </c>
      <c r="C315" s="2" t="s">
        <v>12</v>
      </c>
      <c r="D315" s="2">
        <v>44</v>
      </c>
      <c r="E315" s="3">
        <v>74163</v>
      </c>
      <c r="F315" s="2" t="s">
        <v>25</v>
      </c>
      <c r="G315" s="2" t="s">
        <v>10</v>
      </c>
      <c r="H315" t="str">
        <f t="shared" si="8"/>
        <v>Chevrolet</v>
      </c>
      <c r="I315" t="str">
        <f t="shared" si="9"/>
        <v>Convertible</v>
      </c>
    </row>
    <row r="316" spans="1:9">
      <c r="A316" s="2">
        <v>315</v>
      </c>
      <c r="B316" s="2" t="s">
        <v>41</v>
      </c>
      <c r="C316" s="2" t="s">
        <v>8</v>
      </c>
      <c r="D316" s="2">
        <v>29</v>
      </c>
      <c r="E316" s="3">
        <v>48704</v>
      </c>
      <c r="F316" s="2" t="s">
        <v>25</v>
      </c>
      <c r="G316" s="2" t="s">
        <v>26</v>
      </c>
      <c r="H316" t="str">
        <f t="shared" si="8"/>
        <v>Audi</v>
      </c>
      <c r="I316" t="str">
        <f t="shared" si="9"/>
        <v>SUV</v>
      </c>
    </row>
    <row r="317" spans="1:9">
      <c r="A317" s="2">
        <v>316</v>
      </c>
      <c r="B317" s="2" t="s">
        <v>68</v>
      </c>
      <c r="C317" s="2" t="s">
        <v>22</v>
      </c>
      <c r="D317" s="2">
        <v>1</v>
      </c>
      <c r="E317" s="3">
        <v>78133</v>
      </c>
      <c r="F317" s="2" t="s">
        <v>38</v>
      </c>
      <c r="G317" s="2" t="s">
        <v>26</v>
      </c>
      <c r="H317" t="str">
        <f t="shared" si="8"/>
        <v>Honda</v>
      </c>
      <c r="I317" t="str">
        <f t="shared" si="9"/>
        <v>Coupe</v>
      </c>
    </row>
    <row r="318" spans="1:9">
      <c r="A318" s="2">
        <v>317</v>
      </c>
      <c r="B318" s="2" t="s">
        <v>44</v>
      </c>
      <c r="C318" s="2" t="s">
        <v>22</v>
      </c>
      <c r="D318" s="2">
        <v>1</v>
      </c>
      <c r="E318" s="3">
        <v>27769</v>
      </c>
      <c r="F318" s="2" t="s">
        <v>38</v>
      </c>
      <c r="G318" s="2" t="s">
        <v>14</v>
      </c>
      <c r="H318" t="str">
        <f t="shared" si="8"/>
        <v>Chevrolet</v>
      </c>
      <c r="I318" t="str">
        <f t="shared" si="9"/>
        <v>Coupe</v>
      </c>
    </row>
    <row r="319" spans="1:9">
      <c r="A319" s="2">
        <v>318</v>
      </c>
      <c r="B319" s="2" t="s">
        <v>84</v>
      </c>
      <c r="C319" s="2" t="s">
        <v>12</v>
      </c>
      <c r="D319" s="2">
        <v>45</v>
      </c>
      <c r="E319" s="3">
        <v>97804</v>
      </c>
      <c r="F319" s="2" t="s">
        <v>17</v>
      </c>
      <c r="G319" s="2" t="s">
        <v>14</v>
      </c>
      <c r="H319" t="str">
        <f t="shared" si="8"/>
        <v>Hyundai</v>
      </c>
      <c r="I319" t="str">
        <f t="shared" si="9"/>
        <v>Truck</v>
      </c>
    </row>
    <row r="320" spans="1:9">
      <c r="A320" s="2">
        <v>319</v>
      </c>
      <c r="B320" s="2" t="s">
        <v>52</v>
      </c>
      <c r="C320" s="2" t="s">
        <v>16</v>
      </c>
      <c r="D320" s="2">
        <v>22</v>
      </c>
      <c r="E320" s="3">
        <v>34399</v>
      </c>
      <c r="F320" s="2" t="s">
        <v>17</v>
      </c>
      <c r="G320" s="2" t="s">
        <v>29</v>
      </c>
      <c r="H320" t="str">
        <f t="shared" si="8"/>
        <v>BMW</v>
      </c>
      <c r="I320" t="str">
        <f t="shared" si="9"/>
        <v>Hatchback</v>
      </c>
    </row>
    <row r="321" spans="1:9">
      <c r="A321" s="2">
        <v>320</v>
      </c>
      <c r="B321" s="2" t="s">
        <v>27</v>
      </c>
      <c r="C321" s="2" t="s">
        <v>8</v>
      </c>
      <c r="D321" s="2">
        <v>8</v>
      </c>
      <c r="E321" s="3">
        <v>47286</v>
      </c>
      <c r="F321" s="2" t="s">
        <v>9</v>
      </c>
      <c r="G321" s="2" t="s">
        <v>29</v>
      </c>
      <c r="H321" t="str">
        <f t="shared" si="8"/>
        <v>Ford</v>
      </c>
      <c r="I321" t="str">
        <f t="shared" si="9"/>
        <v>Hatchback</v>
      </c>
    </row>
    <row r="322" spans="1:9">
      <c r="A322" s="2">
        <v>321</v>
      </c>
      <c r="B322" s="2" t="s">
        <v>11</v>
      </c>
      <c r="C322" s="2" t="s">
        <v>8</v>
      </c>
      <c r="D322" s="2">
        <v>28</v>
      </c>
      <c r="E322" s="3">
        <v>56784</v>
      </c>
      <c r="F322" s="2" t="s">
        <v>9</v>
      </c>
      <c r="G322" s="2" t="s">
        <v>23</v>
      </c>
      <c r="H322" t="str">
        <f t="shared" si="8"/>
        <v>Toyota</v>
      </c>
      <c r="I322" t="str">
        <f t="shared" si="9"/>
        <v>Hatchback</v>
      </c>
    </row>
    <row r="323" spans="1:9">
      <c r="A323" s="2">
        <v>322</v>
      </c>
      <c r="B323" s="2" t="s">
        <v>88</v>
      </c>
      <c r="C323" s="2" t="s">
        <v>12</v>
      </c>
      <c r="D323" s="2">
        <v>45</v>
      </c>
      <c r="E323" s="3">
        <v>32096</v>
      </c>
      <c r="F323" s="2" t="s">
        <v>28</v>
      </c>
      <c r="G323" s="2" t="s">
        <v>26</v>
      </c>
      <c r="H323" t="str">
        <f t="shared" ref="H323:H386" si="10">LEFT(B323,FIND(",",B323)-1)</f>
        <v>Hyundai</v>
      </c>
      <c r="I323" t="str">
        <f t="shared" ref="I323:I386" si="11">TRIM(MID(B323,FIND(",",B323)+1,LEN(B323)))</f>
        <v>Convertible</v>
      </c>
    </row>
    <row r="324" spans="1:9">
      <c r="A324" s="2">
        <v>323</v>
      </c>
      <c r="B324" s="2" t="s">
        <v>71</v>
      </c>
      <c r="C324" s="2" t="s">
        <v>8</v>
      </c>
      <c r="D324" s="2">
        <v>9</v>
      </c>
      <c r="E324" s="3">
        <v>92471</v>
      </c>
      <c r="F324" s="2" t="s">
        <v>9</v>
      </c>
      <c r="G324" s="2" t="s">
        <v>14</v>
      </c>
      <c r="H324" t="str">
        <f t="shared" si="10"/>
        <v>Volkswagen</v>
      </c>
      <c r="I324" t="str">
        <f t="shared" si="11"/>
        <v>Coupe</v>
      </c>
    </row>
    <row r="325" spans="1:9">
      <c r="A325" s="2">
        <v>324</v>
      </c>
      <c r="B325" s="2" t="s">
        <v>40</v>
      </c>
      <c r="C325" s="2" t="s">
        <v>22</v>
      </c>
      <c r="D325" s="2">
        <v>31</v>
      </c>
      <c r="E325" s="3">
        <v>47612</v>
      </c>
      <c r="F325" s="2" t="s">
        <v>25</v>
      </c>
      <c r="G325" s="2" t="s">
        <v>29</v>
      </c>
      <c r="H325" t="str">
        <f t="shared" si="10"/>
        <v>Volkswagen</v>
      </c>
      <c r="I325" t="str">
        <f t="shared" si="11"/>
        <v>Convertible</v>
      </c>
    </row>
    <row r="326" spans="1:9">
      <c r="A326" s="2">
        <v>325</v>
      </c>
      <c r="B326" s="2" t="s">
        <v>27</v>
      </c>
      <c r="C326" s="2" t="s">
        <v>12</v>
      </c>
      <c r="D326" s="2">
        <v>5</v>
      </c>
      <c r="E326" s="3">
        <v>85181</v>
      </c>
      <c r="F326" s="2" t="s">
        <v>25</v>
      </c>
      <c r="G326" s="2" t="s">
        <v>26</v>
      </c>
      <c r="H326" t="str">
        <f t="shared" si="10"/>
        <v>Ford</v>
      </c>
      <c r="I326" t="str">
        <f t="shared" si="11"/>
        <v>Hatchback</v>
      </c>
    </row>
    <row r="327" spans="1:9">
      <c r="A327" s="2">
        <v>326</v>
      </c>
      <c r="B327" s="2" t="s">
        <v>27</v>
      </c>
      <c r="C327" s="2" t="s">
        <v>22</v>
      </c>
      <c r="D327" s="2">
        <v>15</v>
      </c>
      <c r="E327" s="3">
        <v>79438</v>
      </c>
      <c r="F327" s="2" t="s">
        <v>9</v>
      </c>
      <c r="G327" s="2" t="s">
        <v>29</v>
      </c>
      <c r="H327" t="str">
        <f t="shared" si="10"/>
        <v>Ford</v>
      </c>
      <c r="I327" t="str">
        <f t="shared" si="11"/>
        <v>Hatchback</v>
      </c>
    </row>
    <row r="328" spans="1:9">
      <c r="A328" s="2">
        <v>327</v>
      </c>
      <c r="B328" s="2" t="s">
        <v>87</v>
      </c>
      <c r="C328" s="2" t="s">
        <v>16</v>
      </c>
      <c r="D328" s="2">
        <v>25</v>
      </c>
      <c r="E328" s="3">
        <v>41749</v>
      </c>
      <c r="F328" s="2" t="s">
        <v>13</v>
      </c>
      <c r="G328" s="2" t="s">
        <v>10</v>
      </c>
      <c r="H328" t="str">
        <f t="shared" si="10"/>
        <v>Nissan</v>
      </c>
      <c r="I328" t="str">
        <f t="shared" si="11"/>
        <v>SUV</v>
      </c>
    </row>
    <row r="329" spans="1:9">
      <c r="A329" s="2">
        <v>328</v>
      </c>
      <c r="B329" s="2" t="s">
        <v>64</v>
      </c>
      <c r="C329" s="2" t="s">
        <v>8</v>
      </c>
      <c r="D329" s="2">
        <v>6</v>
      </c>
      <c r="E329" s="3">
        <v>35131</v>
      </c>
      <c r="F329" s="2" t="s">
        <v>28</v>
      </c>
      <c r="G329" s="2" t="s">
        <v>23</v>
      </c>
      <c r="H329" t="str">
        <f t="shared" si="10"/>
        <v>Tesla</v>
      </c>
      <c r="I329" t="str">
        <f t="shared" si="11"/>
        <v>Coupe</v>
      </c>
    </row>
    <row r="330" spans="1:9">
      <c r="A330" s="2">
        <v>329</v>
      </c>
      <c r="B330" s="2" t="s">
        <v>81</v>
      </c>
      <c r="C330" s="2" t="s">
        <v>8</v>
      </c>
      <c r="D330" s="2">
        <v>47</v>
      </c>
      <c r="E330" s="3">
        <v>80272</v>
      </c>
      <c r="F330" s="2" t="s">
        <v>17</v>
      </c>
      <c r="G330" s="2" t="s">
        <v>18</v>
      </c>
      <c r="H330" t="str">
        <f t="shared" si="10"/>
        <v>Nissan</v>
      </c>
      <c r="I330" t="str">
        <f t="shared" si="11"/>
        <v>Hatchback</v>
      </c>
    </row>
    <row r="331" spans="1:9">
      <c r="A331" s="2">
        <v>330</v>
      </c>
      <c r="B331" s="2" t="s">
        <v>49</v>
      </c>
      <c r="C331" s="2" t="s">
        <v>22</v>
      </c>
      <c r="D331" s="2">
        <v>7</v>
      </c>
      <c r="E331" s="3">
        <v>77276</v>
      </c>
      <c r="F331" s="2" t="s">
        <v>9</v>
      </c>
      <c r="G331" s="2" t="s">
        <v>10</v>
      </c>
      <c r="H331" t="str">
        <f t="shared" si="10"/>
        <v>Chevrolet</v>
      </c>
      <c r="I331" t="str">
        <f t="shared" si="11"/>
        <v>Sedan</v>
      </c>
    </row>
    <row r="332" spans="1:9">
      <c r="A332" s="2">
        <v>331</v>
      </c>
      <c r="B332" s="2" t="s">
        <v>46</v>
      </c>
      <c r="C332" s="2" t="s">
        <v>12</v>
      </c>
      <c r="D332" s="2">
        <v>7</v>
      </c>
      <c r="E332" s="3">
        <v>78586</v>
      </c>
      <c r="F332" s="2" t="s">
        <v>32</v>
      </c>
      <c r="G332" s="2" t="s">
        <v>23</v>
      </c>
      <c r="H332" t="str">
        <f t="shared" si="10"/>
        <v>Honda</v>
      </c>
      <c r="I332" t="str">
        <f t="shared" si="11"/>
        <v>Minivan</v>
      </c>
    </row>
    <row r="333" spans="1:9">
      <c r="A333" s="2">
        <v>332</v>
      </c>
      <c r="B333" s="2" t="s">
        <v>48</v>
      </c>
      <c r="C333" s="2" t="s">
        <v>12</v>
      </c>
      <c r="D333" s="2">
        <v>21</v>
      </c>
      <c r="E333" s="3">
        <v>33022</v>
      </c>
      <c r="F333" s="2" t="s">
        <v>20</v>
      </c>
      <c r="G333" s="2" t="s">
        <v>23</v>
      </c>
      <c r="H333" t="str">
        <f t="shared" si="10"/>
        <v>BMW</v>
      </c>
      <c r="I333" t="str">
        <f t="shared" si="11"/>
        <v>Coupe</v>
      </c>
    </row>
    <row r="334" spans="1:9">
      <c r="A334" s="2">
        <v>333</v>
      </c>
      <c r="B334" s="2" t="s">
        <v>60</v>
      </c>
      <c r="C334" s="2" t="s">
        <v>8</v>
      </c>
      <c r="D334" s="2">
        <v>24</v>
      </c>
      <c r="E334" s="3">
        <v>88936</v>
      </c>
      <c r="F334" s="2" t="s">
        <v>9</v>
      </c>
      <c r="G334" s="2" t="s">
        <v>10</v>
      </c>
      <c r="H334" t="str">
        <f t="shared" si="10"/>
        <v>Ford</v>
      </c>
      <c r="I334" t="str">
        <f t="shared" si="11"/>
        <v>Convertible</v>
      </c>
    </row>
    <row r="335" spans="1:9">
      <c r="A335" s="2">
        <v>334</v>
      </c>
      <c r="B335" s="2" t="s">
        <v>64</v>
      </c>
      <c r="C335" s="2" t="s">
        <v>22</v>
      </c>
      <c r="D335" s="2">
        <v>20</v>
      </c>
      <c r="E335" s="3">
        <v>87005</v>
      </c>
      <c r="F335" s="2" t="s">
        <v>28</v>
      </c>
      <c r="G335" s="2" t="s">
        <v>29</v>
      </c>
      <c r="H335" t="str">
        <f t="shared" si="10"/>
        <v>Tesla</v>
      </c>
      <c r="I335" t="str">
        <f t="shared" si="11"/>
        <v>Coupe</v>
      </c>
    </row>
    <row r="336" spans="1:9">
      <c r="A336" s="2">
        <v>335</v>
      </c>
      <c r="B336" s="2" t="s">
        <v>69</v>
      </c>
      <c r="C336" s="2" t="s">
        <v>16</v>
      </c>
      <c r="D336" s="2">
        <v>9</v>
      </c>
      <c r="E336" s="3">
        <v>84993</v>
      </c>
      <c r="F336" s="2" t="s">
        <v>17</v>
      </c>
      <c r="G336" s="2" t="s">
        <v>29</v>
      </c>
      <c r="H336" t="str">
        <f t="shared" si="10"/>
        <v>BMW</v>
      </c>
      <c r="I336" t="str">
        <f t="shared" si="11"/>
        <v>Truck</v>
      </c>
    </row>
    <row r="337" spans="1:9">
      <c r="A337" s="2">
        <v>336</v>
      </c>
      <c r="B337" s="2" t="s">
        <v>49</v>
      </c>
      <c r="C337" s="2" t="s">
        <v>22</v>
      </c>
      <c r="D337" s="2">
        <v>25</v>
      </c>
      <c r="E337" s="3">
        <v>64718</v>
      </c>
      <c r="F337" s="2" t="s">
        <v>13</v>
      </c>
      <c r="G337" s="2" t="s">
        <v>26</v>
      </c>
      <c r="H337" t="str">
        <f t="shared" si="10"/>
        <v>Chevrolet</v>
      </c>
      <c r="I337" t="str">
        <f t="shared" si="11"/>
        <v>Sedan</v>
      </c>
    </row>
    <row r="338" spans="1:9">
      <c r="A338" s="2">
        <v>337</v>
      </c>
      <c r="B338" s="2" t="s">
        <v>72</v>
      </c>
      <c r="C338" s="2" t="s">
        <v>12</v>
      </c>
      <c r="D338" s="2">
        <v>50</v>
      </c>
      <c r="E338" s="3">
        <v>70095</v>
      </c>
      <c r="F338" s="2" t="s">
        <v>28</v>
      </c>
      <c r="G338" s="2" t="s">
        <v>18</v>
      </c>
      <c r="H338" t="str">
        <f t="shared" si="10"/>
        <v>Honda</v>
      </c>
      <c r="I338" t="str">
        <f t="shared" si="11"/>
        <v>Hatchback</v>
      </c>
    </row>
    <row r="339" spans="1:9">
      <c r="A339" s="2">
        <v>338</v>
      </c>
      <c r="B339" s="2" t="s">
        <v>84</v>
      </c>
      <c r="C339" s="2" t="s">
        <v>8</v>
      </c>
      <c r="D339" s="2">
        <v>49</v>
      </c>
      <c r="E339" s="3">
        <v>37908</v>
      </c>
      <c r="F339" s="2" t="s">
        <v>25</v>
      </c>
      <c r="G339" s="2" t="s">
        <v>18</v>
      </c>
      <c r="H339" t="str">
        <f t="shared" si="10"/>
        <v>Hyundai</v>
      </c>
      <c r="I339" t="str">
        <f t="shared" si="11"/>
        <v>Truck</v>
      </c>
    </row>
    <row r="340" spans="1:9">
      <c r="A340" s="2">
        <v>339</v>
      </c>
      <c r="B340" s="2" t="s">
        <v>87</v>
      </c>
      <c r="C340" s="2" t="s">
        <v>8</v>
      </c>
      <c r="D340" s="2">
        <v>9</v>
      </c>
      <c r="E340" s="3">
        <v>52114</v>
      </c>
      <c r="F340" s="2" t="s">
        <v>28</v>
      </c>
      <c r="G340" s="2" t="s">
        <v>23</v>
      </c>
      <c r="H340" t="str">
        <f t="shared" si="10"/>
        <v>Nissan</v>
      </c>
      <c r="I340" t="str">
        <f t="shared" si="11"/>
        <v>SUV</v>
      </c>
    </row>
    <row r="341" spans="1:9">
      <c r="A341" s="2">
        <v>340</v>
      </c>
      <c r="B341" s="2" t="s">
        <v>44</v>
      </c>
      <c r="C341" s="2" t="s">
        <v>8</v>
      </c>
      <c r="D341" s="2">
        <v>42</v>
      </c>
      <c r="E341" s="3">
        <v>77138</v>
      </c>
      <c r="F341" s="2" t="s">
        <v>38</v>
      </c>
      <c r="G341" s="2" t="s">
        <v>26</v>
      </c>
      <c r="H341" t="str">
        <f t="shared" si="10"/>
        <v>Chevrolet</v>
      </c>
      <c r="I341" t="str">
        <f t="shared" si="11"/>
        <v>Coupe</v>
      </c>
    </row>
    <row r="342" spans="1:9">
      <c r="A342" s="2">
        <v>341</v>
      </c>
      <c r="B342" s="2" t="s">
        <v>71</v>
      </c>
      <c r="C342" s="2" t="s">
        <v>16</v>
      </c>
      <c r="D342" s="2">
        <v>44</v>
      </c>
      <c r="E342" s="3">
        <v>89640</v>
      </c>
      <c r="F342" s="2" t="s">
        <v>38</v>
      </c>
      <c r="G342" s="2" t="s">
        <v>18</v>
      </c>
      <c r="H342" t="str">
        <f t="shared" si="10"/>
        <v>Volkswagen</v>
      </c>
      <c r="I342" t="str">
        <f t="shared" si="11"/>
        <v>Coupe</v>
      </c>
    </row>
    <row r="343" spans="1:9">
      <c r="A343" s="2">
        <v>342</v>
      </c>
      <c r="B343" s="2" t="s">
        <v>87</v>
      </c>
      <c r="C343" s="2" t="s">
        <v>16</v>
      </c>
      <c r="D343" s="2">
        <v>10</v>
      </c>
      <c r="E343" s="3">
        <v>80399</v>
      </c>
      <c r="F343" s="2" t="s">
        <v>25</v>
      </c>
      <c r="G343" s="2" t="s">
        <v>10</v>
      </c>
      <c r="H343" t="str">
        <f t="shared" si="10"/>
        <v>Nissan</v>
      </c>
      <c r="I343" t="str">
        <f t="shared" si="11"/>
        <v>SUV</v>
      </c>
    </row>
    <row r="344" spans="1:9">
      <c r="A344" s="2">
        <v>343</v>
      </c>
      <c r="B344" s="2" t="s">
        <v>76</v>
      </c>
      <c r="C344" s="2" t="s">
        <v>12</v>
      </c>
      <c r="D344" s="2">
        <v>5</v>
      </c>
      <c r="E344" s="3">
        <v>61371</v>
      </c>
      <c r="F344" s="2" t="s">
        <v>17</v>
      </c>
      <c r="G344" s="2" t="s">
        <v>26</v>
      </c>
      <c r="H344" t="str">
        <f t="shared" si="10"/>
        <v>Toyota</v>
      </c>
      <c r="I344" t="str">
        <f t="shared" si="11"/>
        <v>Minivan</v>
      </c>
    </row>
    <row r="345" spans="1:9">
      <c r="A345" s="2">
        <v>344</v>
      </c>
      <c r="B345" s="2" t="s">
        <v>61</v>
      </c>
      <c r="C345" s="2" t="s">
        <v>22</v>
      </c>
      <c r="D345" s="2">
        <v>34</v>
      </c>
      <c r="E345" s="3">
        <v>64858</v>
      </c>
      <c r="F345" s="2" t="s">
        <v>28</v>
      </c>
      <c r="G345" s="2" t="s">
        <v>18</v>
      </c>
      <c r="H345" t="str">
        <f t="shared" si="10"/>
        <v>Nissan</v>
      </c>
      <c r="I345" t="str">
        <f t="shared" si="11"/>
        <v>Truck</v>
      </c>
    </row>
    <row r="346" spans="1:9">
      <c r="A346" s="2">
        <v>345</v>
      </c>
      <c r="B346" s="2" t="s">
        <v>49</v>
      </c>
      <c r="C346" s="2" t="s">
        <v>22</v>
      </c>
      <c r="D346" s="2">
        <v>37</v>
      </c>
      <c r="E346" s="3">
        <v>77253</v>
      </c>
      <c r="F346" s="2" t="s">
        <v>9</v>
      </c>
      <c r="G346" s="2" t="s">
        <v>14</v>
      </c>
      <c r="H346" t="str">
        <f t="shared" si="10"/>
        <v>Chevrolet</v>
      </c>
      <c r="I346" t="str">
        <f t="shared" si="11"/>
        <v>Sedan</v>
      </c>
    </row>
    <row r="347" spans="1:9">
      <c r="A347" s="2">
        <v>346</v>
      </c>
      <c r="B347" s="2" t="s">
        <v>27</v>
      </c>
      <c r="C347" s="2" t="s">
        <v>22</v>
      </c>
      <c r="D347" s="2">
        <v>1</v>
      </c>
      <c r="E347" s="3">
        <v>91361</v>
      </c>
      <c r="F347" s="2" t="s">
        <v>38</v>
      </c>
      <c r="G347" s="2" t="s">
        <v>23</v>
      </c>
      <c r="H347" t="str">
        <f t="shared" si="10"/>
        <v>Ford</v>
      </c>
      <c r="I347" t="str">
        <f t="shared" si="11"/>
        <v>Hatchback</v>
      </c>
    </row>
    <row r="348" spans="1:9">
      <c r="A348" s="2">
        <v>347</v>
      </c>
      <c r="B348" s="2" t="s">
        <v>50</v>
      </c>
      <c r="C348" s="2" t="s">
        <v>16</v>
      </c>
      <c r="D348" s="2">
        <v>40</v>
      </c>
      <c r="E348" s="3">
        <v>78669</v>
      </c>
      <c r="F348" s="2" t="s">
        <v>9</v>
      </c>
      <c r="G348" s="2" t="s">
        <v>14</v>
      </c>
      <c r="H348" t="str">
        <f t="shared" si="10"/>
        <v>Honda</v>
      </c>
      <c r="I348" t="str">
        <f t="shared" si="11"/>
        <v>Truck</v>
      </c>
    </row>
    <row r="349" spans="1:9">
      <c r="A349" s="2">
        <v>348</v>
      </c>
      <c r="B349" s="2" t="s">
        <v>70</v>
      </c>
      <c r="C349" s="2" t="s">
        <v>8</v>
      </c>
      <c r="D349" s="2">
        <v>42</v>
      </c>
      <c r="E349" s="3">
        <v>97058</v>
      </c>
      <c r="F349" s="2" t="s">
        <v>9</v>
      </c>
      <c r="G349" s="2" t="s">
        <v>23</v>
      </c>
      <c r="H349" t="str">
        <f t="shared" si="10"/>
        <v>Chevrolet</v>
      </c>
      <c r="I349" t="str">
        <f t="shared" si="11"/>
        <v>Convertible</v>
      </c>
    </row>
    <row r="350" spans="1:9">
      <c r="A350" s="2">
        <v>349</v>
      </c>
      <c r="B350" s="2" t="s">
        <v>27</v>
      </c>
      <c r="C350" s="2" t="s">
        <v>12</v>
      </c>
      <c r="D350" s="2">
        <v>11</v>
      </c>
      <c r="E350" s="3">
        <v>89720</v>
      </c>
      <c r="F350" s="2" t="s">
        <v>28</v>
      </c>
      <c r="G350" s="2" t="s">
        <v>23</v>
      </c>
      <c r="H350" t="str">
        <f t="shared" si="10"/>
        <v>Ford</v>
      </c>
      <c r="I350" t="str">
        <f t="shared" si="11"/>
        <v>Hatchback</v>
      </c>
    </row>
    <row r="351" spans="1:9">
      <c r="A351" s="2">
        <v>350</v>
      </c>
      <c r="B351" s="2" t="s">
        <v>7</v>
      </c>
      <c r="C351" s="2" t="s">
        <v>12</v>
      </c>
      <c r="D351" s="2">
        <v>29</v>
      </c>
      <c r="E351" s="3">
        <v>35543</v>
      </c>
      <c r="F351" s="2" t="s">
        <v>38</v>
      </c>
      <c r="G351" s="2" t="s">
        <v>10</v>
      </c>
      <c r="H351" t="str">
        <f t="shared" si="10"/>
        <v>Ford</v>
      </c>
      <c r="I351" t="str">
        <f t="shared" si="11"/>
        <v>Truck</v>
      </c>
    </row>
    <row r="352" spans="1:9">
      <c r="A352" s="2">
        <v>351</v>
      </c>
      <c r="B352" s="2" t="s">
        <v>57</v>
      </c>
      <c r="C352" s="2" t="s">
        <v>16</v>
      </c>
      <c r="D352" s="2">
        <v>23</v>
      </c>
      <c r="E352" s="3">
        <v>79700</v>
      </c>
      <c r="F352" s="2" t="s">
        <v>13</v>
      </c>
      <c r="G352" s="2" t="s">
        <v>29</v>
      </c>
      <c r="H352" t="str">
        <f t="shared" si="10"/>
        <v>Nissan</v>
      </c>
      <c r="I352" t="str">
        <f t="shared" si="11"/>
        <v>Sedan</v>
      </c>
    </row>
    <row r="353" spans="1:9">
      <c r="A353" s="2">
        <v>352</v>
      </c>
      <c r="B353" s="2" t="s">
        <v>68</v>
      </c>
      <c r="C353" s="2" t="s">
        <v>16</v>
      </c>
      <c r="D353" s="2">
        <v>47</v>
      </c>
      <c r="E353" s="3">
        <v>33293</v>
      </c>
      <c r="F353" s="2" t="s">
        <v>28</v>
      </c>
      <c r="G353" s="2" t="s">
        <v>18</v>
      </c>
      <c r="H353" t="str">
        <f t="shared" si="10"/>
        <v>Honda</v>
      </c>
      <c r="I353" t="str">
        <f t="shared" si="11"/>
        <v>Coupe</v>
      </c>
    </row>
    <row r="354" spans="1:9">
      <c r="A354" s="2">
        <v>353</v>
      </c>
      <c r="B354" s="2" t="s">
        <v>15</v>
      </c>
      <c r="C354" s="2" t="s">
        <v>8</v>
      </c>
      <c r="D354" s="2">
        <v>14</v>
      </c>
      <c r="E354" s="3">
        <v>28308</v>
      </c>
      <c r="F354" s="2" t="s">
        <v>32</v>
      </c>
      <c r="G354" s="2" t="s">
        <v>14</v>
      </c>
      <c r="H354" t="str">
        <f t="shared" si="10"/>
        <v>Chevrolet</v>
      </c>
      <c r="I354" t="str">
        <f t="shared" si="11"/>
        <v>Truck</v>
      </c>
    </row>
    <row r="355" spans="1:9">
      <c r="A355" s="2">
        <v>354</v>
      </c>
      <c r="B355" s="2" t="s">
        <v>86</v>
      </c>
      <c r="C355" s="2" t="s">
        <v>8</v>
      </c>
      <c r="D355" s="2">
        <v>41</v>
      </c>
      <c r="E355" s="3">
        <v>70713</v>
      </c>
      <c r="F355" s="2" t="s">
        <v>38</v>
      </c>
      <c r="G355" s="2" t="s">
        <v>18</v>
      </c>
      <c r="H355" t="str">
        <f t="shared" si="10"/>
        <v>Chevrolet</v>
      </c>
      <c r="I355" t="str">
        <f t="shared" si="11"/>
        <v>SUV</v>
      </c>
    </row>
    <row r="356" spans="1:9">
      <c r="A356" s="2">
        <v>355</v>
      </c>
      <c r="B356" s="2" t="s">
        <v>63</v>
      </c>
      <c r="C356" s="2" t="s">
        <v>16</v>
      </c>
      <c r="D356" s="2">
        <v>48</v>
      </c>
      <c r="E356" s="3">
        <v>27849</v>
      </c>
      <c r="F356" s="2" t="s">
        <v>17</v>
      </c>
      <c r="G356" s="2" t="s">
        <v>23</v>
      </c>
      <c r="H356" t="str">
        <f t="shared" si="10"/>
        <v>Volkswagen</v>
      </c>
      <c r="I356" t="str">
        <f t="shared" si="11"/>
        <v>Sedan</v>
      </c>
    </row>
    <row r="357" spans="1:9">
      <c r="A357" s="2">
        <v>356</v>
      </c>
      <c r="B357" s="2" t="s">
        <v>19</v>
      </c>
      <c r="C357" s="2" t="s">
        <v>12</v>
      </c>
      <c r="D357" s="2">
        <v>10</v>
      </c>
      <c r="E357" s="3">
        <v>92560</v>
      </c>
      <c r="F357" s="2" t="s">
        <v>32</v>
      </c>
      <c r="G357" s="2" t="s">
        <v>14</v>
      </c>
      <c r="H357" t="str">
        <f t="shared" si="10"/>
        <v>Tesla</v>
      </c>
      <c r="I357" t="str">
        <f t="shared" si="11"/>
        <v>Minivan</v>
      </c>
    </row>
    <row r="358" spans="1:9">
      <c r="A358" s="2">
        <v>357</v>
      </c>
      <c r="B358" s="2" t="s">
        <v>53</v>
      </c>
      <c r="C358" s="2" t="s">
        <v>8</v>
      </c>
      <c r="D358" s="2">
        <v>27</v>
      </c>
      <c r="E358" s="3">
        <v>54768</v>
      </c>
      <c r="F358" s="2" t="s">
        <v>13</v>
      </c>
      <c r="G358" s="2" t="s">
        <v>14</v>
      </c>
      <c r="H358" t="str">
        <f t="shared" si="10"/>
        <v>BMW</v>
      </c>
      <c r="I358" t="str">
        <f t="shared" si="11"/>
        <v>Minivan</v>
      </c>
    </row>
    <row r="359" spans="1:9">
      <c r="A359" s="2">
        <v>358</v>
      </c>
      <c r="B359" s="2" t="s">
        <v>64</v>
      </c>
      <c r="C359" s="2" t="s">
        <v>8</v>
      </c>
      <c r="D359" s="2">
        <v>40</v>
      </c>
      <c r="E359" s="3">
        <v>57222</v>
      </c>
      <c r="F359" s="2" t="s">
        <v>13</v>
      </c>
      <c r="G359" s="2" t="s">
        <v>26</v>
      </c>
      <c r="H359" t="str">
        <f t="shared" si="10"/>
        <v>Tesla</v>
      </c>
      <c r="I359" t="str">
        <f t="shared" si="11"/>
        <v>Coupe</v>
      </c>
    </row>
    <row r="360" spans="1:9">
      <c r="A360" s="2">
        <v>359</v>
      </c>
      <c r="B360" s="2" t="s">
        <v>49</v>
      </c>
      <c r="C360" s="2" t="s">
        <v>12</v>
      </c>
      <c r="D360" s="2">
        <v>44</v>
      </c>
      <c r="E360" s="3">
        <v>83028</v>
      </c>
      <c r="F360" s="2" t="s">
        <v>13</v>
      </c>
      <c r="G360" s="2" t="s">
        <v>23</v>
      </c>
      <c r="H360" t="str">
        <f t="shared" si="10"/>
        <v>Chevrolet</v>
      </c>
      <c r="I360" t="str">
        <f t="shared" si="11"/>
        <v>Sedan</v>
      </c>
    </row>
    <row r="361" spans="1:9">
      <c r="A361" s="2">
        <v>360</v>
      </c>
      <c r="B361" s="2" t="s">
        <v>81</v>
      </c>
      <c r="C361" s="2" t="s">
        <v>8</v>
      </c>
      <c r="D361" s="2">
        <v>29</v>
      </c>
      <c r="E361" s="3">
        <v>97904</v>
      </c>
      <c r="F361" s="2" t="s">
        <v>32</v>
      </c>
      <c r="G361" s="2" t="s">
        <v>18</v>
      </c>
      <c r="H361" t="str">
        <f t="shared" si="10"/>
        <v>Nissan</v>
      </c>
      <c r="I361" t="str">
        <f t="shared" si="11"/>
        <v>Hatchback</v>
      </c>
    </row>
    <row r="362" spans="1:9">
      <c r="A362" s="2">
        <v>361</v>
      </c>
      <c r="B362" s="2" t="s">
        <v>43</v>
      </c>
      <c r="C362" s="2" t="s">
        <v>12</v>
      </c>
      <c r="D362" s="2">
        <v>14</v>
      </c>
      <c r="E362" s="3">
        <v>62030</v>
      </c>
      <c r="F362" s="2" t="s">
        <v>25</v>
      </c>
      <c r="G362" s="2" t="s">
        <v>14</v>
      </c>
      <c r="H362" t="str">
        <f t="shared" si="10"/>
        <v>Hyundai</v>
      </c>
      <c r="I362" t="str">
        <f t="shared" si="11"/>
        <v>SUV</v>
      </c>
    </row>
    <row r="363" spans="1:9">
      <c r="A363" s="2">
        <v>362</v>
      </c>
      <c r="B363" s="2" t="s">
        <v>55</v>
      </c>
      <c r="C363" s="2" t="s">
        <v>22</v>
      </c>
      <c r="D363" s="2">
        <v>6</v>
      </c>
      <c r="E363" s="3">
        <v>95683</v>
      </c>
      <c r="F363" s="2" t="s">
        <v>13</v>
      </c>
      <c r="G363" s="2" t="s">
        <v>18</v>
      </c>
      <c r="H363" t="str">
        <f t="shared" si="10"/>
        <v>Chevrolet</v>
      </c>
      <c r="I363" t="str">
        <f t="shared" si="11"/>
        <v>Hatchback</v>
      </c>
    </row>
    <row r="364" spans="1:9">
      <c r="A364" s="2">
        <v>363</v>
      </c>
      <c r="B364" s="2" t="s">
        <v>11</v>
      </c>
      <c r="C364" s="2" t="s">
        <v>8</v>
      </c>
      <c r="D364" s="2">
        <v>7</v>
      </c>
      <c r="E364" s="3">
        <v>30307</v>
      </c>
      <c r="F364" s="2" t="s">
        <v>13</v>
      </c>
      <c r="G364" s="2" t="s">
        <v>14</v>
      </c>
      <c r="H364" t="str">
        <f t="shared" si="10"/>
        <v>Toyota</v>
      </c>
      <c r="I364" t="str">
        <f t="shared" si="11"/>
        <v>Hatchback</v>
      </c>
    </row>
    <row r="365" spans="1:9">
      <c r="A365" s="2">
        <v>364</v>
      </c>
      <c r="B365" s="2" t="s">
        <v>60</v>
      </c>
      <c r="C365" s="2" t="s">
        <v>8</v>
      </c>
      <c r="D365" s="2">
        <v>9</v>
      </c>
      <c r="E365" s="3">
        <v>42150</v>
      </c>
      <c r="F365" s="2" t="s">
        <v>32</v>
      </c>
      <c r="G365" s="2" t="s">
        <v>29</v>
      </c>
      <c r="H365" t="str">
        <f t="shared" si="10"/>
        <v>Ford</v>
      </c>
      <c r="I365" t="str">
        <f t="shared" si="11"/>
        <v>Convertible</v>
      </c>
    </row>
    <row r="366" spans="1:9">
      <c r="A366" s="2">
        <v>365</v>
      </c>
      <c r="B366" s="2" t="s">
        <v>82</v>
      </c>
      <c r="C366" s="2" t="s">
        <v>22</v>
      </c>
      <c r="D366" s="2">
        <v>49</v>
      </c>
      <c r="E366" s="3">
        <v>53841</v>
      </c>
      <c r="F366" s="2" t="s">
        <v>28</v>
      </c>
      <c r="G366" s="2" t="s">
        <v>10</v>
      </c>
      <c r="H366" t="str">
        <f t="shared" si="10"/>
        <v>Audi</v>
      </c>
      <c r="I366" t="str">
        <f t="shared" si="11"/>
        <v>Sedan</v>
      </c>
    </row>
    <row r="367" spans="1:9">
      <c r="A367" s="2">
        <v>366</v>
      </c>
      <c r="B367" s="2" t="s">
        <v>49</v>
      </c>
      <c r="C367" s="2" t="s">
        <v>12</v>
      </c>
      <c r="D367" s="2">
        <v>8</v>
      </c>
      <c r="E367" s="3">
        <v>40082</v>
      </c>
      <c r="F367" s="2" t="s">
        <v>20</v>
      </c>
      <c r="G367" s="2" t="s">
        <v>26</v>
      </c>
      <c r="H367" t="str">
        <f t="shared" si="10"/>
        <v>Chevrolet</v>
      </c>
      <c r="I367" t="str">
        <f t="shared" si="11"/>
        <v>Sedan</v>
      </c>
    </row>
    <row r="368" spans="1:9">
      <c r="A368" s="2">
        <v>367</v>
      </c>
      <c r="B368" s="2" t="s">
        <v>76</v>
      </c>
      <c r="C368" s="2" t="s">
        <v>8</v>
      </c>
      <c r="D368" s="2">
        <v>38</v>
      </c>
      <c r="E368" s="3">
        <v>99499</v>
      </c>
      <c r="F368" s="2" t="s">
        <v>13</v>
      </c>
      <c r="G368" s="2" t="s">
        <v>23</v>
      </c>
      <c r="H368" t="str">
        <f t="shared" si="10"/>
        <v>Toyota</v>
      </c>
      <c r="I368" t="str">
        <f t="shared" si="11"/>
        <v>Minivan</v>
      </c>
    </row>
    <row r="369" spans="1:9">
      <c r="A369" s="2">
        <v>368</v>
      </c>
      <c r="B369" s="2" t="s">
        <v>89</v>
      </c>
      <c r="C369" s="2" t="s">
        <v>22</v>
      </c>
      <c r="D369" s="2">
        <v>47</v>
      </c>
      <c r="E369" s="3">
        <v>43961</v>
      </c>
      <c r="F369" s="2" t="s">
        <v>32</v>
      </c>
      <c r="G369" s="2" t="s">
        <v>10</v>
      </c>
      <c r="H369" t="str">
        <f t="shared" si="10"/>
        <v>Toyota</v>
      </c>
      <c r="I369" t="str">
        <f t="shared" si="11"/>
        <v>Truck</v>
      </c>
    </row>
    <row r="370" spans="1:9">
      <c r="A370" s="2">
        <v>369</v>
      </c>
      <c r="B370" s="2" t="s">
        <v>77</v>
      </c>
      <c r="C370" s="2" t="s">
        <v>12</v>
      </c>
      <c r="D370" s="2">
        <v>25</v>
      </c>
      <c r="E370" s="3">
        <v>29616</v>
      </c>
      <c r="F370" s="2" t="s">
        <v>28</v>
      </c>
      <c r="G370" s="2" t="s">
        <v>26</v>
      </c>
      <c r="H370" t="str">
        <f t="shared" si="10"/>
        <v>BMW</v>
      </c>
      <c r="I370" t="str">
        <f t="shared" si="11"/>
        <v>SUV</v>
      </c>
    </row>
    <row r="371" spans="1:9">
      <c r="A371" s="2">
        <v>370</v>
      </c>
      <c r="B371" s="2" t="s">
        <v>91</v>
      </c>
      <c r="C371" s="2" t="s">
        <v>8</v>
      </c>
      <c r="D371" s="2">
        <v>23</v>
      </c>
      <c r="E371" s="3">
        <v>31204</v>
      </c>
      <c r="F371" s="2" t="s">
        <v>28</v>
      </c>
      <c r="G371" s="2" t="s">
        <v>18</v>
      </c>
      <c r="H371" t="str">
        <f t="shared" si="10"/>
        <v>Honda</v>
      </c>
      <c r="I371" t="str">
        <f t="shared" si="11"/>
        <v>SUV</v>
      </c>
    </row>
    <row r="372" spans="1:9">
      <c r="A372" s="2">
        <v>371</v>
      </c>
      <c r="B372" s="2" t="s">
        <v>62</v>
      </c>
      <c r="C372" s="2" t="s">
        <v>16</v>
      </c>
      <c r="D372" s="2">
        <v>28</v>
      </c>
      <c r="E372" s="3">
        <v>88797</v>
      </c>
      <c r="F372" s="2" t="s">
        <v>28</v>
      </c>
      <c r="G372" s="2" t="s">
        <v>26</v>
      </c>
      <c r="H372" t="str">
        <f t="shared" si="10"/>
        <v>Chevrolet</v>
      </c>
      <c r="I372" t="str">
        <f t="shared" si="11"/>
        <v>Minivan</v>
      </c>
    </row>
    <row r="373" spans="1:9">
      <c r="A373" s="2">
        <v>372</v>
      </c>
      <c r="B373" s="2" t="s">
        <v>24</v>
      </c>
      <c r="C373" s="2" t="s">
        <v>22</v>
      </c>
      <c r="D373" s="2">
        <v>21</v>
      </c>
      <c r="E373" s="3">
        <v>49863</v>
      </c>
      <c r="F373" s="2" t="s">
        <v>13</v>
      </c>
      <c r="G373" s="2" t="s">
        <v>10</v>
      </c>
      <c r="H373" t="str">
        <f t="shared" si="10"/>
        <v>Honda</v>
      </c>
      <c r="I373" t="str">
        <f t="shared" si="11"/>
        <v>Convertible</v>
      </c>
    </row>
    <row r="374" spans="1:9">
      <c r="A374" s="2">
        <v>373</v>
      </c>
      <c r="B374" s="2" t="s">
        <v>43</v>
      </c>
      <c r="C374" s="2" t="s">
        <v>12</v>
      </c>
      <c r="D374" s="2">
        <v>9</v>
      </c>
      <c r="E374" s="3">
        <v>81053</v>
      </c>
      <c r="F374" s="2" t="s">
        <v>32</v>
      </c>
      <c r="G374" s="2" t="s">
        <v>10</v>
      </c>
      <c r="H374" t="str">
        <f t="shared" si="10"/>
        <v>Hyundai</v>
      </c>
      <c r="I374" t="str">
        <f t="shared" si="11"/>
        <v>SUV</v>
      </c>
    </row>
    <row r="375" spans="1:9">
      <c r="A375" s="2">
        <v>374</v>
      </c>
      <c r="B375" s="2" t="s">
        <v>57</v>
      </c>
      <c r="C375" s="2" t="s">
        <v>16</v>
      </c>
      <c r="D375" s="2">
        <v>16</v>
      </c>
      <c r="E375" s="3">
        <v>63867</v>
      </c>
      <c r="F375" s="2" t="s">
        <v>20</v>
      </c>
      <c r="G375" s="2" t="s">
        <v>10</v>
      </c>
      <c r="H375" t="str">
        <f t="shared" si="10"/>
        <v>Nissan</v>
      </c>
      <c r="I375" t="str">
        <f t="shared" si="11"/>
        <v>Sedan</v>
      </c>
    </row>
    <row r="376" spans="1:9">
      <c r="A376" s="2">
        <v>375</v>
      </c>
      <c r="B376" s="2" t="s">
        <v>47</v>
      </c>
      <c r="C376" s="2" t="s">
        <v>12</v>
      </c>
      <c r="D376" s="2">
        <v>18</v>
      </c>
      <c r="E376" s="3">
        <v>41748</v>
      </c>
      <c r="F376" s="2" t="s">
        <v>25</v>
      </c>
      <c r="G376" s="2" t="s">
        <v>10</v>
      </c>
      <c r="H376" t="str">
        <f t="shared" si="10"/>
        <v>Audi</v>
      </c>
      <c r="I376" t="str">
        <f t="shared" si="11"/>
        <v>Minivan</v>
      </c>
    </row>
    <row r="377" spans="1:9">
      <c r="A377" s="2">
        <v>376</v>
      </c>
      <c r="B377" s="2" t="s">
        <v>39</v>
      </c>
      <c r="C377" s="2" t="s">
        <v>16</v>
      </c>
      <c r="D377" s="2">
        <v>42</v>
      </c>
      <c r="E377" s="3">
        <v>61565</v>
      </c>
      <c r="F377" s="2" t="s">
        <v>25</v>
      </c>
      <c r="G377" s="2" t="s">
        <v>23</v>
      </c>
      <c r="H377" t="str">
        <f t="shared" si="10"/>
        <v>Nissan</v>
      </c>
      <c r="I377" t="str">
        <f t="shared" si="11"/>
        <v>Minivan</v>
      </c>
    </row>
    <row r="378" spans="1:9">
      <c r="A378" s="2">
        <v>377</v>
      </c>
      <c r="B378" s="2" t="s">
        <v>35</v>
      </c>
      <c r="C378" s="2" t="s">
        <v>16</v>
      </c>
      <c r="D378" s="2">
        <v>6</v>
      </c>
      <c r="E378" s="3">
        <v>26782</v>
      </c>
      <c r="F378" s="2" t="s">
        <v>28</v>
      </c>
      <c r="G378" s="2" t="s">
        <v>29</v>
      </c>
      <c r="H378" t="str">
        <f t="shared" si="10"/>
        <v>Toyota</v>
      </c>
      <c r="I378" t="str">
        <f t="shared" si="11"/>
        <v>Convertible</v>
      </c>
    </row>
    <row r="379" spans="1:9">
      <c r="A379" s="2">
        <v>378</v>
      </c>
      <c r="B379" s="2" t="s">
        <v>58</v>
      </c>
      <c r="C379" s="2" t="s">
        <v>22</v>
      </c>
      <c r="D379" s="2">
        <v>16</v>
      </c>
      <c r="E379" s="3">
        <v>85307</v>
      </c>
      <c r="F379" s="2" t="s">
        <v>20</v>
      </c>
      <c r="G379" s="2" t="s">
        <v>26</v>
      </c>
      <c r="H379" t="str">
        <f t="shared" si="10"/>
        <v>Ford</v>
      </c>
      <c r="I379" t="str">
        <f t="shared" si="11"/>
        <v>SUV</v>
      </c>
    </row>
    <row r="380" spans="1:9">
      <c r="A380" s="2">
        <v>379</v>
      </c>
      <c r="B380" s="2" t="s">
        <v>60</v>
      </c>
      <c r="C380" s="2" t="s">
        <v>22</v>
      </c>
      <c r="D380" s="2">
        <v>36</v>
      </c>
      <c r="E380" s="3">
        <v>80828</v>
      </c>
      <c r="F380" s="2" t="s">
        <v>9</v>
      </c>
      <c r="G380" s="2" t="s">
        <v>29</v>
      </c>
      <c r="H380" t="str">
        <f t="shared" si="10"/>
        <v>Ford</v>
      </c>
      <c r="I380" t="str">
        <f t="shared" si="11"/>
        <v>Convertible</v>
      </c>
    </row>
    <row r="381" spans="1:9">
      <c r="A381" s="2">
        <v>380</v>
      </c>
      <c r="B381" s="2" t="s">
        <v>91</v>
      </c>
      <c r="C381" s="2" t="s">
        <v>16</v>
      </c>
      <c r="D381" s="2">
        <v>39</v>
      </c>
      <c r="E381" s="3">
        <v>37443</v>
      </c>
      <c r="F381" s="2" t="s">
        <v>9</v>
      </c>
      <c r="G381" s="2" t="s">
        <v>10</v>
      </c>
      <c r="H381" t="str">
        <f t="shared" si="10"/>
        <v>Honda</v>
      </c>
      <c r="I381" t="str">
        <f t="shared" si="11"/>
        <v>SUV</v>
      </c>
    </row>
    <row r="382" spans="1:9">
      <c r="A382" s="2">
        <v>381</v>
      </c>
      <c r="B382" s="2" t="s">
        <v>39</v>
      </c>
      <c r="C382" s="2" t="s">
        <v>22</v>
      </c>
      <c r="D382" s="2">
        <v>39</v>
      </c>
      <c r="E382" s="3">
        <v>50416</v>
      </c>
      <c r="F382" s="2" t="s">
        <v>28</v>
      </c>
      <c r="G382" s="2" t="s">
        <v>29</v>
      </c>
      <c r="H382" t="str">
        <f t="shared" si="10"/>
        <v>Nissan</v>
      </c>
      <c r="I382" t="str">
        <f t="shared" si="11"/>
        <v>Minivan</v>
      </c>
    </row>
    <row r="383" spans="1:9">
      <c r="A383" s="2">
        <v>382</v>
      </c>
      <c r="B383" s="2" t="s">
        <v>76</v>
      </c>
      <c r="C383" s="2" t="s">
        <v>12</v>
      </c>
      <c r="D383" s="2">
        <v>47</v>
      </c>
      <c r="E383" s="3">
        <v>72515</v>
      </c>
      <c r="F383" s="2" t="s">
        <v>9</v>
      </c>
      <c r="G383" s="2" t="s">
        <v>29</v>
      </c>
      <c r="H383" t="str">
        <f t="shared" si="10"/>
        <v>Toyota</v>
      </c>
      <c r="I383" t="str">
        <f t="shared" si="11"/>
        <v>Minivan</v>
      </c>
    </row>
    <row r="384" spans="1:9">
      <c r="A384" s="2">
        <v>383</v>
      </c>
      <c r="B384" s="2" t="s">
        <v>77</v>
      </c>
      <c r="C384" s="2" t="s">
        <v>8</v>
      </c>
      <c r="D384" s="2">
        <v>39</v>
      </c>
      <c r="E384" s="3">
        <v>35200</v>
      </c>
      <c r="F384" s="2" t="s">
        <v>32</v>
      </c>
      <c r="G384" s="2" t="s">
        <v>23</v>
      </c>
      <c r="H384" t="str">
        <f t="shared" si="10"/>
        <v>BMW</v>
      </c>
      <c r="I384" t="str">
        <f t="shared" si="11"/>
        <v>SUV</v>
      </c>
    </row>
    <row r="385" spans="1:9">
      <c r="A385" s="2">
        <v>384</v>
      </c>
      <c r="B385" s="2" t="s">
        <v>90</v>
      </c>
      <c r="C385" s="2" t="s">
        <v>12</v>
      </c>
      <c r="D385" s="2">
        <v>19</v>
      </c>
      <c r="E385" s="3">
        <v>81837</v>
      </c>
      <c r="F385" s="2" t="s">
        <v>17</v>
      </c>
      <c r="G385" s="2" t="s">
        <v>10</v>
      </c>
      <c r="H385" t="str">
        <f t="shared" si="10"/>
        <v>Volkswagen</v>
      </c>
      <c r="I385" t="str">
        <f t="shared" si="11"/>
        <v>Truck</v>
      </c>
    </row>
    <row r="386" spans="1:9">
      <c r="A386" s="2">
        <v>385</v>
      </c>
      <c r="B386" s="2" t="s">
        <v>39</v>
      </c>
      <c r="C386" s="2" t="s">
        <v>16</v>
      </c>
      <c r="D386" s="2">
        <v>50</v>
      </c>
      <c r="E386" s="3">
        <v>63289</v>
      </c>
      <c r="F386" s="2" t="s">
        <v>38</v>
      </c>
      <c r="G386" s="2" t="s">
        <v>18</v>
      </c>
      <c r="H386" t="str">
        <f t="shared" si="10"/>
        <v>Nissan</v>
      </c>
      <c r="I386" t="str">
        <f t="shared" si="11"/>
        <v>Minivan</v>
      </c>
    </row>
    <row r="387" spans="1:9">
      <c r="A387" s="2">
        <v>386</v>
      </c>
      <c r="B387" s="2" t="s">
        <v>91</v>
      </c>
      <c r="C387" s="2" t="s">
        <v>12</v>
      </c>
      <c r="D387" s="2">
        <v>45</v>
      </c>
      <c r="E387" s="3">
        <v>99044</v>
      </c>
      <c r="F387" s="2" t="s">
        <v>25</v>
      </c>
      <c r="G387" s="2" t="s">
        <v>10</v>
      </c>
      <c r="H387" t="str">
        <f t="shared" ref="H387:H450" si="12">LEFT(B387,FIND(",",B387)-1)</f>
        <v>Honda</v>
      </c>
      <c r="I387" t="str">
        <f t="shared" ref="I387:I450" si="13">TRIM(MID(B387,FIND(",",B387)+1,LEN(B387)))</f>
        <v>SUV</v>
      </c>
    </row>
    <row r="388" spans="1:9">
      <c r="A388" s="2">
        <v>387</v>
      </c>
      <c r="B388" s="2" t="s">
        <v>47</v>
      </c>
      <c r="C388" s="2" t="s">
        <v>16</v>
      </c>
      <c r="D388" s="2">
        <v>2</v>
      </c>
      <c r="E388" s="3">
        <v>94002</v>
      </c>
      <c r="F388" s="2" t="s">
        <v>38</v>
      </c>
      <c r="G388" s="2" t="s">
        <v>29</v>
      </c>
      <c r="H388" t="str">
        <f t="shared" si="12"/>
        <v>Audi</v>
      </c>
      <c r="I388" t="str">
        <f t="shared" si="13"/>
        <v>Minivan</v>
      </c>
    </row>
    <row r="389" spans="1:9">
      <c r="A389" s="2">
        <v>388</v>
      </c>
      <c r="B389" s="2" t="s">
        <v>24</v>
      </c>
      <c r="C389" s="2" t="s">
        <v>12</v>
      </c>
      <c r="D389" s="2">
        <v>43</v>
      </c>
      <c r="E389" s="3">
        <v>92482</v>
      </c>
      <c r="F389" s="2" t="s">
        <v>38</v>
      </c>
      <c r="G389" s="2" t="s">
        <v>18</v>
      </c>
      <c r="H389" t="str">
        <f t="shared" si="12"/>
        <v>Honda</v>
      </c>
      <c r="I389" t="str">
        <f t="shared" si="13"/>
        <v>Convertible</v>
      </c>
    </row>
    <row r="390" spans="1:9">
      <c r="A390" s="2">
        <v>389</v>
      </c>
      <c r="B390" s="2" t="s">
        <v>85</v>
      </c>
      <c r="C390" s="2" t="s">
        <v>12</v>
      </c>
      <c r="D390" s="2">
        <v>20</v>
      </c>
      <c r="E390" s="3">
        <v>26959</v>
      </c>
      <c r="F390" s="2" t="s">
        <v>25</v>
      </c>
      <c r="G390" s="2" t="s">
        <v>26</v>
      </c>
      <c r="H390" t="str">
        <f t="shared" si="12"/>
        <v>Toyota</v>
      </c>
      <c r="I390" t="str">
        <f t="shared" si="13"/>
        <v>Sedan</v>
      </c>
    </row>
    <row r="391" spans="1:9">
      <c r="A391" s="2">
        <v>390</v>
      </c>
      <c r="B391" s="2" t="s">
        <v>15</v>
      </c>
      <c r="C391" s="2" t="s">
        <v>22</v>
      </c>
      <c r="D391" s="2">
        <v>14</v>
      </c>
      <c r="E391" s="3">
        <v>86081</v>
      </c>
      <c r="F391" s="2" t="s">
        <v>20</v>
      </c>
      <c r="G391" s="2" t="s">
        <v>29</v>
      </c>
      <c r="H391" t="str">
        <f t="shared" si="12"/>
        <v>Chevrolet</v>
      </c>
      <c r="I391" t="str">
        <f t="shared" si="13"/>
        <v>Truck</v>
      </c>
    </row>
    <row r="392" spans="1:9">
      <c r="A392" s="2">
        <v>391</v>
      </c>
      <c r="B392" s="2" t="s">
        <v>53</v>
      </c>
      <c r="C392" s="2" t="s">
        <v>16</v>
      </c>
      <c r="D392" s="2">
        <v>34</v>
      </c>
      <c r="E392" s="3">
        <v>92934</v>
      </c>
      <c r="F392" s="2" t="s">
        <v>28</v>
      </c>
      <c r="G392" s="2" t="s">
        <v>29</v>
      </c>
      <c r="H392" t="str">
        <f t="shared" si="12"/>
        <v>BMW</v>
      </c>
      <c r="I392" t="str">
        <f t="shared" si="13"/>
        <v>Minivan</v>
      </c>
    </row>
    <row r="393" spans="1:9">
      <c r="A393" s="2">
        <v>392</v>
      </c>
      <c r="B393" s="2" t="s">
        <v>45</v>
      </c>
      <c r="C393" s="2" t="s">
        <v>16</v>
      </c>
      <c r="D393" s="2">
        <v>39</v>
      </c>
      <c r="E393" s="3">
        <v>92845</v>
      </c>
      <c r="F393" s="2" t="s">
        <v>28</v>
      </c>
      <c r="G393" s="2" t="s">
        <v>14</v>
      </c>
      <c r="H393" t="str">
        <f t="shared" si="12"/>
        <v>Toyota</v>
      </c>
      <c r="I393" t="str">
        <f t="shared" si="13"/>
        <v>SUV</v>
      </c>
    </row>
    <row r="394" spans="1:9">
      <c r="A394" s="2">
        <v>393</v>
      </c>
      <c r="B394" s="2" t="s">
        <v>77</v>
      </c>
      <c r="C394" s="2" t="s">
        <v>8</v>
      </c>
      <c r="D394" s="2">
        <v>33</v>
      </c>
      <c r="E394" s="3">
        <v>91383</v>
      </c>
      <c r="F394" s="2" t="s">
        <v>25</v>
      </c>
      <c r="G394" s="2" t="s">
        <v>14</v>
      </c>
      <c r="H394" t="str">
        <f t="shared" si="12"/>
        <v>BMW</v>
      </c>
      <c r="I394" t="str">
        <f t="shared" si="13"/>
        <v>SUV</v>
      </c>
    </row>
    <row r="395" spans="1:9">
      <c r="A395" s="2">
        <v>394</v>
      </c>
      <c r="B395" s="2" t="s">
        <v>21</v>
      </c>
      <c r="C395" s="2" t="s">
        <v>12</v>
      </c>
      <c r="D395" s="2">
        <v>13</v>
      </c>
      <c r="E395" s="3">
        <v>81592</v>
      </c>
      <c r="F395" s="2" t="s">
        <v>9</v>
      </c>
      <c r="G395" s="2" t="s">
        <v>26</v>
      </c>
      <c r="H395" t="str">
        <f t="shared" si="12"/>
        <v>Tesla</v>
      </c>
      <c r="I395" t="str">
        <f t="shared" si="13"/>
        <v>Convertible</v>
      </c>
    </row>
    <row r="396" spans="1:9">
      <c r="A396" s="2">
        <v>395</v>
      </c>
      <c r="B396" s="2" t="s">
        <v>37</v>
      </c>
      <c r="C396" s="2" t="s">
        <v>12</v>
      </c>
      <c r="D396" s="2">
        <v>48</v>
      </c>
      <c r="E396" s="3">
        <v>58525</v>
      </c>
      <c r="F396" s="2" t="s">
        <v>38</v>
      </c>
      <c r="G396" s="2" t="s">
        <v>14</v>
      </c>
      <c r="H396" t="str">
        <f t="shared" si="12"/>
        <v>Tesla</v>
      </c>
      <c r="I396" t="str">
        <f t="shared" si="13"/>
        <v>Truck</v>
      </c>
    </row>
    <row r="397" spans="1:9">
      <c r="A397" s="2">
        <v>396</v>
      </c>
      <c r="B397" s="2" t="s">
        <v>31</v>
      </c>
      <c r="C397" s="2" t="s">
        <v>8</v>
      </c>
      <c r="D397" s="2">
        <v>26</v>
      </c>
      <c r="E397" s="3">
        <v>37903</v>
      </c>
      <c r="F397" s="2" t="s">
        <v>32</v>
      </c>
      <c r="G397" s="2" t="s">
        <v>29</v>
      </c>
      <c r="H397" t="str">
        <f t="shared" si="12"/>
        <v>Ford</v>
      </c>
      <c r="I397" t="str">
        <f t="shared" si="13"/>
        <v>Minivan</v>
      </c>
    </row>
    <row r="398" spans="1:9">
      <c r="A398" s="2">
        <v>397</v>
      </c>
      <c r="B398" s="2" t="s">
        <v>77</v>
      </c>
      <c r="C398" s="2" t="s">
        <v>16</v>
      </c>
      <c r="D398" s="2">
        <v>19</v>
      </c>
      <c r="E398" s="3">
        <v>44740</v>
      </c>
      <c r="F398" s="2" t="s">
        <v>20</v>
      </c>
      <c r="G398" s="2" t="s">
        <v>26</v>
      </c>
      <c r="H398" t="str">
        <f t="shared" si="12"/>
        <v>BMW</v>
      </c>
      <c r="I398" t="str">
        <f t="shared" si="13"/>
        <v>SUV</v>
      </c>
    </row>
    <row r="399" spans="1:9">
      <c r="A399" s="2">
        <v>398</v>
      </c>
      <c r="B399" s="2" t="s">
        <v>57</v>
      </c>
      <c r="C399" s="2" t="s">
        <v>12</v>
      </c>
      <c r="D399" s="2">
        <v>42</v>
      </c>
      <c r="E399" s="3">
        <v>41499</v>
      </c>
      <c r="F399" s="2" t="s">
        <v>25</v>
      </c>
      <c r="G399" s="2" t="s">
        <v>10</v>
      </c>
      <c r="H399" t="str">
        <f t="shared" si="12"/>
        <v>Nissan</v>
      </c>
      <c r="I399" t="str">
        <f t="shared" si="13"/>
        <v>Sedan</v>
      </c>
    </row>
    <row r="400" spans="1:9">
      <c r="A400" s="2">
        <v>399</v>
      </c>
      <c r="B400" s="2" t="s">
        <v>74</v>
      </c>
      <c r="C400" s="2" t="s">
        <v>8</v>
      </c>
      <c r="D400" s="2">
        <v>4</v>
      </c>
      <c r="E400" s="3">
        <v>55627</v>
      </c>
      <c r="F400" s="2" t="s">
        <v>38</v>
      </c>
      <c r="G400" s="2" t="s">
        <v>26</v>
      </c>
      <c r="H400" t="str">
        <f t="shared" si="12"/>
        <v>Audi</v>
      </c>
      <c r="I400" t="str">
        <f t="shared" si="13"/>
        <v>Hatchback</v>
      </c>
    </row>
    <row r="401" spans="1:9">
      <c r="A401" s="2">
        <v>400</v>
      </c>
      <c r="B401" s="2" t="s">
        <v>54</v>
      </c>
      <c r="C401" s="2" t="s">
        <v>8</v>
      </c>
      <c r="D401" s="2">
        <v>16</v>
      </c>
      <c r="E401" s="3">
        <v>96569</v>
      </c>
      <c r="F401" s="2" t="s">
        <v>9</v>
      </c>
      <c r="G401" s="2" t="s">
        <v>10</v>
      </c>
      <c r="H401" t="str">
        <f t="shared" si="12"/>
        <v>Volkswagen</v>
      </c>
      <c r="I401" t="str">
        <f t="shared" si="13"/>
        <v>Minivan</v>
      </c>
    </row>
    <row r="402" spans="1:9">
      <c r="A402" s="2">
        <v>401</v>
      </c>
      <c r="B402" s="2" t="s">
        <v>83</v>
      </c>
      <c r="C402" s="2" t="s">
        <v>8</v>
      </c>
      <c r="D402" s="2">
        <v>32</v>
      </c>
      <c r="E402" s="3">
        <v>35015</v>
      </c>
      <c r="F402" s="2" t="s">
        <v>32</v>
      </c>
      <c r="G402" s="2" t="s">
        <v>29</v>
      </c>
      <c r="H402" t="str">
        <f t="shared" si="12"/>
        <v>Honda</v>
      </c>
      <c r="I402" t="str">
        <f t="shared" si="13"/>
        <v>Sedan</v>
      </c>
    </row>
    <row r="403" spans="1:9">
      <c r="A403" s="2">
        <v>402</v>
      </c>
      <c r="B403" s="2" t="s">
        <v>66</v>
      </c>
      <c r="C403" s="2" t="s">
        <v>12</v>
      </c>
      <c r="D403" s="2">
        <v>25</v>
      </c>
      <c r="E403" s="3">
        <v>93880</v>
      </c>
      <c r="F403" s="2" t="s">
        <v>17</v>
      </c>
      <c r="G403" s="2" t="s">
        <v>14</v>
      </c>
      <c r="H403" t="str">
        <f t="shared" si="12"/>
        <v>Tesla</v>
      </c>
      <c r="I403" t="str">
        <f t="shared" si="13"/>
        <v>SUV</v>
      </c>
    </row>
    <row r="404" spans="1:9">
      <c r="A404" s="2">
        <v>403</v>
      </c>
      <c r="B404" s="2" t="s">
        <v>83</v>
      </c>
      <c r="C404" s="2" t="s">
        <v>16</v>
      </c>
      <c r="D404" s="2">
        <v>8</v>
      </c>
      <c r="E404" s="3">
        <v>78048</v>
      </c>
      <c r="F404" s="2" t="s">
        <v>13</v>
      </c>
      <c r="G404" s="2" t="s">
        <v>29</v>
      </c>
      <c r="H404" t="str">
        <f t="shared" si="12"/>
        <v>Honda</v>
      </c>
      <c r="I404" t="str">
        <f t="shared" si="13"/>
        <v>Sedan</v>
      </c>
    </row>
    <row r="405" spans="1:9">
      <c r="A405" s="2">
        <v>404</v>
      </c>
      <c r="B405" s="2" t="s">
        <v>50</v>
      </c>
      <c r="C405" s="2" t="s">
        <v>16</v>
      </c>
      <c r="D405" s="2">
        <v>16</v>
      </c>
      <c r="E405" s="3">
        <v>97254</v>
      </c>
      <c r="F405" s="2" t="s">
        <v>28</v>
      </c>
      <c r="G405" s="2" t="s">
        <v>26</v>
      </c>
      <c r="H405" t="str">
        <f t="shared" si="12"/>
        <v>Honda</v>
      </c>
      <c r="I405" t="str">
        <f t="shared" si="13"/>
        <v>Truck</v>
      </c>
    </row>
    <row r="406" spans="1:9">
      <c r="A406" s="2">
        <v>405</v>
      </c>
      <c r="B406" s="2" t="s">
        <v>47</v>
      </c>
      <c r="C406" s="2" t="s">
        <v>8</v>
      </c>
      <c r="D406" s="2">
        <v>32</v>
      </c>
      <c r="E406" s="3">
        <v>55035</v>
      </c>
      <c r="F406" s="2" t="s">
        <v>9</v>
      </c>
      <c r="G406" s="2" t="s">
        <v>10</v>
      </c>
      <c r="H406" t="str">
        <f t="shared" si="12"/>
        <v>Audi</v>
      </c>
      <c r="I406" t="str">
        <f t="shared" si="13"/>
        <v>Minivan</v>
      </c>
    </row>
    <row r="407" spans="1:9">
      <c r="A407" s="2">
        <v>406</v>
      </c>
      <c r="B407" s="2" t="s">
        <v>76</v>
      </c>
      <c r="C407" s="2" t="s">
        <v>8</v>
      </c>
      <c r="D407" s="2">
        <v>41</v>
      </c>
      <c r="E407" s="3">
        <v>74886</v>
      </c>
      <c r="F407" s="2" t="s">
        <v>17</v>
      </c>
      <c r="G407" s="2" t="s">
        <v>10</v>
      </c>
      <c r="H407" t="str">
        <f t="shared" si="12"/>
        <v>Toyota</v>
      </c>
      <c r="I407" t="str">
        <f t="shared" si="13"/>
        <v>Minivan</v>
      </c>
    </row>
    <row r="408" spans="1:9">
      <c r="A408" s="2">
        <v>407</v>
      </c>
      <c r="B408" s="2" t="s">
        <v>91</v>
      </c>
      <c r="C408" s="2" t="s">
        <v>16</v>
      </c>
      <c r="D408" s="2">
        <v>39</v>
      </c>
      <c r="E408" s="3">
        <v>89524</v>
      </c>
      <c r="F408" s="2" t="s">
        <v>9</v>
      </c>
      <c r="G408" s="2" t="s">
        <v>26</v>
      </c>
      <c r="H408" t="str">
        <f t="shared" si="12"/>
        <v>Honda</v>
      </c>
      <c r="I408" t="str">
        <f t="shared" si="13"/>
        <v>SUV</v>
      </c>
    </row>
    <row r="409" spans="1:9">
      <c r="A409" s="2">
        <v>408</v>
      </c>
      <c r="B409" s="2" t="s">
        <v>92</v>
      </c>
      <c r="C409" s="2" t="s">
        <v>8</v>
      </c>
      <c r="D409" s="2">
        <v>5</v>
      </c>
      <c r="E409" s="3">
        <v>83231</v>
      </c>
      <c r="F409" s="2" t="s">
        <v>38</v>
      </c>
      <c r="G409" s="2" t="s">
        <v>23</v>
      </c>
      <c r="H409" t="str">
        <f t="shared" si="12"/>
        <v>BMW</v>
      </c>
      <c r="I409" t="str">
        <f t="shared" si="13"/>
        <v>Convertible</v>
      </c>
    </row>
    <row r="410" spans="1:9">
      <c r="A410" s="2">
        <v>409</v>
      </c>
      <c r="B410" s="2" t="s">
        <v>79</v>
      </c>
      <c r="C410" s="2" t="s">
        <v>8</v>
      </c>
      <c r="D410" s="2">
        <v>34</v>
      </c>
      <c r="E410" s="3">
        <v>35004</v>
      </c>
      <c r="F410" s="2" t="s">
        <v>17</v>
      </c>
      <c r="G410" s="2" t="s">
        <v>10</v>
      </c>
      <c r="H410" t="str">
        <f t="shared" si="12"/>
        <v>Audi</v>
      </c>
      <c r="I410" t="str">
        <f t="shared" si="13"/>
        <v>Truck</v>
      </c>
    </row>
    <row r="411" spans="1:9">
      <c r="A411" s="2">
        <v>410</v>
      </c>
      <c r="B411" s="2" t="s">
        <v>80</v>
      </c>
      <c r="C411" s="2" t="s">
        <v>16</v>
      </c>
      <c r="D411" s="2">
        <v>1</v>
      </c>
      <c r="E411" s="3">
        <v>65911</v>
      </c>
      <c r="F411" s="2" t="s">
        <v>20</v>
      </c>
      <c r="G411" s="2" t="s">
        <v>23</v>
      </c>
      <c r="H411" t="str">
        <f t="shared" si="12"/>
        <v>Tesla</v>
      </c>
      <c r="I411" t="str">
        <f t="shared" si="13"/>
        <v>Sedan</v>
      </c>
    </row>
    <row r="412" spans="1:9">
      <c r="A412" s="2">
        <v>411</v>
      </c>
      <c r="B412" s="2" t="s">
        <v>86</v>
      </c>
      <c r="C412" s="2" t="s">
        <v>12</v>
      </c>
      <c r="D412" s="2">
        <v>24</v>
      </c>
      <c r="E412" s="3">
        <v>27932</v>
      </c>
      <c r="F412" s="2" t="s">
        <v>25</v>
      </c>
      <c r="G412" s="2" t="s">
        <v>29</v>
      </c>
      <c r="H412" t="str">
        <f t="shared" si="12"/>
        <v>Chevrolet</v>
      </c>
      <c r="I412" t="str">
        <f t="shared" si="13"/>
        <v>SUV</v>
      </c>
    </row>
    <row r="413" spans="1:9">
      <c r="A413" s="2">
        <v>412</v>
      </c>
      <c r="B413" s="2" t="s">
        <v>50</v>
      </c>
      <c r="C413" s="2" t="s">
        <v>8</v>
      </c>
      <c r="D413" s="2">
        <v>21</v>
      </c>
      <c r="E413" s="3">
        <v>56435</v>
      </c>
      <c r="F413" s="2" t="s">
        <v>38</v>
      </c>
      <c r="G413" s="2" t="s">
        <v>10</v>
      </c>
      <c r="H413" t="str">
        <f t="shared" si="12"/>
        <v>Honda</v>
      </c>
      <c r="I413" t="str">
        <f t="shared" si="13"/>
        <v>Truck</v>
      </c>
    </row>
    <row r="414" spans="1:9">
      <c r="A414" s="2">
        <v>413</v>
      </c>
      <c r="B414" s="2" t="s">
        <v>65</v>
      </c>
      <c r="C414" s="2" t="s">
        <v>12</v>
      </c>
      <c r="D414" s="2">
        <v>9</v>
      </c>
      <c r="E414" s="3">
        <v>46535</v>
      </c>
      <c r="F414" s="2" t="s">
        <v>28</v>
      </c>
      <c r="G414" s="2" t="s">
        <v>23</v>
      </c>
      <c r="H414" t="str">
        <f t="shared" si="12"/>
        <v>Ford</v>
      </c>
      <c r="I414" t="str">
        <f t="shared" si="13"/>
        <v>Sedan</v>
      </c>
    </row>
    <row r="415" spans="1:9">
      <c r="A415" s="2">
        <v>414</v>
      </c>
      <c r="B415" s="2" t="s">
        <v>41</v>
      </c>
      <c r="C415" s="2" t="s">
        <v>8</v>
      </c>
      <c r="D415" s="2">
        <v>25</v>
      </c>
      <c r="E415" s="3">
        <v>28513</v>
      </c>
      <c r="F415" s="2" t="s">
        <v>13</v>
      </c>
      <c r="G415" s="2" t="s">
        <v>10</v>
      </c>
      <c r="H415" t="str">
        <f t="shared" si="12"/>
        <v>Audi</v>
      </c>
      <c r="I415" t="str">
        <f t="shared" si="13"/>
        <v>SUV</v>
      </c>
    </row>
    <row r="416" spans="1:9">
      <c r="A416" s="2">
        <v>415</v>
      </c>
      <c r="B416" s="2" t="s">
        <v>11</v>
      </c>
      <c r="C416" s="2" t="s">
        <v>8</v>
      </c>
      <c r="D416" s="2">
        <v>37</v>
      </c>
      <c r="E416" s="3">
        <v>68384</v>
      </c>
      <c r="F416" s="2" t="s">
        <v>20</v>
      </c>
      <c r="G416" s="2" t="s">
        <v>23</v>
      </c>
      <c r="H416" t="str">
        <f t="shared" si="12"/>
        <v>Toyota</v>
      </c>
      <c r="I416" t="str">
        <f t="shared" si="13"/>
        <v>Hatchback</v>
      </c>
    </row>
    <row r="417" spans="1:9">
      <c r="A417" s="2">
        <v>416</v>
      </c>
      <c r="B417" s="2" t="s">
        <v>56</v>
      </c>
      <c r="C417" s="2" t="s">
        <v>8</v>
      </c>
      <c r="D417" s="2">
        <v>27</v>
      </c>
      <c r="E417" s="3">
        <v>39640</v>
      </c>
      <c r="F417" s="2" t="s">
        <v>9</v>
      </c>
      <c r="G417" s="2" t="s">
        <v>10</v>
      </c>
      <c r="H417" t="str">
        <f t="shared" si="12"/>
        <v>Hyundai</v>
      </c>
      <c r="I417" t="str">
        <f t="shared" si="13"/>
        <v>Coupe</v>
      </c>
    </row>
    <row r="418" spans="1:9">
      <c r="A418" s="2">
        <v>417</v>
      </c>
      <c r="B418" s="2" t="s">
        <v>21</v>
      </c>
      <c r="C418" s="2" t="s">
        <v>22</v>
      </c>
      <c r="D418" s="2">
        <v>24</v>
      </c>
      <c r="E418" s="3">
        <v>42916</v>
      </c>
      <c r="F418" s="2" t="s">
        <v>25</v>
      </c>
      <c r="G418" s="2" t="s">
        <v>10</v>
      </c>
      <c r="H418" t="str">
        <f t="shared" si="12"/>
        <v>Tesla</v>
      </c>
      <c r="I418" t="str">
        <f t="shared" si="13"/>
        <v>Convertible</v>
      </c>
    </row>
    <row r="419" spans="1:9">
      <c r="A419" s="2">
        <v>418</v>
      </c>
      <c r="B419" s="2" t="s">
        <v>80</v>
      </c>
      <c r="C419" s="2" t="s">
        <v>12</v>
      </c>
      <c r="D419" s="2">
        <v>35</v>
      </c>
      <c r="E419" s="3">
        <v>91893</v>
      </c>
      <c r="F419" s="2" t="s">
        <v>32</v>
      </c>
      <c r="G419" s="2" t="s">
        <v>18</v>
      </c>
      <c r="H419" t="str">
        <f t="shared" si="12"/>
        <v>Tesla</v>
      </c>
      <c r="I419" t="str">
        <f t="shared" si="13"/>
        <v>Sedan</v>
      </c>
    </row>
    <row r="420" spans="1:9">
      <c r="A420" s="2">
        <v>419</v>
      </c>
      <c r="B420" s="2" t="s">
        <v>78</v>
      </c>
      <c r="C420" s="2" t="s">
        <v>12</v>
      </c>
      <c r="D420" s="2">
        <v>44</v>
      </c>
      <c r="E420" s="3">
        <v>40884</v>
      </c>
      <c r="F420" s="2" t="s">
        <v>28</v>
      </c>
      <c r="G420" s="2" t="s">
        <v>29</v>
      </c>
      <c r="H420" t="str">
        <f t="shared" si="12"/>
        <v>Hyundai</v>
      </c>
      <c r="I420" t="str">
        <f t="shared" si="13"/>
        <v>Hatchback</v>
      </c>
    </row>
    <row r="421" spans="1:9">
      <c r="A421" s="2">
        <v>420</v>
      </c>
      <c r="B421" s="2" t="s">
        <v>67</v>
      </c>
      <c r="C421" s="2" t="s">
        <v>8</v>
      </c>
      <c r="D421" s="2">
        <v>12</v>
      </c>
      <c r="E421" s="3">
        <v>37323</v>
      </c>
      <c r="F421" s="2" t="s">
        <v>13</v>
      </c>
      <c r="G421" s="2" t="s">
        <v>29</v>
      </c>
      <c r="H421" t="str">
        <f t="shared" si="12"/>
        <v>BMW</v>
      </c>
      <c r="I421" t="str">
        <f t="shared" si="13"/>
        <v>Sedan</v>
      </c>
    </row>
    <row r="422" spans="1:9">
      <c r="A422" s="2">
        <v>421</v>
      </c>
      <c r="B422" s="2" t="s">
        <v>44</v>
      </c>
      <c r="C422" s="2" t="s">
        <v>16</v>
      </c>
      <c r="D422" s="2">
        <v>49</v>
      </c>
      <c r="E422" s="3">
        <v>48486</v>
      </c>
      <c r="F422" s="2" t="s">
        <v>38</v>
      </c>
      <c r="G422" s="2" t="s">
        <v>10</v>
      </c>
      <c r="H422" t="str">
        <f t="shared" si="12"/>
        <v>Chevrolet</v>
      </c>
      <c r="I422" t="str">
        <f t="shared" si="13"/>
        <v>Coupe</v>
      </c>
    </row>
    <row r="423" spans="1:9">
      <c r="A423" s="2">
        <v>422</v>
      </c>
      <c r="B423" s="2" t="s">
        <v>64</v>
      </c>
      <c r="C423" s="2" t="s">
        <v>8</v>
      </c>
      <c r="D423" s="2">
        <v>31</v>
      </c>
      <c r="E423" s="3">
        <v>88846</v>
      </c>
      <c r="F423" s="2" t="s">
        <v>20</v>
      </c>
      <c r="G423" s="2" t="s">
        <v>23</v>
      </c>
      <c r="H423" t="str">
        <f t="shared" si="12"/>
        <v>Tesla</v>
      </c>
      <c r="I423" t="str">
        <f t="shared" si="13"/>
        <v>Coupe</v>
      </c>
    </row>
    <row r="424" spans="1:9">
      <c r="A424" s="2">
        <v>423</v>
      </c>
      <c r="B424" s="2" t="s">
        <v>19</v>
      </c>
      <c r="C424" s="2" t="s">
        <v>22</v>
      </c>
      <c r="D424" s="2">
        <v>50</v>
      </c>
      <c r="E424" s="3">
        <v>92657</v>
      </c>
      <c r="F424" s="2" t="s">
        <v>32</v>
      </c>
      <c r="G424" s="2" t="s">
        <v>14</v>
      </c>
      <c r="H424" t="str">
        <f t="shared" si="12"/>
        <v>Tesla</v>
      </c>
      <c r="I424" t="str">
        <f t="shared" si="13"/>
        <v>Minivan</v>
      </c>
    </row>
    <row r="425" spans="1:9">
      <c r="A425" s="2">
        <v>424</v>
      </c>
      <c r="B425" s="2" t="s">
        <v>89</v>
      </c>
      <c r="C425" s="2" t="s">
        <v>8</v>
      </c>
      <c r="D425" s="2">
        <v>5</v>
      </c>
      <c r="E425" s="3">
        <v>98105</v>
      </c>
      <c r="F425" s="2" t="s">
        <v>13</v>
      </c>
      <c r="G425" s="2" t="s">
        <v>23</v>
      </c>
      <c r="H425" t="str">
        <f t="shared" si="12"/>
        <v>Toyota</v>
      </c>
      <c r="I425" t="str">
        <f t="shared" si="13"/>
        <v>Truck</v>
      </c>
    </row>
    <row r="426" spans="1:9">
      <c r="A426" s="2">
        <v>425</v>
      </c>
      <c r="B426" s="2" t="s">
        <v>21</v>
      </c>
      <c r="C426" s="2" t="s">
        <v>22</v>
      </c>
      <c r="D426" s="2">
        <v>2</v>
      </c>
      <c r="E426" s="3">
        <v>35304</v>
      </c>
      <c r="F426" s="2" t="s">
        <v>9</v>
      </c>
      <c r="G426" s="2" t="s">
        <v>10</v>
      </c>
      <c r="H426" t="str">
        <f t="shared" si="12"/>
        <v>Tesla</v>
      </c>
      <c r="I426" t="str">
        <f t="shared" si="13"/>
        <v>Convertible</v>
      </c>
    </row>
    <row r="427" spans="1:9">
      <c r="A427" s="2">
        <v>426</v>
      </c>
      <c r="B427" s="2" t="s">
        <v>59</v>
      </c>
      <c r="C427" s="2" t="s">
        <v>8</v>
      </c>
      <c r="D427" s="2">
        <v>38</v>
      </c>
      <c r="E427" s="3">
        <v>43780</v>
      </c>
      <c r="F427" s="2" t="s">
        <v>32</v>
      </c>
      <c r="G427" s="2" t="s">
        <v>26</v>
      </c>
      <c r="H427" t="str">
        <f t="shared" si="12"/>
        <v>Audi</v>
      </c>
      <c r="I427" t="str">
        <f t="shared" si="13"/>
        <v>Convertible</v>
      </c>
    </row>
    <row r="428" spans="1:9">
      <c r="A428" s="2">
        <v>427</v>
      </c>
      <c r="B428" s="2" t="s">
        <v>67</v>
      </c>
      <c r="C428" s="2" t="s">
        <v>12</v>
      </c>
      <c r="D428" s="2">
        <v>5</v>
      </c>
      <c r="E428" s="3">
        <v>54415</v>
      </c>
      <c r="F428" s="2" t="s">
        <v>38</v>
      </c>
      <c r="G428" s="2" t="s">
        <v>29</v>
      </c>
      <c r="H428" t="str">
        <f t="shared" si="12"/>
        <v>BMW</v>
      </c>
      <c r="I428" t="str">
        <f t="shared" si="13"/>
        <v>Sedan</v>
      </c>
    </row>
    <row r="429" spans="1:9">
      <c r="A429" s="2">
        <v>428</v>
      </c>
      <c r="B429" s="2" t="s">
        <v>44</v>
      </c>
      <c r="C429" s="2" t="s">
        <v>8</v>
      </c>
      <c r="D429" s="2">
        <v>1</v>
      </c>
      <c r="E429" s="3">
        <v>99323</v>
      </c>
      <c r="F429" s="2" t="s">
        <v>32</v>
      </c>
      <c r="G429" s="2" t="s">
        <v>26</v>
      </c>
      <c r="H429" t="str">
        <f t="shared" si="12"/>
        <v>Chevrolet</v>
      </c>
      <c r="I429" t="str">
        <f t="shared" si="13"/>
        <v>Coupe</v>
      </c>
    </row>
    <row r="430" spans="1:9">
      <c r="A430" s="2">
        <v>429</v>
      </c>
      <c r="B430" s="2" t="s">
        <v>60</v>
      </c>
      <c r="C430" s="2" t="s">
        <v>12</v>
      </c>
      <c r="D430" s="2">
        <v>17</v>
      </c>
      <c r="E430" s="3">
        <v>50205</v>
      </c>
      <c r="F430" s="2" t="s">
        <v>9</v>
      </c>
      <c r="G430" s="2" t="s">
        <v>23</v>
      </c>
      <c r="H430" t="str">
        <f t="shared" si="12"/>
        <v>Ford</v>
      </c>
      <c r="I430" t="str">
        <f t="shared" si="13"/>
        <v>Convertible</v>
      </c>
    </row>
    <row r="431" spans="1:9">
      <c r="A431" s="2">
        <v>430</v>
      </c>
      <c r="B431" s="2" t="s">
        <v>86</v>
      </c>
      <c r="C431" s="2" t="s">
        <v>16</v>
      </c>
      <c r="D431" s="2">
        <v>14</v>
      </c>
      <c r="E431" s="3">
        <v>55673</v>
      </c>
      <c r="F431" s="2" t="s">
        <v>20</v>
      </c>
      <c r="G431" s="2" t="s">
        <v>18</v>
      </c>
      <c r="H431" t="str">
        <f t="shared" si="12"/>
        <v>Chevrolet</v>
      </c>
      <c r="I431" t="str">
        <f t="shared" si="13"/>
        <v>SUV</v>
      </c>
    </row>
    <row r="432" spans="1:9">
      <c r="A432" s="2">
        <v>431</v>
      </c>
      <c r="B432" s="2" t="s">
        <v>92</v>
      </c>
      <c r="C432" s="2" t="s">
        <v>16</v>
      </c>
      <c r="D432" s="2">
        <v>3</v>
      </c>
      <c r="E432" s="3">
        <v>53100</v>
      </c>
      <c r="F432" s="2" t="s">
        <v>32</v>
      </c>
      <c r="G432" s="2" t="s">
        <v>10</v>
      </c>
      <c r="H432" t="str">
        <f t="shared" si="12"/>
        <v>BMW</v>
      </c>
      <c r="I432" t="str">
        <f t="shared" si="13"/>
        <v>Convertible</v>
      </c>
    </row>
    <row r="433" spans="1:9">
      <c r="A433" s="2">
        <v>432</v>
      </c>
      <c r="B433" s="2" t="s">
        <v>57</v>
      </c>
      <c r="C433" s="2" t="s">
        <v>8</v>
      </c>
      <c r="D433" s="2">
        <v>4</v>
      </c>
      <c r="E433" s="3">
        <v>48399</v>
      </c>
      <c r="F433" s="2" t="s">
        <v>9</v>
      </c>
      <c r="G433" s="2" t="s">
        <v>23</v>
      </c>
      <c r="H433" t="str">
        <f t="shared" si="12"/>
        <v>Nissan</v>
      </c>
      <c r="I433" t="str">
        <f t="shared" si="13"/>
        <v>Sedan</v>
      </c>
    </row>
    <row r="434" spans="1:9">
      <c r="A434" s="2">
        <v>433</v>
      </c>
      <c r="B434" s="2" t="s">
        <v>74</v>
      </c>
      <c r="C434" s="2" t="s">
        <v>8</v>
      </c>
      <c r="D434" s="2">
        <v>26</v>
      </c>
      <c r="E434" s="3">
        <v>64039</v>
      </c>
      <c r="F434" s="2" t="s">
        <v>13</v>
      </c>
      <c r="G434" s="2" t="s">
        <v>23</v>
      </c>
      <c r="H434" t="str">
        <f t="shared" si="12"/>
        <v>Audi</v>
      </c>
      <c r="I434" t="str">
        <f t="shared" si="13"/>
        <v>Hatchback</v>
      </c>
    </row>
    <row r="435" spans="1:9">
      <c r="A435" s="2">
        <v>434</v>
      </c>
      <c r="B435" s="2" t="s">
        <v>39</v>
      </c>
      <c r="C435" s="2" t="s">
        <v>16</v>
      </c>
      <c r="D435" s="2">
        <v>33</v>
      </c>
      <c r="E435" s="3">
        <v>88348</v>
      </c>
      <c r="F435" s="2" t="s">
        <v>28</v>
      </c>
      <c r="G435" s="2" t="s">
        <v>18</v>
      </c>
      <c r="H435" t="str">
        <f t="shared" si="12"/>
        <v>Nissan</v>
      </c>
      <c r="I435" t="str">
        <f t="shared" si="13"/>
        <v>Minivan</v>
      </c>
    </row>
    <row r="436" spans="1:9">
      <c r="A436" s="2">
        <v>435</v>
      </c>
      <c r="B436" s="2" t="s">
        <v>53</v>
      </c>
      <c r="C436" s="2" t="s">
        <v>22</v>
      </c>
      <c r="D436" s="2">
        <v>19</v>
      </c>
      <c r="E436" s="3">
        <v>40355</v>
      </c>
      <c r="F436" s="2" t="s">
        <v>17</v>
      </c>
      <c r="G436" s="2" t="s">
        <v>14</v>
      </c>
      <c r="H436" t="str">
        <f t="shared" si="12"/>
        <v>BMW</v>
      </c>
      <c r="I436" t="str">
        <f t="shared" si="13"/>
        <v>Minivan</v>
      </c>
    </row>
    <row r="437" spans="1:9">
      <c r="A437" s="2">
        <v>436</v>
      </c>
      <c r="B437" s="2" t="s">
        <v>11</v>
      </c>
      <c r="C437" s="2" t="s">
        <v>16</v>
      </c>
      <c r="D437" s="2">
        <v>41</v>
      </c>
      <c r="E437" s="3">
        <v>73243</v>
      </c>
      <c r="F437" s="2" t="s">
        <v>25</v>
      </c>
      <c r="G437" s="2" t="s">
        <v>14</v>
      </c>
      <c r="H437" t="str">
        <f t="shared" si="12"/>
        <v>Toyota</v>
      </c>
      <c r="I437" t="str">
        <f t="shared" si="13"/>
        <v>Hatchback</v>
      </c>
    </row>
    <row r="438" spans="1:9">
      <c r="A438" s="2">
        <v>437</v>
      </c>
      <c r="B438" s="2" t="s">
        <v>60</v>
      </c>
      <c r="C438" s="2" t="s">
        <v>16</v>
      </c>
      <c r="D438" s="2">
        <v>46</v>
      </c>
      <c r="E438" s="3">
        <v>75413</v>
      </c>
      <c r="F438" s="2" t="s">
        <v>38</v>
      </c>
      <c r="G438" s="2" t="s">
        <v>23</v>
      </c>
      <c r="H438" t="str">
        <f t="shared" si="12"/>
        <v>Ford</v>
      </c>
      <c r="I438" t="str">
        <f t="shared" si="13"/>
        <v>Convertible</v>
      </c>
    </row>
    <row r="439" spans="1:9">
      <c r="A439" s="2">
        <v>438</v>
      </c>
      <c r="B439" s="2" t="s">
        <v>15</v>
      </c>
      <c r="C439" s="2" t="s">
        <v>22</v>
      </c>
      <c r="D439" s="2">
        <v>33</v>
      </c>
      <c r="E439" s="3">
        <v>88713</v>
      </c>
      <c r="F439" s="2" t="s">
        <v>20</v>
      </c>
      <c r="G439" s="2" t="s">
        <v>10</v>
      </c>
      <c r="H439" t="str">
        <f t="shared" si="12"/>
        <v>Chevrolet</v>
      </c>
      <c r="I439" t="str">
        <f t="shared" si="13"/>
        <v>Truck</v>
      </c>
    </row>
    <row r="440" spans="1:9">
      <c r="A440" s="2">
        <v>439</v>
      </c>
      <c r="B440" s="2" t="s">
        <v>68</v>
      </c>
      <c r="C440" s="2" t="s">
        <v>16</v>
      </c>
      <c r="D440" s="2">
        <v>50</v>
      </c>
      <c r="E440" s="3">
        <v>66204</v>
      </c>
      <c r="F440" s="2" t="s">
        <v>28</v>
      </c>
      <c r="G440" s="2" t="s">
        <v>26</v>
      </c>
      <c r="H440" t="str">
        <f t="shared" si="12"/>
        <v>Honda</v>
      </c>
      <c r="I440" t="str">
        <f t="shared" si="13"/>
        <v>Coupe</v>
      </c>
    </row>
    <row r="441" spans="1:9">
      <c r="A441" s="2">
        <v>440</v>
      </c>
      <c r="B441" s="2" t="s">
        <v>93</v>
      </c>
      <c r="C441" s="2" t="s">
        <v>16</v>
      </c>
      <c r="D441" s="2">
        <v>27</v>
      </c>
      <c r="E441" s="3">
        <v>53711</v>
      </c>
      <c r="F441" s="2" t="s">
        <v>9</v>
      </c>
      <c r="G441" s="2" t="s">
        <v>18</v>
      </c>
      <c r="H441" t="str">
        <f t="shared" si="12"/>
        <v>Volkswagen</v>
      </c>
      <c r="I441" t="str">
        <f t="shared" si="13"/>
        <v>Hatchback</v>
      </c>
    </row>
    <row r="442" spans="1:9">
      <c r="A442" s="2">
        <v>441</v>
      </c>
      <c r="B442" s="2" t="s">
        <v>49</v>
      </c>
      <c r="C442" s="2" t="s">
        <v>22</v>
      </c>
      <c r="D442" s="2">
        <v>28</v>
      </c>
      <c r="E442" s="3">
        <v>86359</v>
      </c>
      <c r="F442" s="2" t="s">
        <v>28</v>
      </c>
      <c r="G442" s="2" t="s">
        <v>14</v>
      </c>
      <c r="H442" t="str">
        <f t="shared" si="12"/>
        <v>Chevrolet</v>
      </c>
      <c r="I442" t="str">
        <f t="shared" si="13"/>
        <v>Sedan</v>
      </c>
    </row>
    <row r="443" spans="1:9">
      <c r="A443" s="2">
        <v>442</v>
      </c>
      <c r="B443" s="2" t="s">
        <v>85</v>
      </c>
      <c r="C443" s="2" t="s">
        <v>22</v>
      </c>
      <c r="D443" s="2">
        <v>45</v>
      </c>
      <c r="E443" s="3">
        <v>82906</v>
      </c>
      <c r="F443" s="2" t="s">
        <v>32</v>
      </c>
      <c r="G443" s="2" t="s">
        <v>23</v>
      </c>
      <c r="H443" t="str">
        <f t="shared" si="12"/>
        <v>Toyota</v>
      </c>
      <c r="I443" t="str">
        <f t="shared" si="13"/>
        <v>Sedan</v>
      </c>
    </row>
    <row r="444" spans="1:9">
      <c r="A444" s="2">
        <v>443</v>
      </c>
      <c r="B444" s="2" t="s">
        <v>51</v>
      </c>
      <c r="C444" s="2" t="s">
        <v>12</v>
      </c>
      <c r="D444" s="2">
        <v>26</v>
      </c>
      <c r="E444" s="3">
        <v>89097</v>
      </c>
      <c r="F444" s="2" t="s">
        <v>17</v>
      </c>
      <c r="G444" s="2" t="s">
        <v>10</v>
      </c>
      <c r="H444" t="str">
        <f t="shared" si="12"/>
        <v>Ford</v>
      </c>
      <c r="I444" t="str">
        <f t="shared" si="13"/>
        <v>Coupe</v>
      </c>
    </row>
    <row r="445" spans="1:9">
      <c r="A445" s="2">
        <v>444</v>
      </c>
      <c r="B445" s="2" t="s">
        <v>54</v>
      </c>
      <c r="C445" s="2" t="s">
        <v>8</v>
      </c>
      <c r="D445" s="2">
        <v>6</v>
      </c>
      <c r="E445" s="3">
        <v>69155</v>
      </c>
      <c r="F445" s="2" t="s">
        <v>38</v>
      </c>
      <c r="G445" s="2" t="s">
        <v>26</v>
      </c>
      <c r="H445" t="str">
        <f t="shared" si="12"/>
        <v>Volkswagen</v>
      </c>
      <c r="I445" t="str">
        <f t="shared" si="13"/>
        <v>Minivan</v>
      </c>
    </row>
    <row r="446" spans="1:9">
      <c r="A446" s="2">
        <v>445</v>
      </c>
      <c r="B446" s="2" t="s">
        <v>34</v>
      </c>
      <c r="C446" s="2" t="s">
        <v>12</v>
      </c>
      <c r="D446" s="2">
        <v>41</v>
      </c>
      <c r="E446" s="3">
        <v>52110</v>
      </c>
      <c r="F446" s="2" t="s">
        <v>32</v>
      </c>
      <c r="G446" s="2" t="s">
        <v>14</v>
      </c>
      <c r="H446" t="str">
        <f t="shared" si="12"/>
        <v>Audi</v>
      </c>
      <c r="I446" t="str">
        <f t="shared" si="13"/>
        <v>Coupe</v>
      </c>
    </row>
    <row r="447" spans="1:9">
      <c r="A447" s="2">
        <v>446</v>
      </c>
      <c r="B447" s="2" t="s">
        <v>48</v>
      </c>
      <c r="C447" s="2" t="s">
        <v>22</v>
      </c>
      <c r="D447" s="2">
        <v>35</v>
      </c>
      <c r="E447" s="3">
        <v>98600</v>
      </c>
      <c r="F447" s="2" t="s">
        <v>20</v>
      </c>
      <c r="G447" s="2" t="s">
        <v>29</v>
      </c>
      <c r="H447" t="str">
        <f t="shared" si="12"/>
        <v>BMW</v>
      </c>
      <c r="I447" t="str">
        <f t="shared" si="13"/>
        <v>Coupe</v>
      </c>
    </row>
    <row r="448" spans="1:9">
      <c r="A448" s="2">
        <v>447</v>
      </c>
      <c r="B448" s="2" t="s">
        <v>52</v>
      </c>
      <c r="C448" s="2" t="s">
        <v>16</v>
      </c>
      <c r="D448" s="2">
        <v>35</v>
      </c>
      <c r="E448" s="3">
        <v>97491</v>
      </c>
      <c r="F448" s="2" t="s">
        <v>32</v>
      </c>
      <c r="G448" s="2" t="s">
        <v>26</v>
      </c>
      <c r="H448" t="str">
        <f t="shared" si="12"/>
        <v>BMW</v>
      </c>
      <c r="I448" t="str">
        <f t="shared" si="13"/>
        <v>Hatchback</v>
      </c>
    </row>
    <row r="449" spans="1:9">
      <c r="A449" s="2">
        <v>448</v>
      </c>
      <c r="B449" s="2" t="s">
        <v>82</v>
      </c>
      <c r="C449" s="2" t="s">
        <v>22</v>
      </c>
      <c r="D449" s="2">
        <v>40</v>
      </c>
      <c r="E449" s="3">
        <v>31273</v>
      </c>
      <c r="F449" s="2" t="s">
        <v>13</v>
      </c>
      <c r="G449" s="2" t="s">
        <v>26</v>
      </c>
      <c r="H449" t="str">
        <f t="shared" si="12"/>
        <v>Audi</v>
      </c>
      <c r="I449" t="str">
        <f t="shared" si="13"/>
        <v>Sedan</v>
      </c>
    </row>
    <row r="450" spans="1:9">
      <c r="A450" s="2">
        <v>449</v>
      </c>
      <c r="B450" s="2" t="s">
        <v>71</v>
      </c>
      <c r="C450" s="2" t="s">
        <v>16</v>
      </c>
      <c r="D450" s="2">
        <v>10</v>
      </c>
      <c r="E450" s="3">
        <v>85460</v>
      </c>
      <c r="F450" s="2" t="s">
        <v>17</v>
      </c>
      <c r="G450" s="2" t="s">
        <v>23</v>
      </c>
      <c r="H450" t="str">
        <f t="shared" si="12"/>
        <v>Volkswagen</v>
      </c>
      <c r="I450" t="str">
        <f t="shared" si="13"/>
        <v>Coupe</v>
      </c>
    </row>
    <row r="451" spans="1:9">
      <c r="A451" s="2">
        <v>450</v>
      </c>
      <c r="B451" s="2" t="s">
        <v>81</v>
      </c>
      <c r="C451" s="2" t="s">
        <v>12</v>
      </c>
      <c r="D451" s="2">
        <v>18</v>
      </c>
      <c r="E451" s="3">
        <v>73333</v>
      </c>
      <c r="F451" s="2" t="s">
        <v>38</v>
      </c>
      <c r="G451" s="2" t="s">
        <v>18</v>
      </c>
      <c r="H451" t="str">
        <f t="shared" ref="H451:H514" si="14">LEFT(B451,FIND(",",B451)-1)</f>
        <v>Nissan</v>
      </c>
      <c r="I451" t="str">
        <f t="shared" ref="I451:I514" si="15">TRIM(MID(B451,FIND(",",B451)+1,LEN(B451)))</f>
        <v>Hatchback</v>
      </c>
    </row>
    <row r="452" spans="1:9">
      <c r="A452" s="2">
        <v>451</v>
      </c>
      <c r="B452" s="2" t="s">
        <v>51</v>
      </c>
      <c r="C452" s="2" t="s">
        <v>12</v>
      </c>
      <c r="D452" s="2">
        <v>6</v>
      </c>
      <c r="E452" s="3">
        <v>63561</v>
      </c>
      <c r="F452" s="2" t="s">
        <v>25</v>
      </c>
      <c r="G452" s="2" t="s">
        <v>10</v>
      </c>
      <c r="H452" t="str">
        <f t="shared" si="14"/>
        <v>Ford</v>
      </c>
      <c r="I452" t="str">
        <f t="shared" si="15"/>
        <v>Coupe</v>
      </c>
    </row>
    <row r="453" spans="1:9">
      <c r="A453" s="2">
        <v>452</v>
      </c>
      <c r="B453" s="2" t="s">
        <v>82</v>
      </c>
      <c r="C453" s="2" t="s">
        <v>12</v>
      </c>
      <c r="D453" s="2">
        <v>20</v>
      </c>
      <c r="E453" s="3">
        <v>33829</v>
      </c>
      <c r="F453" s="2" t="s">
        <v>28</v>
      </c>
      <c r="G453" s="2" t="s">
        <v>23</v>
      </c>
      <c r="H453" t="str">
        <f t="shared" si="14"/>
        <v>Audi</v>
      </c>
      <c r="I453" t="str">
        <f t="shared" si="15"/>
        <v>Sedan</v>
      </c>
    </row>
    <row r="454" spans="1:9">
      <c r="A454" s="2">
        <v>453</v>
      </c>
      <c r="B454" s="2" t="s">
        <v>63</v>
      </c>
      <c r="C454" s="2" t="s">
        <v>16</v>
      </c>
      <c r="D454" s="2">
        <v>6</v>
      </c>
      <c r="E454" s="3">
        <v>70949</v>
      </c>
      <c r="F454" s="2" t="s">
        <v>20</v>
      </c>
      <c r="G454" s="2" t="s">
        <v>14</v>
      </c>
      <c r="H454" t="str">
        <f t="shared" si="14"/>
        <v>Volkswagen</v>
      </c>
      <c r="I454" t="str">
        <f t="shared" si="15"/>
        <v>Sedan</v>
      </c>
    </row>
    <row r="455" spans="1:9">
      <c r="A455" s="2">
        <v>454</v>
      </c>
      <c r="B455" s="2" t="s">
        <v>37</v>
      </c>
      <c r="C455" s="2" t="s">
        <v>8</v>
      </c>
      <c r="D455" s="2">
        <v>33</v>
      </c>
      <c r="E455" s="3">
        <v>78485</v>
      </c>
      <c r="F455" s="2" t="s">
        <v>13</v>
      </c>
      <c r="G455" s="2" t="s">
        <v>23</v>
      </c>
      <c r="H455" t="str">
        <f t="shared" si="14"/>
        <v>Tesla</v>
      </c>
      <c r="I455" t="str">
        <f t="shared" si="15"/>
        <v>Truck</v>
      </c>
    </row>
    <row r="456" spans="1:9">
      <c r="A456" s="2">
        <v>455</v>
      </c>
      <c r="B456" s="2" t="s">
        <v>70</v>
      </c>
      <c r="C456" s="2" t="s">
        <v>8</v>
      </c>
      <c r="D456" s="2">
        <v>14</v>
      </c>
      <c r="E456" s="3">
        <v>97650</v>
      </c>
      <c r="F456" s="2" t="s">
        <v>32</v>
      </c>
      <c r="G456" s="2" t="s">
        <v>23</v>
      </c>
      <c r="H456" t="str">
        <f t="shared" si="14"/>
        <v>Chevrolet</v>
      </c>
      <c r="I456" t="str">
        <f t="shared" si="15"/>
        <v>Convertible</v>
      </c>
    </row>
    <row r="457" spans="1:9">
      <c r="A457" s="2">
        <v>456</v>
      </c>
      <c r="B457" s="2" t="s">
        <v>45</v>
      </c>
      <c r="C457" s="2" t="s">
        <v>8</v>
      </c>
      <c r="D457" s="2">
        <v>10</v>
      </c>
      <c r="E457" s="3">
        <v>50720</v>
      </c>
      <c r="F457" s="2" t="s">
        <v>38</v>
      </c>
      <c r="G457" s="2" t="s">
        <v>14</v>
      </c>
      <c r="H457" t="str">
        <f t="shared" si="14"/>
        <v>Toyota</v>
      </c>
      <c r="I457" t="str">
        <f t="shared" si="15"/>
        <v>SUV</v>
      </c>
    </row>
    <row r="458" spans="1:9">
      <c r="A458" s="2">
        <v>457</v>
      </c>
      <c r="B458" s="2" t="s">
        <v>82</v>
      </c>
      <c r="C458" s="2" t="s">
        <v>22</v>
      </c>
      <c r="D458" s="2">
        <v>35</v>
      </c>
      <c r="E458" s="3">
        <v>95569</v>
      </c>
      <c r="F458" s="2" t="s">
        <v>38</v>
      </c>
      <c r="G458" s="2" t="s">
        <v>29</v>
      </c>
      <c r="H458" t="str">
        <f t="shared" si="14"/>
        <v>Audi</v>
      </c>
      <c r="I458" t="str">
        <f t="shared" si="15"/>
        <v>Sedan</v>
      </c>
    </row>
    <row r="459" spans="1:9">
      <c r="A459" s="2">
        <v>458</v>
      </c>
      <c r="B459" s="2" t="s">
        <v>45</v>
      </c>
      <c r="C459" s="2" t="s">
        <v>22</v>
      </c>
      <c r="D459" s="2">
        <v>21</v>
      </c>
      <c r="E459" s="3">
        <v>84529</v>
      </c>
      <c r="F459" s="2" t="s">
        <v>9</v>
      </c>
      <c r="G459" s="2" t="s">
        <v>10</v>
      </c>
      <c r="H459" t="str">
        <f t="shared" si="14"/>
        <v>Toyota</v>
      </c>
      <c r="I459" t="str">
        <f t="shared" si="15"/>
        <v>SUV</v>
      </c>
    </row>
    <row r="460" spans="1:9">
      <c r="A460" s="2">
        <v>459</v>
      </c>
      <c r="B460" s="2" t="s">
        <v>61</v>
      </c>
      <c r="C460" s="2" t="s">
        <v>16</v>
      </c>
      <c r="D460" s="2">
        <v>26</v>
      </c>
      <c r="E460" s="3">
        <v>78201</v>
      </c>
      <c r="F460" s="2" t="s">
        <v>25</v>
      </c>
      <c r="G460" s="2" t="s">
        <v>26</v>
      </c>
      <c r="H460" t="str">
        <f t="shared" si="14"/>
        <v>Nissan</v>
      </c>
      <c r="I460" t="str">
        <f t="shared" si="15"/>
        <v>Truck</v>
      </c>
    </row>
    <row r="461" spans="1:9">
      <c r="A461" s="2">
        <v>460</v>
      </c>
      <c r="B461" s="2" t="s">
        <v>75</v>
      </c>
      <c r="C461" s="2" t="s">
        <v>22</v>
      </c>
      <c r="D461" s="2">
        <v>38</v>
      </c>
      <c r="E461" s="3">
        <v>50819</v>
      </c>
      <c r="F461" s="2" t="s">
        <v>17</v>
      </c>
      <c r="G461" s="2" t="s">
        <v>26</v>
      </c>
      <c r="H461" t="str">
        <f t="shared" si="14"/>
        <v>Nissan</v>
      </c>
      <c r="I461" t="str">
        <f t="shared" si="15"/>
        <v>Convertible</v>
      </c>
    </row>
    <row r="462" spans="1:9">
      <c r="A462" s="2">
        <v>461</v>
      </c>
      <c r="B462" s="2" t="s">
        <v>42</v>
      </c>
      <c r="C462" s="2" t="s">
        <v>16</v>
      </c>
      <c r="D462" s="2">
        <v>41</v>
      </c>
      <c r="E462" s="3">
        <v>93297</v>
      </c>
      <c r="F462" s="2" t="s">
        <v>20</v>
      </c>
      <c r="G462" s="2" t="s">
        <v>26</v>
      </c>
      <c r="H462" t="str">
        <f t="shared" si="14"/>
        <v>Tesla</v>
      </c>
      <c r="I462" t="str">
        <f t="shared" si="15"/>
        <v>Hatchback</v>
      </c>
    </row>
    <row r="463" spans="1:9">
      <c r="A463" s="2">
        <v>462</v>
      </c>
      <c r="B463" s="2" t="s">
        <v>92</v>
      </c>
      <c r="C463" s="2" t="s">
        <v>12</v>
      </c>
      <c r="D463" s="2">
        <v>49</v>
      </c>
      <c r="E463" s="3">
        <v>96216</v>
      </c>
      <c r="F463" s="2" t="s">
        <v>32</v>
      </c>
      <c r="G463" s="2" t="s">
        <v>26</v>
      </c>
      <c r="H463" t="str">
        <f t="shared" si="14"/>
        <v>BMW</v>
      </c>
      <c r="I463" t="str">
        <f t="shared" si="15"/>
        <v>Convertible</v>
      </c>
    </row>
    <row r="464" spans="1:9">
      <c r="A464" s="2">
        <v>463</v>
      </c>
      <c r="B464" s="2" t="s">
        <v>59</v>
      </c>
      <c r="C464" s="2" t="s">
        <v>16</v>
      </c>
      <c r="D464" s="2">
        <v>42</v>
      </c>
      <c r="E464" s="3">
        <v>64077</v>
      </c>
      <c r="F464" s="2" t="s">
        <v>25</v>
      </c>
      <c r="G464" s="2" t="s">
        <v>14</v>
      </c>
      <c r="H464" t="str">
        <f t="shared" si="14"/>
        <v>Audi</v>
      </c>
      <c r="I464" t="str">
        <f t="shared" si="15"/>
        <v>Convertible</v>
      </c>
    </row>
    <row r="465" spans="1:9">
      <c r="A465" s="2">
        <v>464</v>
      </c>
      <c r="B465" s="2" t="s">
        <v>27</v>
      </c>
      <c r="C465" s="2" t="s">
        <v>22</v>
      </c>
      <c r="D465" s="2">
        <v>44</v>
      </c>
      <c r="E465" s="3">
        <v>45167</v>
      </c>
      <c r="F465" s="2" t="s">
        <v>9</v>
      </c>
      <c r="G465" s="2" t="s">
        <v>26</v>
      </c>
      <c r="H465" t="str">
        <f t="shared" si="14"/>
        <v>Ford</v>
      </c>
      <c r="I465" t="str">
        <f t="shared" si="15"/>
        <v>Hatchback</v>
      </c>
    </row>
    <row r="466" spans="1:9">
      <c r="A466" s="2">
        <v>465</v>
      </c>
      <c r="B466" s="2" t="s">
        <v>69</v>
      </c>
      <c r="C466" s="2" t="s">
        <v>12</v>
      </c>
      <c r="D466" s="2">
        <v>42</v>
      </c>
      <c r="E466" s="3">
        <v>72003</v>
      </c>
      <c r="F466" s="2" t="s">
        <v>20</v>
      </c>
      <c r="G466" s="2" t="s">
        <v>26</v>
      </c>
      <c r="H466" t="str">
        <f t="shared" si="14"/>
        <v>BMW</v>
      </c>
      <c r="I466" t="str">
        <f t="shared" si="15"/>
        <v>Truck</v>
      </c>
    </row>
    <row r="467" spans="1:9">
      <c r="A467" s="2">
        <v>466</v>
      </c>
      <c r="B467" s="2" t="s">
        <v>71</v>
      </c>
      <c r="C467" s="2" t="s">
        <v>12</v>
      </c>
      <c r="D467" s="2">
        <v>5</v>
      </c>
      <c r="E467" s="3">
        <v>67099</v>
      </c>
      <c r="F467" s="2" t="s">
        <v>17</v>
      </c>
      <c r="G467" s="2" t="s">
        <v>23</v>
      </c>
      <c r="H467" t="str">
        <f t="shared" si="14"/>
        <v>Volkswagen</v>
      </c>
      <c r="I467" t="str">
        <f t="shared" si="15"/>
        <v>Coupe</v>
      </c>
    </row>
    <row r="468" spans="1:9">
      <c r="A468" s="2">
        <v>467</v>
      </c>
      <c r="B468" s="2" t="s">
        <v>92</v>
      </c>
      <c r="C468" s="2" t="s">
        <v>16</v>
      </c>
      <c r="D468" s="2">
        <v>20</v>
      </c>
      <c r="E468" s="3">
        <v>93154</v>
      </c>
      <c r="F468" s="2" t="s">
        <v>38</v>
      </c>
      <c r="G468" s="2" t="s">
        <v>23</v>
      </c>
      <c r="H468" t="str">
        <f t="shared" si="14"/>
        <v>BMW</v>
      </c>
      <c r="I468" t="str">
        <f t="shared" si="15"/>
        <v>Convertible</v>
      </c>
    </row>
    <row r="469" spans="1:9">
      <c r="A469" s="2">
        <v>468</v>
      </c>
      <c r="B469" s="2" t="s">
        <v>60</v>
      </c>
      <c r="C469" s="2" t="s">
        <v>8</v>
      </c>
      <c r="D469" s="2">
        <v>45</v>
      </c>
      <c r="E469" s="3">
        <v>46737</v>
      </c>
      <c r="F469" s="2" t="s">
        <v>38</v>
      </c>
      <c r="G469" s="2" t="s">
        <v>18</v>
      </c>
      <c r="H469" t="str">
        <f t="shared" si="14"/>
        <v>Ford</v>
      </c>
      <c r="I469" t="str">
        <f t="shared" si="15"/>
        <v>Convertible</v>
      </c>
    </row>
    <row r="470" spans="1:9">
      <c r="A470" s="2">
        <v>469</v>
      </c>
      <c r="B470" s="2" t="s">
        <v>15</v>
      </c>
      <c r="C470" s="2" t="s">
        <v>22</v>
      </c>
      <c r="D470" s="2">
        <v>28</v>
      </c>
      <c r="E470" s="3">
        <v>72184</v>
      </c>
      <c r="F470" s="2" t="s">
        <v>17</v>
      </c>
      <c r="G470" s="2" t="s">
        <v>23</v>
      </c>
      <c r="H470" t="str">
        <f t="shared" si="14"/>
        <v>Chevrolet</v>
      </c>
      <c r="I470" t="str">
        <f t="shared" si="15"/>
        <v>Truck</v>
      </c>
    </row>
    <row r="471" spans="1:9">
      <c r="A471" s="2">
        <v>470</v>
      </c>
      <c r="B471" s="2" t="s">
        <v>30</v>
      </c>
      <c r="C471" s="2" t="s">
        <v>22</v>
      </c>
      <c r="D471" s="2">
        <v>47</v>
      </c>
      <c r="E471" s="3">
        <v>58552</v>
      </c>
      <c r="F471" s="2" t="s">
        <v>25</v>
      </c>
      <c r="G471" s="2" t="s">
        <v>14</v>
      </c>
      <c r="H471" t="str">
        <f t="shared" si="14"/>
        <v>Nissan</v>
      </c>
      <c r="I471" t="str">
        <f t="shared" si="15"/>
        <v>Coupe</v>
      </c>
    </row>
    <row r="472" spans="1:9">
      <c r="A472" s="2">
        <v>471</v>
      </c>
      <c r="B472" s="2" t="s">
        <v>70</v>
      </c>
      <c r="C472" s="2" t="s">
        <v>8</v>
      </c>
      <c r="D472" s="2">
        <v>16</v>
      </c>
      <c r="E472" s="3">
        <v>81553</v>
      </c>
      <c r="F472" s="2" t="s">
        <v>20</v>
      </c>
      <c r="G472" s="2" t="s">
        <v>18</v>
      </c>
      <c r="H472" t="str">
        <f t="shared" si="14"/>
        <v>Chevrolet</v>
      </c>
      <c r="I472" t="str">
        <f t="shared" si="15"/>
        <v>Convertible</v>
      </c>
    </row>
    <row r="473" spans="1:9">
      <c r="A473" s="2">
        <v>472</v>
      </c>
      <c r="B473" s="2" t="s">
        <v>59</v>
      </c>
      <c r="C473" s="2" t="s">
        <v>22</v>
      </c>
      <c r="D473" s="2">
        <v>4</v>
      </c>
      <c r="E473" s="3">
        <v>42440</v>
      </c>
      <c r="F473" s="2" t="s">
        <v>25</v>
      </c>
      <c r="G473" s="2" t="s">
        <v>23</v>
      </c>
      <c r="H473" t="str">
        <f t="shared" si="14"/>
        <v>Audi</v>
      </c>
      <c r="I473" t="str">
        <f t="shared" si="15"/>
        <v>Convertible</v>
      </c>
    </row>
    <row r="474" spans="1:9">
      <c r="A474" s="2">
        <v>473</v>
      </c>
      <c r="B474" s="2" t="s">
        <v>48</v>
      </c>
      <c r="C474" s="2" t="s">
        <v>8</v>
      </c>
      <c r="D474" s="2">
        <v>16</v>
      </c>
      <c r="E474" s="3">
        <v>97209</v>
      </c>
      <c r="F474" s="2" t="s">
        <v>9</v>
      </c>
      <c r="G474" s="2" t="s">
        <v>14</v>
      </c>
      <c r="H474" t="str">
        <f t="shared" si="14"/>
        <v>BMW</v>
      </c>
      <c r="I474" t="str">
        <f t="shared" si="15"/>
        <v>Coupe</v>
      </c>
    </row>
    <row r="475" spans="1:9">
      <c r="A475" s="2">
        <v>474</v>
      </c>
      <c r="B475" s="2" t="s">
        <v>82</v>
      </c>
      <c r="C475" s="2" t="s">
        <v>8</v>
      </c>
      <c r="D475" s="2">
        <v>6</v>
      </c>
      <c r="E475" s="3">
        <v>69936</v>
      </c>
      <c r="F475" s="2" t="s">
        <v>32</v>
      </c>
      <c r="G475" s="2" t="s">
        <v>10</v>
      </c>
      <c r="H475" t="str">
        <f t="shared" si="14"/>
        <v>Audi</v>
      </c>
      <c r="I475" t="str">
        <f t="shared" si="15"/>
        <v>Sedan</v>
      </c>
    </row>
    <row r="476" spans="1:9">
      <c r="A476" s="2">
        <v>475</v>
      </c>
      <c r="B476" s="2" t="s">
        <v>62</v>
      </c>
      <c r="C476" s="2" t="s">
        <v>12</v>
      </c>
      <c r="D476" s="2">
        <v>28</v>
      </c>
      <c r="E476" s="3">
        <v>63744</v>
      </c>
      <c r="F476" s="2" t="s">
        <v>17</v>
      </c>
      <c r="G476" s="2" t="s">
        <v>10</v>
      </c>
      <c r="H476" t="str">
        <f t="shared" si="14"/>
        <v>Chevrolet</v>
      </c>
      <c r="I476" t="str">
        <f t="shared" si="15"/>
        <v>Minivan</v>
      </c>
    </row>
    <row r="477" spans="1:9">
      <c r="A477" s="2">
        <v>476</v>
      </c>
      <c r="B477" s="2" t="s">
        <v>81</v>
      </c>
      <c r="C477" s="2" t="s">
        <v>12</v>
      </c>
      <c r="D477" s="2">
        <v>8</v>
      </c>
      <c r="E477" s="3">
        <v>62880</v>
      </c>
      <c r="F477" s="2" t="s">
        <v>17</v>
      </c>
      <c r="G477" s="2" t="s">
        <v>23</v>
      </c>
      <c r="H477" t="str">
        <f t="shared" si="14"/>
        <v>Nissan</v>
      </c>
      <c r="I477" t="str">
        <f t="shared" si="15"/>
        <v>Hatchback</v>
      </c>
    </row>
    <row r="478" spans="1:9">
      <c r="A478" s="2">
        <v>477</v>
      </c>
      <c r="B478" s="2" t="s">
        <v>83</v>
      </c>
      <c r="C478" s="2" t="s">
        <v>16</v>
      </c>
      <c r="D478" s="2">
        <v>30</v>
      </c>
      <c r="E478" s="3">
        <v>83128</v>
      </c>
      <c r="F478" s="2" t="s">
        <v>9</v>
      </c>
      <c r="G478" s="2" t="s">
        <v>10</v>
      </c>
      <c r="H478" t="str">
        <f t="shared" si="14"/>
        <v>Honda</v>
      </c>
      <c r="I478" t="str">
        <f t="shared" si="15"/>
        <v>Sedan</v>
      </c>
    </row>
    <row r="479" spans="1:9">
      <c r="A479" s="2">
        <v>478</v>
      </c>
      <c r="B479" s="2" t="s">
        <v>19</v>
      </c>
      <c r="C479" s="2" t="s">
        <v>12</v>
      </c>
      <c r="D479" s="2">
        <v>40</v>
      </c>
      <c r="E479" s="3">
        <v>54214</v>
      </c>
      <c r="F479" s="2" t="s">
        <v>32</v>
      </c>
      <c r="G479" s="2" t="s">
        <v>23</v>
      </c>
      <c r="H479" t="str">
        <f t="shared" si="14"/>
        <v>Tesla</v>
      </c>
      <c r="I479" t="str">
        <f t="shared" si="15"/>
        <v>Minivan</v>
      </c>
    </row>
    <row r="480" spans="1:9">
      <c r="A480" s="2">
        <v>479</v>
      </c>
      <c r="B480" s="2" t="s">
        <v>74</v>
      </c>
      <c r="C480" s="2" t="s">
        <v>8</v>
      </c>
      <c r="D480" s="2">
        <v>39</v>
      </c>
      <c r="E480" s="3">
        <v>57872</v>
      </c>
      <c r="F480" s="2" t="s">
        <v>38</v>
      </c>
      <c r="G480" s="2" t="s">
        <v>26</v>
      </c>
      <c r="H480" t="str">
        <f t="shared" si="14"/>
        <v>Audi</v>
      </c>
      <c r="I480" t="str">
        <f t="shared" si="15"/>
        <v>Hatchback</v>
      </c>
    </row>
    <row r="481" spans="1:9">
      <c r="A481" s="2">
        <v>480</v>
      </c>
      <c r="B481" s="2" t="s">
        <v>74</v>
      </c>
      <c r="C481" s="2" t="s">
        <v>16</v>
      </c>
      <c r="D481" s="2">
        <v>4</v>
      </c>
      <c r="E481" s="3">
        <v>87755</v>
      </c>
      <c r="F481" s="2" t="s">
        <v>13</v>
      </c>
      <c r="G481" s="2" t="s">
        <v>18</v>
      </c>
      <c r="H481" t="str">
        <f t="shared" si="14"/>
        <v>Audi</v>
      </c>
      <c r="I481" t="str">
        <f t="shared" si="15"/>
        <v>Hatchback</v>
      </c>
    </row>
    <row r="482" spans="1:9">
      <c r="A482" s="2">
        <v>481</v>
      </c>
      <c r="B482" s="2" t="s">
        <v>46</v>
      </c>
      <c r="C482" s="2" t="s">
        <v>22</v>
      </c>
      <c r="D482" s="2">
        <v>20</v>
      </c>
      <c r="E482" s="3">
        <v>35824</v>
      </c>
      <c r="F482" s="2" t="s">
        <v>17</v>
      </c>
      <c r="G482" s="2" t="s">
        <v>10</v>
      </c>
      <c r="H482" t="str">
        <f t="shared" si="14"/>
        <v>Honda</v>
      </c>
      <c r="I482" t="str">
        <f t="shared" si="15"/>
        <v>Minivan</v>
      </c>
    </row>
    <row r="483" spans="1:9">
      <c r="A483" s="2">
        <v>482</v>
      </c>
      <c r="B483" s="2" t="s">
        <v>40</v>
      </c>
      <c r="C483" s="2" t="s">
        <v>8</v>
      </c>
      <c r="D483" s="2">
        <v>43</v>
      </c>
      <c r="E483" s="3">
        <v>37135</v>
      </c>
      <c r="F483" s="2" t="s">
        <v>25</v>
      </c>
      <c r="G483" s="2" t="s">
        <v>18</v>
      </c>
      <c r="H483" t="str">
        <f t="shared" si="14"/>
        <v>Volkswagen</v>
      </c>
      <c r="I483" t="str">
        <f t="shared" si="15"/>
        <v>Convertible</v>
      </c>
    </row>
    <row r="484" spans="1:9">
      <c r="A484" s="2">
        <v>483</v>
      </c>
      <c r="B484" s="2" t="s">
        <v>93</v>
      </c>
      <c r="C484" s="2" t="s">
        <v>16</v>
      </c>
      <c r="D484" s="2">
        <v>48</v>
      </c>
      <c r="E484" s="3">
        <v>49670</v>
      </c>
      <c r="F484" s="2" t="s">
        <v>28</v>
      </c>
      <c r="G484" s="2" t="s">
        <v>18</v>
      </c>
      <c r="H484" t="str">
        <f t="shared" si="14"/>
        <v>Volkswagen</v>
      </c>
      <c r="I484" t="str">
        <f t="shared" si="15"/>
        <v>Hatchback</v>
      </c>
    </row>
    <row r="485" spans="1:9">
      <c r="A485" s="2">
        <v>484</v>
      </c>
      <c r="B485" s="2" t="s">
        <v>62</v>
      </c>
      <c r="C485" s="2" t="s">
        <v>12</v>
      </c>
      <c r="D485" s="2">
        <v>43</v>
      </c>
      <c r="E485" s="3">
        <v>38249</v>
      </c>
      <c r="F485" s="2" t="s">
        <v>38</v>
      </c>
      <c r="G485" s="2" t="s">
        <v>18</v>
      </c>
      <c r="H485" t="str">
        <f t="shared" si="14"/>
        <v>Chevrolet</v>
      </c>
      <c r="I485" t="str">
        <f t="shared" si="15"/>
        <v>Minivan</v>
      </c>
    </row>
    <row r="486" spans="1:9">
      <c r="A486" s="2">
        <v>485</v>
      </c>
      <c r="B486" s="2" t="s">
        <v>41</v>
      </c>
      <c r="C486" s="2" t="s">
        <v>8</v>
      </c>
      <c r="D486" s="2">
        <v>48</v>
      </c>
      <c r="E486" s="3">
        <v>59413</v>
      </c>
      <c r="F486" s="2" t="s">
        <v>9</v>
      </c>
      <c r="G486" s="2" t="s">
        <v>29</v>
      </c>
      <c r="H486" t="str">
        <f t="shared" si="14"/>
        <v>Audi</v>
      </c>
      <c r="I486" t="str">
        <f t="shared" si="15"/>
        <v>SUV</v>
      </c>
    </row>
    <row r="487" spans="1:9">
      <c r="A487" s="2">
        <v>486</v>
      </c>
      <c r="B487" s="2" t="s">
        <v>30</v>
      </c>
      <c r="C487" s="2" t="s">
        <v>16</v>
      </c>
      <c r="D487" s="2">
        <v>12</v>
      </c>
      <c r="E487" s="3">
        <v>39730</v>
      </c>
      <c r="F487" s="2" t="s">
        <v>9</v>
      </c>
      <c r="G487" s="2" t="s">
        <v>14</v>
      </c>
      <c r="H487" t="str">
        <f t="shared" si="14"/>
        <v>Nissan</v>
      </c>
      <c r="I487" t="str">
        <f t="shared" si="15"/>
        <v>Coupe</v>
      </c>
    </row>
    <row r="488" spans="1:9">
      <c r="A488" s="2">
        <v>487</v>
      </c>
      <c r="B488" s="2" t="s">
        <v>36</v>
      </c>
      <c r="C488" s="2" t="s">
        <v>22</v>
      </c>
      <c r="D488" s="2">
        <v>8</v>
      </c>
      <c r="E488" s="3">
        <v>67023</v>
      </c>
      <c r="F488" s="2" t="s">
        <v>28</v>
      </c>
      <c r="G488" s="2" t="s">
        <v>26</v>
      </c>
      <c r="H488" t="str">
        <f t="shared" si="14"/>
        <v>Toyota</v>
      </c>
      <c r="I488" t="str">
        <f t="shared" si="15"/>
        <v>Coupe</v>
      </c>
    </row>
    <row r="489" spans="1:9">
      <c r="A489" s="2">
        <v>488</v>
      </c>
      <c r="B489" s="2" t="s">
        <v>86</v>
      </c>
      <c r="C489" s="2" t="s">
        <v>8</v>
      </c>
      <c r="D489" s="2">
        <v>1</v>
      </c>
      <c r="E489" s="3">
        <v>58118</v>
      </c>
      <c r="F489" s="2" t="s">
        <v>9</v>
      </c>
      <c r="G489" s="2" t="s">
        <v>23</v>
      </c>
      <c r="H489" t="str">
        <f t="shared" si="14"/>
        <v>Chevrolet</v>
      </c>
      <c r="I489" t="str">
        <f t="shared" si="15"/>
        <v>SUV</v>
      </c>
    </row>
    <row r="490" spans="1:9">
      <c r="A490" s="2">
        <v>489</v>
      </c>
      <c r="B490" s="2" t="s">
        <v>44</v>
      </c>
      <c r="C490" s="2" t="s">
        <v>8</v>
      </c>
      <c r="D490" s="2">
        <v>46</v>
      </c>
      <c r="E490" s="3">
        <v>49307</v>
      </c>
      <c r="F490" s="2" t="s">
        <v>32</v>
      </c>
      <c r="G490" s="2" t="s">
        <v>26</v>
      </c>
      <c r="H490" t="str">
        <f t="shared" si="14"/>
        <v>Chevrolet</v>
      </c>
      <c r="I490" t="str">
        <f t="shared" si="15"/>
        <v>Coupe</v>
      </c>
    </row>
    <row r="491" spans="1:9">
      <c r="A491" s="2">
        <v>490</v>
      </c>
      <c r="B491" s="2" t="s">
        <v>37</v>
      </c>
      <c r="C491" s="2" t="s">
        <v>16</v>
      </c>
      <c r="D491" s="2">
        <v>9</v>
      </c>
      <c r="E491" s="3">
        <v>41183</v>
      </c>
      <c r="F491" s="2" t="s">
        <v>25</v>
      </c>
      <c r="G491" s="2" t="s">
        <v>18</v>
      </c>
      <c r="H491" t="str">
        <f t="shared" si="14"/>
        <v>Tesla</v>
      </c>
      <c r="I491" t="str">
        <f t="shared" si="15"/>
        <v>Truck</v>
      </c>
    </row>
    <row r="492" spans="1:9">
      <c r="A492" s="2">
        <v>491</v>
      </c>
      <c r="B492" s="2" t="s">
        <v>47</v>
      </c>
      <c r="C492" s="2" t="s">
        <v>16</v>
      </c>
      <c r="D492" s="2">
        <v>45</v>
      </c>
      <c r="E492" s="3">
        <v>95807</v>
      </c>
      <c r="F492" s="2" t="s">
        <v>17</v>
      </c>
      <c r="G492" s="2" t="s">
        <v>26</v>
      </c>
      <c r="H492" t="str">
        <f t="shared" si="14"/>
        <v>Audi</v>
      </c>
      <c r="I492" t="str">
        <f t="shared" si="15"/>
        <v>Minivan</v>
      </c>
    </row>
    <row r="493" spans="1:9">
      <c r="A493" s="2">
        <v>492</v>
      </c>
      <c r="B493" s="2" t="s">
        <v>71</v>
      </c>
      <c r="C493" s="2" t="s">
        <v>12</v>
      </c>
      <c r="D493" s="2">
        <v>1</v>
      </c>
      <c r="E493" s="3">
        <v>61615</v>
      </c>
      <c r="F493" s="2" t="s">
        <v>17</v>
      </c>
      <c r="G493" s="2" t="s">
        <v>23</v>
      </c>
      <c r="H493" t="str">
        <f t="shared" si="14"/>
        <v>Volkswagen</v>
      </c>
      <c r="I493" t="str">
        <f t="shared" si="15"/>
        <v>Coupe</v>
      </c>
    </row>
    <row r="494" spans="1:9">
      <c r="A494" s="2">
        <v>493</v>
      </c>
      <c r="B494" s="2" t="s">
        <v>71</v>
      </c>
      <c r="C494" s="2" t="s">
        <v>12</v>
      </c>
      <c r="D494" s="2">
        <v>11</v>
      </c>
      <c r="E494" s="3">
        <v>66950</v>
      </c>
      <c r="F494" s="2" t="s">
        <v>9</v>
      </c>
      <c r="G494" s="2" t="s">
        <v>18</v>
      </c>
      <c r="H494" t="str">
        <f t="shared" si="14"/>
        <v>Volkswagen</v>
      </c>
      <c r="I494" t="str">
        <f t="shared" si="15"/>
        <v>Coupe</v>
      </c>
    </row>
    <row r="495" spans="1:9">
      <c r="A495" s="2">
        <v>494</v>
      </c>
      <c r="B495" s="2" t="s">
        <v>48</v>
      </c>
      <c r="C495" s="2" t="s">
        <v>8</v>
      </c>
      <c r="D495" s="2">
        <v>32</v>
      </c>
      <c r="E495" s="3">
        <v>35248</v>
      </c>
      <c r="F495" s="2" t="s">
        <v>28</v>
      </c>
      <c r="G495" s="2" t="s">
        <v>14</v>
      </c>
      <c r="H495" t="str">
        <f t="shared" si="14"/>
        <v>BMW</v>
      </c>
      <c r="I495" t="str">
        <f t="shared" si="15"/>
        <v>Coupe</v>
      </c>
    </row>
    <row r="496" spans="1:9">
      <c r="A496" s="2">
        <v>495</v>
      </c>
      <c r="B496" s="2" t="s">
        <v>78</v>
      </c>
      <c r="C496" s="2" t="s">
        <v>22</v>
      </c>
      <c r="D496" s="2">
        <v>23</v>
      </c>
      <c r="E496" s="3">
        <v>69732</v>
      </c>
      <c r="F496" s="2" t="s">
        <v>25</v>
      </c>
      <c r="G496" s="2" t="s">
        <v>26</v>
      </c>
      <c r="H496" t="str">
        <f t="shared" si="14"/>
        <v>Hyundai</v>
      </c>
      <c r="I496" t="str">
        <f t="shared" si="15"/>
        <v>Hatchback</v>
      </c>
    </row>
    <row r="497" spans="1:9">
      <c r="A497" s="2">
        <v>496</v>
      </c>
      <c r="B497" s="2" t="s">
        <v>94</v>
      </c>
      <c r="C497" s="2" t="s">
        <v>12</v>
      </c>
      <c r="D497" s="2">
        <v>34</v>
      </c>
      <c r="E497" s="3">
        <v>83703</v>
      </c>
      <c r="F497" s="2" t="s">
        <v>20</v>
      </c>
      <c r="G497" s="2" t="s">
        <v>10</v>
      </c>
      <c r="H497" t="str">
        <f t="shared" si="14"/>
        <v>Hyundai</v>
      </c>
      <c r="I497" t="str">
        <f t="shared" si="15"/>
        <v>Sedan</v>
      </c>
    </row>
    <row r="498" spans="1:9">
      <c r="A498" s="2">
        <v>497</v>
      </c>
      <c r="B498" s="2" t="s">
        <v>84</v>
      </c>
      <c r="C498" s="2" t="s">
        <v>22</v>
      </c>
      <c r="D498" s="2">
        <v>34</v>
      </c>
      <c r="E498" s="3">
        <v>68735</v>
      </c>
      <c r="F498" s="2" t="s">
        <v>25</v>
      </c>
      <c r="G498" s="2" t="s">
        <v>23</v>
      </c>
      <c r="H498" t="str">
        <f t="shared" si="14"/>
        <v>Hyundai</v>
      </c>
      <c r="I498" t="str">
        <f t="shared" si="15"/>
        <v>Truck</v>
      </c>
    </row>
    <row r="499" spans="1:9">
      <c r="A499" s="2">
        <v>498</v>
      </c>
      <c r="B499" s="2" t="s">
        <v>64</v>
      </c>
      <c r="C499" s="2" t="s">
        <v>16</v>
      </c>
      <c r="D499" s="2">
        <v>47</v>
      </c>
      <c r="E499" s="3">
        <v>52918</v>
      </c>
      <c r="F499" s="2" t="s">
        <v>9</v>
      </c>
      <c r="G499" s="2" t="s">
        <v>29</v>
      </c>
      <c r="H499" t="str">
        <f t="shared" si="14"/>
        <v>Tesla</v>
      </c>
      <c r="I499" t="str">
        <f t="shared" si="15"/>
        <v>Coupe</v>
      </c>
    </row>
    <row r="500" spans="1:9">
      <c r="A500" s="2">
        <v>499</v>
      </c>
      <c r="B500" s="2" t="s">
        <v>61</v>
      </c>
      <c r="C500" s="2" t="s">
        <v>16</v>
      </c>
      <c r="D500" s="2">
        <v>17</v>
      </c>
      <c r="E500" s="3">
        <v>90219</v>
      </c>
      <c r="F500" s="2" t="s">
        <v>28</v>
      </c>
      <c r="G500" s="2" t="s">
        <v>23</v>
      </c>
      <c r="H500" t="str">
        <f t="shared" si="14"/>
        <v>Nissan</v>
      </c>
      <c r="I500" t="str">
        <f t="shared" si="15"/>
        <v>Truck</v>
      </c>
    </row>
    <row r="501" spans="1:9">
      <c r="A501" s="2">
        <v>500</v>
      </c>
      <c r="B501" s="2" t="s">
        <v>78</v>
      </c>
      <c r="C501" s="2" t="s">
        <v>12</v>
      </c>
      <c r="D501" s="2">
        <v>11</v>
      </c>
      <c r="E501" s="3">
        <v>84408</v>
      </c>
      <c r="F501" s="2" t="s">
        <v>28</v>
      </c>
      <c r="G501" s="2" t="s">
        <v>14</v>
      </c>
      <c r="H501" t="str">
        <f t="shared" si="14"/>
        <v>Hyundai</v>
      </c>
      <c r="I501" t="str">
        <f t="shared" si="15"/>
        <v>Hatchback</v>
      </c>
    </row>
    <row r="502" spans="1:9">
      <c r="A502" s="2">
        <v>501</v>
      </c>
      <c r="B502" s="2" t="s">
        <v>50</v>
      </c>
      <c r="C502" s="2" t="s">
        <v>8</v>
      </c>
      <c r="D502" s="2">
        <v>24</v>
      </c>
      <c r="E502" s="3">
        <v>45425</v>
      </c>
      <c r="F502" s="2" t="s">
        <v>17</v>
      </c>
      <c r="G502" s="2" t="s">
        <v>26</v>
      </c>
      <c r="H502" t="str">
        <f t="shared" si="14"/>
        <v>Honda</v>
      </c>
      <c r="I502" t="str">
        <f t="shared" si="15"/>
        <v>Truck</v>
      </c>
    </row>
    <row r="503" spans="1:9">
      <c r="A503" s="2">
        <v>502</v>
      </c>
      <c r="B503" s="2" t="s">
        <v>7</v>
      </c>
      <c r="C503" s="2" t="s">
        <v>16</v>
      </c>
      <c r="D503" s="2">
        <v>9</v>
      </c>
      <c r="E503" s="3">
        <v>49359</v>
      </c>
      <c r="F503" s="2" t="s">
        <v>9</v>
      </c>
      <c r="G503" s="2" t="s">
        <v>18</v>
      </c>
      <c r="H503" t="str">
        <f t="shared" si="14"/>
        <v>Ford</v>
      </c>
      <c r="I503" t="str">
        <f t="shared" si="15"/>
        <v>Truck</v>
      </c>
    </row>
    <row r="504" spans="1:9">
      <c r="A504" s="2">
        <v>503</v>
      </c>
      <c r="B504" s="2" t="s">
        <v>86</v>
      </c>
      <c r="C504" s="2" t="s">
        <v>22</v>
      </c>
      <c r="D504" s="2">
        <v>48</v>
      </c>
      <c r="E504" s="3">
        <v>77253</v>
      </c>
      <c r="F504" s="2" t="s">
        <v>38</v>
      </c>
      <c r="G504" s="2" t="s">
        <v>26</v>
      </c>
      <c r="H504" t="str">
        <f t="shared" si="14"/>
        <v>Chevrolet</v>
      </c>
      <c r="I504" t="str">
        <f t="shared" si="15"/>
        <v>SUV</v>
      </c>
    </row>
    <row r="505" spans="1:9">
      <c r="A505" s="2">
        <v>504</v>
      </c>
      <c r="B505" s="2" t="s">
        <v>81</v>
      </c>
      <c r="C505" s="2" t="s">
        <v>8</v>
      </c>
      <c r="D505" s="2">
        <v>50</v>
      </c>
      <c r="E505" s="3">
        <v>85693</v>
      </c>
      <c r="F505" s="2" t="s">
        <v>13</v>
      </c>
      <c r="G505" s="2" t="s">
        <v>23</v>
      </c>
      <c r="H505" t="str">
        <f t="shared" si="14"/>
        <v>Nissan</v>
      </c>
      <c r="I505" t="str">
        <f t="shared" si="15"/>
        <v>Hatchback</v>
      </c>
    </row>
    <row r="506" spans="1:9">
      <c r="A506" s="2">
        <v>505</v>
      </c>
      <c r="B506" s="2" t="s">
        <v>71</v>
      </c>
      <c r="C506" s="2" t="s">
        <v>12</v>
      </c>
      <c r="D506" s="2">
        <v>18</v>
      </c>
      <c r="E506" s="3">
        <v>65093</v>
      </c>
      <c r="F506" s="2" t="s">
        <v>25</v>
      </c>
      <c r="G506" s="2" t="s">
        <v>14</v>
      </c>
      <c r="H506" t="str">
        <f t="shared" si="14"/>
        <v>Volkswagen</v>
      </c>
      <c r="I506" t="str">
        <f t="shared" si="15"/>
        <v>Coupe</v>
      </c>
    </row>
    <row r="507" spans="1:9">
      <c r="A507" s="2">
        <v>506</v>
      </c>
      <c r="B507" s="2" t="s">
        <v>67</v>
      </c>
      <c r="C507" s="2" t="s">
        <v>16</v>
      </c>
      <c r="D507" s="2">
        <v>47</v>
      </c>
      <c r="E507" s="3">
        <v>91759</v>
      </c>
      <c r="F507" s="2" t="s">
        <v>38</v>
      </c>
      <c r="G507" s="2" t="s">
        <v>18</v>
      </c>
      <c r="H507" t="str">
        <f t="shared" si="14"/>
        <v>BMW</v>
      </c>
      <c r="I507" t="str">
        <f t="shared" si="15"/>
        <v>Sedan</v>
      </c>
    </row>
    <row r="508" spans="1:9">
      <c r="A508" s="2">
        <v>507</v>
      </c>
      <c r="B508" s="2" t="s">
        <v>65</v>
      </c>
      <c r="C508" s="2" t="s">
        <v>12</v>
      </c>
      <c r="D508" s="2">
        <v>8</v>
      </c>
      <c r="E508" s="3">
        <v>56812</v>
      </c>
      <c r="F508" s="2" t="s">
        <v>17</v>
      </c>
      <c r="G508" s="2" t="s">
        <v>10</v>
      </c>
      <c r="H508" t="str">
        <f t="shared" si="14"/>
        <v>Ford</v>
      </c>
      <c r="I508" t="str">
        <f t="shared" si="15"/>
        <v>Sedan</v>
      </c>
    </row>
    <row r="509" spans="1:9">
      <c r="A509" s="2">
        <v>508</v>
      </c>
      <c r="B509" s="2" t="s">
        <v>19</v>
      </c>
      <c r="C509" s="2" t="s">
        <v>8</v>
      </c>
      <c r="D509" s="2">
        <v>50</v>
      </c>
      <c r="E509" s="3">
        <v>77603</v>
      </c>
      <c r="F509" s="2" t="s">
        <v>32</v>
      </c>
      <c r="G509" s="2" t="s">
        <v>14</v>
      </c>
      <c r="H509" t="str">
        <f t="shared" si="14"/>
        <v>Tesla</v>
      </c>
      <c r="I509" t="str">
        <f t="shared" si="15"/>
        <v>Minivan</v>
      </c>
    </row>
    <row r="510" spans="1:9">
      <c r="A510" s="2">
        <v>509</v>
      </c>
      <c r="B510" s="2" t="s">
        <v>49</v>
      </c>
      <c r="C510" s="2" t="s">
        <v>8</v>
      </c>
      <c r="D510" s="2">
        <v>2</v>
      </c>
      <c r="E510" s="3">
        <v>75496</v>
      </c>
      <c r="F510" s="2" t="s">
        <v>17</v>
      </c>
      <c r="G510" s="2" t="s">
        <v>29</v>
      </c>
      <c r="H510" t="str">
        <f t="shared" si="14"/>
        <v>Chevrolet</v>
      </c>
      <c r="I510" t="str">
        <f t="shared" si="15"/>
        <v>Sedan</v>
      </c>
    </row>
    <row r="511" spans="1:9">
      <c r="A511" s="2">
        <v>510</v>
      </c>
      <c r="B511" s="2" t="s">
        <v>80</v>
      </c>
      <c r="C511" s="2" t="s">
        <v>8</v>
      </c>
      <c r="D511" s="2">
        <v>22</v>
      </c>
      <c r="E511" s="3">
        <v>75882</v>
      </c>
      <c r="F511" s="2" t="s">
        <v>20</v>
      </c>
      <c r="G511" s="2" t="s">
        <v>23</v>
      </c>
      <c r="H511" t="str">
        <f t="shared" si="14"/>
        <v>Tesla</v>
      </c>
      <c r="I511" t="str">
        <f t="shared" si="15"/>
        <v>Sedan</v>
      </c>
    </row>
    <row r="512" spans="1:9">
      <c r="A512" s="2">
        <v>511</v>
      </c>
      <c r="B512" s="2" t="s">
        <v>64</v>
      </c>
      <c r="C512" s="2" t="s">
        <v>22</v>
      </c>
      <c r="D512" s="2">
        <v>28</v>
      </c>
      <c r="E512" s="3">
        <v>91179</v>
      </c>
      <c r="F512" s="2" t="s">
        <v>13</v>
      </c>
      <c r="G512" s="2" t="s">
        <v>14</v>
      </c>
      <c r="H512" t="str">
        <f t="shared" si="14"/>
        <v>Tesla</v>
      </c>
      <c r="I512" t="str">
        <f t="shared" si="15"/>
        <v>Coupe</v>
      </c>
    </row>
    <row r="513" spans="1:9">
      <c r="A513" s="2">
        <v>512</v>
      </c>
      <c r="B513" s="2" t="s">
        <v>83</v>
      </c>
      <c r="C513" s="2" t="s">
        <v>8</v>
      </c>
      <c r="D513" s="2">
        <v>18</v>
      </c>
      <c r="E513" s="3">
        <v>84959</v>
      </c>
      <c r="F513" s="2" t="s">
        <v>32</v>
      </c>
      <c r="G513" s="2" t="s">
        <v>18</v>
      </c>
      <c r="H513" t="str">
        <f t="shared" si="14"/>
        <v>Honda</v>
      </c>
      <c r="I513" t="str">
        <f t="shared" si="15"/>
        <v>Sedan</v>
      </c>
    </row>
    <row r="514" spans="1:9">
      <c r="A514" s="2">
        <v>513</v>
      </c>
      <c r="B514" s="2" t="s">
        <v>11</v>
      </c>
      <c r="C514" s="2" t="s">
        <v>8</v>
      </c>
      <c r="D514" s="2">
        <v>34</v>
      </c>
      <c r="E514" s="3">
        <v>76373</v>
      </c>
      <c r="F514" s="2" t="s">
        <v>9</v>
      </c>
      <c r="G514" s="2" t="s">
        <v>18</v>
      </c>
      <c r="H514" t="str">
        <f t="shared" si="14"/>
        <v>Toyota</v>
      </c>
      <c r="I514" t="str">
        <f t="shared" si="15"/>
        <v>Hatchback</v>
      </c>
    </row>
    <row r="515" spans="1:9">
      <c r="A515" s="2">
        <v>514</v>
      </c>
      <c r="B515" s="2" t="s">
        <v>11</v>
      </c>
      <c r="C515" s="2" t="s">
        <v>16</v>
      </c>
      <c r="D515" s="2">
        <v>5</v>
      </c>
      <c r="E515" s="3">
        <v>57822</v>
      </c>
      <c r="F515" s="2" t="s">
        <v>25</v>
      </c>
      <c r="G515" s="2" t="s">
        <v>29</v>
      </c>
      <c r="H515" t="str">
        <f t="shared" ref="H515:H578" si="16">LEFT(B515,FIND(",",B515)-1)</f>
        <v>Toyota</v>
      </c>
      <c r="I515" t="str">
        <f t="shared" ref="I515:I578" si="17">TRIM(MID(B515,FIND(",",B515)+1,LEN(B515)))</f>
        <v>Hatchback</v>
      </c>
    </row>
    <row r="516" spans="1:9">
      <c r="A516" s="2">
        <v>515</v>
      </c>
      <c r="B516" s="2" t="s">
        <v>37</v>
      </c>
      <c r="C516" s="2" t="s">
        <v>22</v>
      </c>
      <c r="D516" s="2">
        <v>17</v>
      </c>
      <c r="E516" s="3">
        <v>74791</v>
      </c>
      <c r="F516" s="2" t="s">
        <v>28</v>
      </c>
      <c r="G516" s="2" t="s">
        <v>23</v>
      </c>
      <c r="H516" t="str">
        <f t="shared" si="16"/>
        <v>Tesla</v>
      </c>
      <c r="I516" t="str">
        <f t="shared" si="17"/>
        <v>Truck</v>
      </c>
    </row>
    <row r="517" spans="1:9">
      <c r="A517" s="2">
        <v>516</v>
      </c>
      <c r="B517" s="2" t="s">
        <v>73</v>
      </c>
      <c r="C517" s="2" t="s">
        <v>22</v>
      </c>
      <c r="D517" s="2">
        <v>46</v>
      </c>
      <c r="E517" s="3">
        <v>68651</v>
      </c>
      <c r="F517" s="2" t="s">
        <v>17</v>
      </c>
      <c r="G517" s="2" t="s">
        <v>18</v>
      </c>
      <c r="H517" t="str">
        <f t="shared" si="16"/>
        <v>Hyundai</v>
      </c>
      <c r="I517" t="str">
        <f t="shared" si="17"/>
        <v>Minivan</v>
      </c>
    </row>
    <row r="518" spans="1:9">
      <c r="A518" s="2">
        <v>517</v>
      </c>
      <c r="B518" s="2" t="s">
        <v>33</v>
      </c>
      <c r="C518" s="2" t="s">
        <v>12</v>
      </c>
      <c r="D518" s="2">
        <v>37</v>
      </c>
      <c r="E518" s="3">
        <v>55349</v>
      </c>
      <c r="F518" s="2" t="s">
        <v>13</v>
      </c>
      <c r="G518" s="2" t="s">
        <v>18</v>
      </c>
      <c r="H518" t="str">
        <f t="shared" si="16"/>
        <v>Volkswagen</v>
      </c>
      <c r="I518" t="str">
        <f t="shared" si="17"/>
        <v>SUV</v>
      </c>
    </row>
    <row r="519" spans="1:9">
      <c r="A519" s="2">
        <v>518</v>
      </c>
      <c r="B519" s="2" t="s">
        <v>60</v>
      </c>
      <c r="C519" s="2" t="s">
        <v>8</v>
      </c>
      <c r="D519" s="2">
        <v>41</v>
      </c>
      <c r="E519" s="3">
        <v>90580</v>
      </c>
      <c r="F519" s="2" t="s">
        <v>17</v>
      </c>
      <c r="G519" s="2" t="s">
        <v>18</v>
      </c>
      <c r="H519" t="str">
        <f t="shared" si="16"/>
        <v>Ford</v>
      </c>
      <c r="I519" t="str">
        <f t="shared" si="17"/>
        <v>Convertible</v>
      </c>
    </row>
    <row r="520" spans="1:9">
      <c r="A520" s="2">
        <v>519</v>
      </c>
      <c r="B520" s="2" t="s">
        <v>94</v>
      </c>
      <c r="C520" s="2" t="s">
        <v>16</v>
      </c>
      <c r="D520" s="2">
        <v>5</v>
      </c>
      <c r="E520" s="3">
        <v>85240</v>
      </c>
      <c r="F520" s="2" t="s">
        <v>20</v>
      </c>
      <c r="G520" s="2" t="s">
        <v>14</v>
      </c>
      <c r="H520" t="str">
        <f t="shared" si="16"/>
        <v>Hyundai</v>
      </c>
      <c r="I520" t="str">
        <f t="shared" si="17"/>
        <v>Sedan</v>
      </c>
    </row>
    <row r="521" spans="1:9">
      <c r="A521" s="2">
        <v>520</v>
      </c>
      <c r="B521" s="2" t="s">
        <v>59</v>
      </c>
      <c r="C521" s="2" t="s">
        <v>12</v>
      </c>
      <c r="D521" s="2">
        <v>32</v>
      </c>
      <c r="E521" s="3">
        <v>80364</v>
      </c>
      <c r="F521" s="2" t="s">
        <v>20</v>
      </c>
      <c r="G521" s="2" t="s">
        <v>26</v>
      </c>
      <c r="H521" t="str">
        <f t="shared" si="16"/>
        <v>Audi</v>
      </c>
      <c r="I521" t="str">
        <f t="shared" si="17"/>
        <v>Convertible</v>
      </c>
    </row>
    <row r="522" spans="1:9">
      <c r="A522" s="2">
        <v>521</v>
      </c>
      <c r="B522" s="2" t="s">
        <v>40</v>
      </c>
      <c r="C522" s="2" t="s">
        <v>8</v>
      </c>
      <c r="D522" s="2">
        <v>30</v>
      </c>
      <c r="E522" s="3">
        <v>59766</v>
      </c>
      <c r="F522" s="2" t="s">
        <v>20</v>
      </c>
      <c r="G522" s="2" t="s">
        <v>14</v>
      </c>
      <c r="H522" t="str">
        <f t="shared" si="16"/>
        <v>Volkswagen</v>
      </c>
      <c r="I522" t="str">
        <f t="shared" si="17"/>
        <v>Convertible</v>
      </c>
    </row>
    <row r="523" spans="1:9">
      <c r="A523" s="2">
        <v>522</v>
      </c>
      <c r="B523" s="2" t="s">
        <v>21</v>
      </c>
      <c r="C523" s="2" t="s">
        <v>22</v>
      </c>
      <c r="D523" s="2">
        <v>33</v>
      </c>
      <c r="E523" s="3">
        <v>37650</v>
      </c>
      <c r="F523" s="2" t="s">
        <v>38</v>
      </c>
      <c r="G523" s="2" t="s">
        <v>23</v>
      </c>
      <c r="H523" t="str">
        <f t="shared" si="16"/>
        <v>Tesla</v>
      </c>
      <c r="I523" t="str">
        <f t="shared" si="17"/>
        <v>Convertible</v>
      </c>
    </row>
    <row r="524" spans="1:9">
      <c r="A524" s="2">
        <v>523</v>
      </c>
      <c r="B524" s="2" t="s">
        <v>79</v>
      </c>
      <c r="C524" s="2" t="s">
        <v>8</v>
      </c>
      <c r="D524" s="2">
        <v>24</v>
      </c>
      <c r="E524" s="3">
        <v>92025</v>
      </c>
      <c r="F524" s="2" t="s">
        <v>25</v>
      </c>
      <c r="G524" s="2" t="s">
        <v>29</v>
      </c>
      <c r="H524" t="str">
        <f t="shared" si="16"/>
        <v>Audi</v>
      </c>
      <c r="I524" t="str">
        <f t="shared" si="17"/>
        <v>Truck</v>
      </c>
    </row>
    <row r="525" spans="1:9">
      <c r="A525" s="2">
        <v>524</v>
      </c>
      <c r="B525" s="2" t="s">
        <v>78</v>
      </c>
      <c r="C525" s="2" t="s">
        <v>8</v>
      </c>
      <c r="D525" s="2">
        <v>4</v>
      </c>
      <c r="E525" s="3">
        <v>26303</v>
      </c>
      <c r="F525" s="2" t="s">
        <v>25</v>
      </c>
      <c r="G525" s="2" t="s">
        <v>23</v>
      </c>
      <c r="H525" t="str">
        <f t="shared" si="16"/>
        <v>Hyundai</v>
      </c>
      <c r="I525" t="str">
        <f t="shared" si="17"/>
        <v>Hatchback</v>
      </c>
    </row>
    <row r="526" spans="1:9">
      <c r="A526" s="2">
        <v>525</v>
      </c>
      <c r="B526" s="2" t="s">
        <v>82</v>
      </c>
      <c r="C526" s="2" t="s">
        <v>16</v>
      </c>
      <c r="D526" s="2">
        <v>32</v>
      </c>
      <c r="E526" s="3">
        <v>55668</v>
      </c>
      <c r="F526" s="2" t="s">
        <v>38</v>
      </c>
      <c r="G526" s="2" t="s">
        <v>26</v>
      </c>
      <c r="H526" t="str">
        <f t="shared" si="16"/>
        <v>Audi</v>
      </c>
      <c r="I526" t="str">
        <f t="shared" si="17"/>
        <v>Sedan</v>
      </c>
    </row>
    <row r="527" spans="1:9">
      <c r="A527" s="2">
        <v>526</v>
      </c>
      <c r="B527" s="2" t="s">
        <v>64</v>
      </c>
      <c r="C527" s="2" t="s">
        <v>16</v>
      </c>
      <c r="D527" s="2">
        <v>37</v>
      </c>
      <c r="E527" s="3">
        <v>79334</v>
      </c>
      <c r="F527" s="2" t="s">
        <v>32</v>
      </c>
      <c r="G527" s="2" t="s">
        <v>29</v>
      </c>
      <c r="H527" t="str">
        <f t="shared" si="16"/>
        <v>Tesla</v>
      </c>
      <c r="I527" t="str">
        <f t="shared" si="17"/>
        <v>Coupe</v>
      </c>
    </row>
    <row r="528" spans="1:9">
      <c r="A528" s="2">
        <v>527</v>
      </c>
      <c r="B528" s="2" t="s">
        <v>50</v>
      </c>
      <c r="C528" s="2" t="s">
        <v>16</v>
      </c>
      <c r="D528" s="2">
        <v>11</v>
      </c>
      <c r="E528" s="3">
        <v>38842</v>
      </c>
      <c r="F528" s="2" t="s">
        <v>20</v>
      </c>
      <c r="G528" s="2" t="s">
        <v>26</v>
      </c>
      <c r="H528" t="str">
        <f t="shared" si="16"/>
        <v>Honda</v>
      </c>
      <c r="I528" t="str">
        <f t="shared" si="17"/>
        <v>Truck</v>
      </c>
    </row>
    <row r="529" spans="1:9">
      <c r="A529" s="2">
        <v>528</v>
      </c>
      <c r="B529" s="2" t="s">
        <v>76</v>
      </c>
      <c r="C529" s="2" t="s">
        <v>12</v>
      </c>
      <c r="D529" s="2">
        <v>24</v>
      </c>
      <c r="E529" s="3">
        <v>36596</v>
      </c>
      <c r="F529" s="2" t="s">
        <v>9</v>
      </c>
      <c r="G529" s="2" t="s">
        <v>10</v>
      </c>
      <c r="H529" t="str">
        <f t="shared" si="16"/>
        <v>Toyota</v>
      </c>
      <c r="I529" t="str">
        <f t="shared" si="17"/>
        <v>Minivan</v>
      </c>
    </row>
    <row r="530" spans="1:9">
      <c r="A530" s="2">
        <v>529</v>
      </c>
      <c r="B530" s="2" t="s">
        <v>27</v>
      </c>
      <c r="C530" s="2" t="s">
        <v>16</v>
      </c>
      <c r="D530" s="2">
        <v>11</v>
      </c>
      <c r="E530" s="3">
        <v>29286</v>
      </c>
      <c r="F530" s="2" t="s">
        <v>32</v>
      </c>
      <c r="G530" s="2" t="s">
        <v>18</v>
      </c>
      <c r="H530" t="str">
        <f t="shared" si="16"/>
        <v>Ford</v>
      </c>
      <c r="I530" t="str">
        <f t="shared" si="17"/>
        <v>Hatchback</v>
      </c>
    </row>
    <row r="531" spans="1:9">
      <c r="A531" s="2">
        <v>530</v>
      </c>
      <c r="B531" s="2" t="s">
        <v>47</v>
      </c>
      <c r="C531" s="2" t="s">
        <v>12</v>
      </c>
      <c r="D531" s="2">
        <v>17</v>
      </c>
      <c r="E531" s="3">
        <v>61575</v>
      </c>
      <c r="F531" s="2" t="s">
        <v>20</v>
      </c>
      <c r="G531" s="2" t="s">
        <v>29</v>
      </c>
      <c r="H531" t="str">
        <f t="shared" si="16"/>
        <v>Audi</v>
      </c>
      <c r="I531" t="str">
        <f t="shared" si="17"/>
        <v>Minivan</v>
      </c>
    </row>
    <row r="532" spans="1:9">
      <c r="A532" s="2">
        <v>531</v>
      </c>
      <c r="B532" s="2" t="s">
        <v>64</v>
      </c>
      <c r="C532" s="2" t="s">
        <v>8</v>
      </c>
      <c r="D532" s="2">
        <v>50</v>
      </c>
      <c r="E532" s="3">
        <v>98320</v>
      </c>
      <c r="F532" s="2" t="s">
        <v>38</v>
      </c>
      <c r="G532" s="2" t="s">
        <v>18</v>
      </c>
      <c r="H532" t="str">
        <f t="shared" si="16"/>
        <v>Tesla</v>
      </c>
      <c r="I532" t="str">
        <f t="shared" si="17"/>
        <v>Coupe</v>
      </c>
    </row>
    <row r="533" spans="1:9">
      <c r="A533" s="2">
        <v>532</v>
      </c>
      <c r="B533" s="2" t="s">
        <v>46</v>
      </c>
      <c r="C533" s="2" t="s">
        <v>12</v>
      </c>
      <c r="D533" s="2">
        <v>7</v>
      </c>
      <c r="E533" s="3">
        <v>36375</v>
      </c>
      <c r="F533" s="2" t="s">
        <v>13</v>
      </c>
      <c r="G533" s="2" t="s">
        <v>26</v>
      </c>
      <c r="H533" t="str">
        <f t="shared" si="16"/>
        <v>Honda</v>
      </c>
      <c r="I533" t="str">
        <f t="shared" si="17"/>
        <v>Minivan</v>
      </c>
    </row>
    <row r="534" spans="1:9">
      <c r="A534" s="2">
        <v>533</v>
      </c>
      <c r="B534" s="2" t="s">
        <v>81</v>
      </c>
      <c r="C534" s="2" t="s">
        <v>12</v>
      </c>
      <c r="D534" s="2">
        <v>37</v>
      </c>
      <c r="E534" s="3">
        <v>90916</v>
      </c>
      <c r="F534" s="2" t="s">
        <v>9</v>
      </c>
      <c r="G534" s="2" t="s">
        <v>29</v>
      </c>
      <c r="H534" t="str">
        <f t="shared" si="16"/>
        <v>Nissan</v>
      </c>
      <c r="I534" t="str">
        <f t="shared" si="17"/>
        <v>Hatchback</v>
      </c>
    </row>
    <row r="535" spans="1:9">
      <c r="A535" s="2">
        <v>534</v>
      </c>
      <c r="B535" s="2" t="s">
        <v>94</v>
      </c>
      <c r="C535" s="2" t="s">
        <v>16</v>
      </c>
      <c r="D535" s="2">
        <v>44</v>
      </c>
      <c r="E535" s="3">
        <v>29614</v>
      </c>
      <c r="F535" s="2" t="s">
        <v>28</v>
      </c>
      <c r="G535" s="2" t="s">
        <v>10</v>
      </c>
      <c r="H535" t="str">
        <f t="shared" si="16"/>
        <v>Hyundai</v>
      </c>
      <c r="I535" t="str">
        <f t="shared" si="17"/>
        <v>Sedan</v>
      </c>
    </row>
    <row r="536" spans="1:9">
      <c r="A536" s="2">
        <v>535</v>
      </c>
      <c r="B536" s="2" t="s">
        <v>89</v>
      </c>
      <c r="C536" s="2" t="s">
        <v>16</v>
      </c>
      <c r="D536" s="2">
        <v>47</v>
      </c>
      <c r="E536" s="3">
        <v>30280</v>
      </c>
      <c r="F536" s="2" t="s">
        <v>38</v>
      </c>
      <c r="G536" s="2" t="s">
        <v>29</v>
      </c>
      <c r="H536" t="str">
        <f t="shared" si="16"/>
        <v>Toyota</v>
      </c>
      <c r="I536" t="str">
        <f t="shared" si="17"/>
        <v>Truck</v>
      </c>
    </row>
    <row r="537" spans="1:9">
      <c r="A537" s="2">
        <v>536</v>
      </c>
      <c r="B537" s="2" t="s">
        <v>75</v>
      </c>
      <c r="C537" s="2" t="s">
        <v>22</v>
      </c>
      <c r="D537" s="2">
        <v>8</v>
      </c>
      <c r="E537" s="3">
        <v>40452</v>
      </c>
      <c r="F537" s="2" t="s">
        <v>17</v>
      </c>
      <c r="G537" s="2" t="s">
        <v>23</v>
      </c>
      <c r="H537" t="str">
        <f t="shared" si="16"/>
        <v>Nissan</v>
      </c>
      <c r="I537" t="str">
        <f t="shared" si="17"/>
        <v>Convertible</v>
      </c>
    </row>
    <row r="538" spans="1:9">
      <c r="A538" s="2">
        <v>537</v>
      </c>
      <c r="B538" s="2" t="s">
        <v>37</v>
      </c>
      <c r="C538" s="2" t="s">
        <v>12</v>
      </c>
      <c r="D538" s="2">
        <v>15</v>
      </c>
      <c r="E538" s="3">
        <v>73087</v>
      </c>
      <c r="F538" s="2" t="s">
        <v>32</v>
      </c>
      <c r="G538" s="2" t="s">
        <v>14</v>
      </c>
      <c r="H538" t="str">
        <f t="shared" si="16"/>
        <v>Tesla</v>
      </c>
      <c r="I538" t="str">
        <f t="shared" si="17"/>
        <v>Truck</v>
      </c>
    </row>
    <row r="539" spans="1:9">
      <c r="A539" s="2">
        <v>538</v>
      </c>
      <c r="B539" s="2" t="s">
        <v>7</v>
      </c>
      <c r="C539" s="2" t="s">
        <v>8</v>
      </c>
      <c r="D539" s="2">
        <v>48</v>
      </c>
      <c r="E539" s="3">
        <v>41300</v>
      </c>
      <c r="F539" s="2" t="s">
        <v>20</v>
      </c>
      <c r="G539" s="2" t="s">
        <v>18</v>
      </c>
      <c r="H539" t="str">
        <f t="shared" si="16"/>
        <v>Ford</v>
      </c>
      <c r="I539" t="str">
        <f t="shared" si="17"/>
        <v>Truck</v>
      </c>
    </row>
    <row r="540" spans="1:9">
      <c r="A540" s="2">
        <v>539</v>
      </c>
      <c r="B540" s="2" t="s">
        <v>94</v>
      </c>
      <c r="C540" s="2" t="s">
        <v>22</v>
      </c>
      <c r="D540" s="2">
        <v>33</v>
      </c>
      <c r="E540" s="3">
        <v>36819</v>
      </c>
      <c r="F540" s="2" t="s">
        <v>38</v>
      </c>
      <c r="G540" s="2" t="s">
        <v>14</v>
      </c>
      <c r="H540" t="str">
        <f t="shared" si="16"/>
        <v>Hyundai</v>
      </c>
      <c r="I540" t="str">
        <f t="shared" si="17"/>
        <v>Sedan</v>
      </c>
    </row>
    <row r="541" spans="1:9">
      <c r="A541" s="2">
        <v>540</v>
      </c>
      <c r="B541" s="2" t="s">
        <v>24</v>
      </c>
      <c r="C541" s="2" t="s">
        <v>22</v>
      </c>
      <c r="D541" s="2">
        <v>1</v>
      </c>
      <c r="E541" s="3">
        <v>97304</v>
      </c>
      <c r="F541" s="2" t="s">
        <v>32</v>
      </c>
      <c r="G541" s="2" t="s">
        <v>29</v>
      </c>
      <c r="H541" t="str">
        <f t="shared" si="16"/>
        <v>Honda</v>
      </c>
      <c r="I541" t="str">
        <f t="shared" si="17"/>
        <v>Convertible</v>
      </c>
    </row>
    <row r="542" spans="1:9">
      <c r="A542" s="2">
        <v>541</v>
      </c>
      <c r="B542" s="2" t="s">
        <v>88</v>
      </c>
      <c r="C542" s="2" t="s">
        <v>22</v>
      </c>
      <c r="D542" s="2">
        <v>3</v>
      </c>
      <c r="E542" s="3">
        <v>76299</v>
      </c>
      <c r="F542" s="2" t="s">
        <v>9</v>
      </c>
      <c r="G542" s="2" t="s">
        <v>23</v>
      </c>
      <c r="H542" t="str">
        <f t="shared" si="16"/>
        <v>Hyundai</v>
      </c>
      <c r="I542" t="str">
        <f t="shared" si="17"/>
        <v>Convertible</v>
      </c>
    </row>
    <row r="543" spans="1:9">
      <c r="A543" s="2">
        <v>542</v>
      </c>
      <c r="B543" s="2" t="s">
        <v>87</v>
      </c>
      <c r="C543" s="2" t="s">
        <v>16</v>
      </c>
      <c r="D543" s="2">
        <v>1</v>
      </c>
      <c r="E543" s="3">
        <v>32137</v>
      </c>
      <c r="F543" s="2" t="s">
        <v>20</v>
      </c>
      <c r="G543" s="2" t="s">
        <v>29</v>
      </c>
      <c r="H543" t="str">
        <f t="shared" si="16"/>
        <v>Nissan</v>
      </c>
      <c r="I543" t="str">
        <f t="shared" si="17"/>
        <v>SUV</v>
      </c>
    </row>
    <row r="544" spans="1:9">
      <c r="A544" s="2">
        <v>543</v>
      </c>
      <c r="B544" s="2" t="s">
        <v>87</v>
      </c>
      <c r="C544" s="2" t="s">
        <v>16</v>
      </c>
      <c r="D544" s="2">
        <v>16</v>
      </c>
      <c r="E544" s="3">
        <v>85083</v>
      </c>
      <c r="F544" s="2" t="s">
        <v>9</v>
      </c>
      <c r="G544" s="2" t="s">
        <v>10</v>
      </c>
      <c r="H544" t="str">
        <f t="shared" si="16"/>
        <v>Nissan</v>
      </c>
      <c r="I544" t="str">
        <f t="shared" si="17"/>
        <v>SUV</v>
      </c>
    </row>
    <row r="545" spans="1:9">
      <c r="A545" s="2">
        <v>544</v>
      </c>
      <c r="B545" s="2" t="s">
        <v>93</v>
      </c>
      <c r="C545" s="2" t="s">
        <v>16</v>
      </c>
      <c r="D545" s="2">
        <v>3</v>
      </c>
      <c r="E545" s="3">
        <v>93655</v>
      </c>
      <c r="F545" s="2" t="s">
        <v>38</v>
      </c>
      <c r="G545" s="2" t="s">
        <v>10</v>
      </c>
      <c r="H545" t="str">
        <f t="shared" si="16"/>
        <v>Volkswagen</v>
      </c>
      <c r="I545" t="str">
        <f t="shared" si="17"/>
        <v>Hatchback</v>
      </c>
    </row>
    <row r="546" spans="1:9">
      <c r="A546" s="2">
        <v>545</v>
      </c>
      <c r="B546" s="2" t="s">
        <v>48</v>
      </c>
      <c r="C546" s="2" t="s">
        <v>8</v>
      </c>
      <c r="D546" s="2">
        <v>31</v>
      </c>
      <c r="E546" s="3">
        <v>90693</v>
      </c>
      <c r="F546" s="2" t="s">
        <v>17</v>
      </c>
      <c r="G546" s="2" t="s">
        <v>10</v>
      </c>
      <c r="H546" t="str">
        <f t="shared" si="16"/>
        <v>BMW</v>
      </c>
      <c r="I546" t="str">
        <f t="shared" si="17"/>
        <v>Coupe</v>
      </c>
    </row>
    <row r="547" spans="1:9">
      <c r="A547" s="2">
        <v>546</v>
      </c>
      <c r="B547" s="2" t="s">
        <v>43</v>
      </c>
      <c r="C547" s="2" t="s">
        <v>12</v>
      </c>
      <c r="D547" s="2">
        <v>24</v>
      </c>
      <c r="E547" s="3">
        <v>39973</v>
      </c>
      <c r="F547" s="2" t="s">
        <v>13</v>
      </c>
      <c r="G547" s="2" t="s">
        <v>29</v>
      </c>
      <c r="H547" t="str">
        <f t="shared" si="16"/>
        <v>Hyundai</v>
      </c>
      <c r="I547" t="str">
        <f t="shared" si="17"/>
        <v>SUV</v>
      </c>
    </row>
    <row r="548" spans="1:9">
      <c r="A548" s="2">
        <v>547</v>
      </c>
      <c r="B548" s="2" t="s">
        <v>54</v>
      </c>
      <c r="C548" s="2" t="s">
        <v>22</v>
      </c>
      <c r="D548" s="2">
        <v>25</v>
      </c>
      <c r="E548" s="3">
        <v>89748</v>
      </c>
      <c r="F548" s="2" t="s">
        <v>17</v>
      </c>
      <c r="G548" s="2" t="s">
        <v>26</v>
      </c>
      <c r="H548" t="str">
        <f t="shared" si="16"/>
        <v>Volkswagen</v>
      </c>
      <c r="I548" t="str">
        <f t="shared" si="17"/>
        <v>Minivan</v>
      </c>
    </row>
    <row r="549" spans="1:9">
      <c r="A549" s="2">
        <v>548</v>
      </c>
      <c r="B549" s="2" t="s">
        <v>57</v>
      </c>
      <c r="C549" s="2" t="s">
        <v>16</v>
      </c>
      <c r="D549" s="2">
        <v>10</v>
      </c>
      <c r="E549" s="3">
        <v>64646</v>
      </c>
      <c r="F549" s="2" t="s">
        <v>38</v>
      </c>
      <c r="G549" s="2" t="s">
        <v>10</v>
      </c>
      <c r="H549" t="str">
        <f t="shared" si="16"/>
        <v>Nissan</v>
      </c>
      <c r="I549" t="str">
        <f t="shared" si="17"/>
        <v>Sedan</v>
      </c>
    </row>
    <row r="550" spans="1:9">
      <c r="A550" s="2">
        <v>549</v>
      </c>
      <c r="B550" s="2" t="s">
        <v>79</v>
      </c>
      <c r="C550" s="2" t="s">
        <v>12</v>
      </c>
      <c r="D550" s="2">
        <v>12</v>
      </c>
      <c r="E550" s="3">
        <v>76522</v>
      </c>
      <c r="F550" s="2" t="s">
        <v>28</v>
      </c>
      <c r="G550" s="2" t="s">
        <v>26</v>
      </c>
      <c r="H550" t="str">
        <f t="shared" si="16"/>
        <v>Audi</v>
      </c>
      <c r="I550" t="str">
        <f t="shared" si="17"/>
        <v>Truck</v>
      </c>
    </row>
    <row r="551" spans="1:9">
      <c r="A551" s="2">
        <v>550</v>
      </c>
      <c r="B551" s="2" t="s">
        <v>39</v>
      </c>
      <c r="C551" s="2" t="s">
        <v>22</v>
      </c>
      <c r="D551" s="2">
        <v>3</v>
      </c>
      <c r="E551" s="3">
        <v>99360</v>
      </c>
      <c r="F551" s="2" t="s">
        <v>38</v>
      </c>
      <c r="G551" s="2" t="s">
        <v>26</v>
      </c>
      <c r="H551" t="str">
        <f t="shared" si="16"/>
        <v>Nissan</v>
      </c>
      <c r="I551" t="str">
        <f t="shared" si="17"/>
        <v>Minivan</v>
      </c>
    </row>
    <row r="552" spans="1:9">
      <c r="A552" s="2">
        <v>551</v>
      </c>
      <c r="B552" s="2" t="s">
        <v>88</v>
      </c>
      <c r="C552" s="2" t="s">
        <v>12</v>
      </c>
      <c r="D552" s="2">
        <v>36</v>
      </c>
      <c r="E552" s="3">
        <v>36497</v>
      </c>
      <c r="F552" s="2" t="s">
        <v>20</v>
      </c>
      <c r="G552" s="2" t="s">
        <v>29</v>
      </c>
      <c r="H552" t="str">
        <f t="shared" si="16"/>
        <v>Hyundai</v>
      </c>
      <c r="I552" t="str">
        <f t="shared" si="17"/>
        <v>Convertible</v>
      </c>
    </row>
    <row r="553" spans="1:9">
      <c r="A553" s="2">
        <v>552</v>
      </c>
      <c r="B553" s="2" t="s">
        <v>50</v>
      </c>
      <c r="C553" s="2" t="s">
        <v>22</v>
      </c>
      <c r="D553" s="2">
        <v>46</v>
      </c>
      <c r="E553" s="3">
        <v>91104</v>
      </c>
      <c r="F553" s="2" t="s">
        <v>28</v>
      </c>
      <c r="G553" s="2" t="s">
        <v>29</v>
      </c>
      <c r="H553" t="str">
        <f t="shared" si="16"/>
        <v>Honda</v>
      </c>
      <c r="I553" t="str">
        <f t="shared" si="17"/>
        <v>Truck</v>
      </c>
    </row>
    <row r="554" spans="1:9">
      <c r="A554" s="2">
        <v>553</v>
      </c>
      <c r="B554" s="2" t="s">
        <v>94</v>
      </c>
      <c r="C554" s="2" t="s">
        <v>12</v>
      </c>
      <c r="D554" s="2">
        <v>48</v>
      </c>
      <c r="E554" s="3">
        <v>43921</v>
      </c>
      <c r="F554" s="2" t="s">
        <v>20</v>
      </c>
      <c r="G554" s="2" t="s">
        <v>23</v>
      </c>
      <c r="H554" t="str">
        <f t="shared" si="16"/>
        <v>Hyundai</v>
      </c>
      <c r="I554" t="str">
        <f t="shared" si="17"/>
        <v>Sedan</v>
      </c>
    </row>
    <row r="555" spans="1:9">
      <c r="A555" s="2">
        <v>554</v>
      </c>
      <c r="B555" s="2" t="s">
        <v>73</v>
      </c>
      <c r="C555" s="2" t="s">
        <v>16</v>
      </c>
      <c r="D555" s="2">
        <v>42</v>
      </c>
      <c r="E555" s="3">
        <v>93215</v>
      </c>
      <c r="F555" s="2" t="s">
        <v>32</v>
      </c>
      <c r="G555" s="2" t="s">
        <v>26</v>
      </c>
      <c r="H555" t="str">
        <f t="shared" si="16"/>
        <v>Hyundai</v>
      </c>
      <c r="I555" t="str">
        <f t="shared" si="17"/>
        <v>Minivan</v>
      </c>
    </row>
    <row r="556" spans="1:9">
      <c r="A556" s="2">
        <v>555</v>
      </c>
      <c r="B556" s="2" t="s">
        <v>15</v>
      </c>
      <c r="C556" s="2" t="s">
        <v>12</v>
      </c>
      <c r="D556" s="2">
        <v>27</v>
      </c>
      <c r="E556" s="3">
        <v>72467</v>
      </c>
      <c r="F556" s="2" t="s">
        <v>20</v>
      </c>
      <c r="G556" s="2" t="s">
        <v>18</v>
      </c>
      <c r="H556" t="str">
        <f t="shared" si="16"/>
        <v>Chevrolet</v>
      </c>
      <c r="I556" t="str">
        <f t="shared" si="17"/>
        <v>Truck</v>
      </c>
    </row>
    <row r="557" spans="1:9">
      <c r="A557" s="2">
        <v>556</v>
      </c>
      <c r="B557" s="2" t="s">
        <v>21</v>
      </c>
      <c r="C557" s="2" t="s">
        <v>12</v>
      </c>
      <c r="D557" s="2">
        <v>15</v>
      </c>
      <c r="E557" s="3">
        <v>73063</v>
      </c>
      <c r="F557" s="2" t="s">
        <v>20</v>
      </c>
      <c r="G557" s="2" t="s">
        <v>14</v>
      </c>
      <c r="H557" t="str">
        <f t="shared" si="16"/>
        <v>Tesla</v>
      </c>
      <c r="I557" t="str">
        <f t="shared" si="17"/>
        <v>Convertible</v>
      </c>
    </row>
    <row r="558" spans="1:9">
      <c r="A558" s="2">
        <v>557</v>
      </c>
      <c r="B558" s="2" t="s">
        <v>86</v>
      </c>
      <c r="C558" s="2" t="s">
        <v>22</v>
      </c>
      <c r="D558" s="2">
        <v>21</v>
      </c>
      <c r="E558" s="3">
        <v>66942</v>
      </c>
      <c r="F558" s="2" t="s">
        <v>32</v>
      </c>
      <c r="G558" s="2" t="s">
        <v>26</v>
      </c>
      <c r="H558" t="str">
        <f t="shared" si="16"/>
        <v>Chevrolet</v>
      </c>
      <c r="I558" t="str">
        <f t="shared" si="17"/>
        <v>SUV</v>
      </c>
    </row>
    <row r="559" spans="1:9">
      <c r="A559" s="2">
        <v>558</v>
      </c>
      <c r="B559" s="2" t="s">
        <v>39</v>
      </c>
      <c r="C559" s="2" t="s">
        <v>12</v>
      </c>
      <c r="D559" s="2">
        <v>16</v>
      </c>
      <c r="E559" s="3">
        <v>35441</v>
      </c>
      <c r="F559" s="2" t="s">
        <v>13</v>
      </c>
      <c r="G559" s="2" t="s">
        <v>18</v>
      </c>
      <c r="H559" t="str">
        <f t="shared" si="16"/>
        <v>Nissan</v>
      </c>
      <c r="I559" t="str">
        <f t="shared" si="17"/>
        <v>Minivan</v>
      </c>
    </row>
    <row r="560" spans="1:9">
      <c r="A560" s="2">
        <v>559</v>
      </c>
      <c r="B560" s="2" t="s">
        <v>56</v>
      </c>
      <c r="C560" s="2" t="s">
        <v>8</v>
      </c>
      <c r="D560" s="2">
        <v>27</v>
      </c>
      <c r="E560" s="3">
        <v>74626</v>
      </c>
      <c r="F560" s="2" t="s">
        <v>32</v>
      </c>
      <c r="G560" s="2" t="s">
        <v>14</v>
      </c>
      <c r="H560" t="str">
        <f t="shared" si="16"/>
        <v>Hyundai</v>
      </c>
      <c r="I560" t="str">
        <f t="shared" si="17"/>
        <v>Coupe</v>
      </c>
    </row>
    <row r="561" spans="1:9">
      <c r="A561" s="2">
        <v>560</v>
      </c>
      <c r="B561" s="2" t="s">
        <v>19</v>
      </c>
      <c r="C561" s="2" t="s">
        <v>22</v>
      </c>
      <c r="D561" s="2">
        <v>47</v>
      </c>
      <c r="E561" s="3">
        <v>28491</v>
      </c>
      <c r="F561" s="2" t="s">
        <v>32</v>
      </c>
      <c r="G561" s="2" t="s">
        <v>14</v>
      </c>
      <c r="H561" t="str">
        <f t="shared" si="16"/>
        <v>Tesla</v>
      </c>
      <c r="I561" t="str">
        <f t="shared" si="17"/>
        <v>Minivan</v>
      </c>
    </row>
    <row r="562" spans="1:9">
      <c r="A562" s="2">
        <v>561</v>
      </c>
      <c r="B562" s="2" t="s">
        <v>70</v>
      </c>
      <c r="C562" s="2" t="s">
        <v>12</v>
      </c>
      <c r="D562" s="2">
        <v>21</v>
      </c>
      <c r="E562" s="3">
        <v>33673</v>
      </c>
      <c r="F562" s="2" t="s">
        <v>32</v>
      </c>
      <c r="G562" s="2" t="s">
        <v>29</v>
      </c>
      <c r="H562" t="str">
        <f t="shared" si="16"/>
        <v>Chevrolet</v>
      </c>
      <c r="I562" t="str">
        <f t="shared" si="17"/>
        <v>Convertible</v>
      </c>
    </row>
    <row r="563" spans="1:9">
      <c r="A563" s="2">
        <v>562</v>
      </c>
      <c r="B563" s="2" t="s">
        <v>73</v>
      </c>
      <c r="C563" s="2" t="s">
        <v>8</v>
      </c>
      <c r="D563" s="2">
        <v>18</v>
      </c>
      <c r="E563" s="3">
        <v>48239</v>
      </c>
      <c r="F563" s="2" t="s">
        <v>25</v>
      </c>
      <c r="G563" s="2" t="s">
        <v>10</v>
      </c>
      <c r="H563" t="str">
        <f t="shared" si="16"/>
        <v>Hyundai</v>
      </c>
      <c r="I563" t="str">
        <f t="shared" si="17"/>
        <v>Minivan</v>
      </c>
    </row>
    <row r="564" spans="1:9">
      <c r="A564" s="2">
        <v>563</v>
      </c>
      <c r="B564" s="2" t="s">
        <v>31</v>
      </c>
      <c r="C564" s="2" t="s">
        <v>22</v>
      </c>
      <c r="D564" s="2">
        <v>5</v>
      </c>
      <c r="E564" s="3">
        <v>34831</v>
      </c>
      <c r="F564" s="2" t="s">
        <v>13</v>
      </c>
      <c r="G564" s="2" t="s">
        <v>10</v>
      </c>
      <c r="H564" t="str">
        <f t="shared" si="16"/>
        <v>Ford</v>
      </c>
      <c r="I564" t="str">
        <f t="shared" si="17"/>
        <v>Minivan</v>
      </c>
    </row>
    <row r="565" spans="1:9">
      <c r="A565" s="2">
        <v>564</v>
      </c>
      <c r="B565" s="2" t="s">
        <v>70</v>
      </c>
      <c r="C565" s="2" t="s">
        <v>16</v>
      </c>
      <c r="D565" s="2">
        <v>37</v>
      </c>
      <c r="E565" s="3">
        <v>57389</v>
      </c>
      <c r="F565" s="2" t="s">
        <v>20</v>
      </c>
      <c r="G565" s="2" t="s">
        <v>10</v>
      </c>
      <c r="H565" t="str">
        <f t="shared" si="16"/>
        <v>Chevrolet</v>
      </c>
      <c r="I565" t="str">
        <f t="shared" si="17"/>
        <v>Convertible</v>
      </c>
    </row>
    <row r="566" spans="1:9">
      <c r="A566" s="2">
        <v>565</v>
      </c>
      <c r="B566" s="2" t="s">
        <v>21</v>
      </c>
      <c r="C566" s="2" t="s">
        <v>22</v>
      </c>
      <c r="D566" s="2">
        <v>24</v>
      </c>
      <c r="E566" s="3">
        <v>71636</v>
      </c>
      <c r="F566" s="2" t="s">
        <v>17</v>
      </c>
      <c r="G566" s="2" t="s">
        <v>18</v>
      </c>
      <c r="H566" t="str">
        <f t="shared" si="16"/>
        <v>Tesla</v>
      </c>
      <c r="I566" t="str">
        <f t="shared" si="17"/>
        <v>Convertible</v>
      </c>
    </row>
    <row r="567" spans="1:9">
      <c r="A567" s="2">
        <v>566</v>
      </c>
      <c r="B567" s="2" t="s">
        <v>55</v>
      </c>
      <c r="C567" s="2" t="s">
        <v>22</v>
      </c>
      <c r="D567" s="2">
        <v>8</v>
      </c>
      <c r="E567" s="3">
        <v>81508</v>
      </c>
      <c r="F567" s="2" t="s">
        <v>9</v>
      </c>
      <c r="G567" s="2" t="s">
        <v>10</v>
      </c>
      <c r="H567" t="str">
        <f t="shared" si="16"/>
        <v>Chevrolet</v>
      </c>
      <c r="I567" t="str">
        <f t="shared" si="17"/>
        <v>Hatchback</v>
      </c>
    </row>
    <row r="568" spans="1:9">
      <c r="A568" s="2">
        <v>567</v>
      </c>
      <c r="B568" s="2" t="s">
        <v>52</v>
      </c>
      <c r="C568" s="2" t="s">
        <v>12</v>
      </c>
      <c r="D568" s="2">
        <v>33</v>
      </c>
      <c r="E568" s="3">
        <v>42911</v>
      </c>
      <c r="F568" s="2" t="s">
        <v>13</v>
      </c>
      <c r="G568" s="2" t="s">
        <v>26</v>
      </c>
      <c r="H568" t="str">
        <f t="shared" si="16"/>
        <v>BMW</v>
      </c>
      <c r="I568" t="str">
        <f t="shared" si="17"/>
        <v>Hatchback</v>
      </c>
    </row>
    <row r="569" spans="1:9">
      <c r="A569" s="2">
        <v>568</v>
      </c>
      <c r="B569" s="2" t="s">
        <v>92</v>
      </c>
      <c r="C569" s="2" t="s">
        <v>8</v>
      </c>
      <c r="D569" s="2">
        <v>44</v>
      </c>
      <c r="E569" s="3">
        <v>37120</v>
      </c>
      <c r="F569" s="2" t="s">
        <v>20</v>
      </c>
      <c r="G569" s="2" t="s">
        <v>23</v>
      </c>
      <c r="H569" t="str">
        <f t="shared" si="16"/>
        <v>BMW</v>
      </c>
      <c r="I569" t="str">
        <f t="shared" si="17"/>
        <v>Convertible</v>
      </c>
    </row>
    <row r="570" spans="1:9">
      <c r="A570" s="2">
        <v>569</v>
      </c>
      <c r="B570" s="2" t="s">
        <v>57</v>
      </c>
      <c r="C570" s="2" t="s">
        <v>22</v>
      </c>
      <c r="D570" s="2">
        <v>4</v>
      </c>
      <c r="E570" s="3">
        <v>60164</v>
      </c>
      <c r="F570" s="2" t="s">
        <v>25</v>
      </c>
      <c r="G570" s="2" t="s">
        <v>29</v>
      </c>
      <c r="H570" t="str">
        <f t="shared" si="16"/>
        <v>Nissan</v>
      </c>
      <c r="I570" t="str">
        <f t="shared" si="17"/>
        <v>Sedan</v>
      </c>
    </row>
    <row r="571" spans="1:9">
      <c r="A571" s="2">
        <v>570</v>
      </c>
      <c r="B571" s="2" t="s">
        <v>60</v>
      </c>
      <c r="C571" s="2" t="s">
        <v>22</v>
      </c>
      <c r="D571" s="2">
        <v>12</v>
      </c>
      <c r="E571" s="3">
        <v>43911</v>
      </c>
      <c r="F571" s="2" t="s">
        <v>25</v>
      </c>
      <c r="G571" s="2" t="s">
        <v>10</v>
      </c>
      <c r="H571" t="str">
        <f t="shared" si="16"/>
        <v>Ford</v>
      </c>
      <c r="I571" t="str">
        <f t="shared" si="17"/>
        <v>Convertible</v>
      </c>
    </row>
    <row r="572" spans="1:9">
      <c r="A572" s="2">
        <v>571</v>
      </c>
      <c r="B572" s="2" t="s">
        <v>72</v>
      </c>
      <c r="C572" s="2" t="s">
        <v>22</v>
      </c>
      <c r="D572" s="2">
        <v>15</v>
      </c>
      <c r="E572" s="3">
        <v>25829</v>
      </c>
      <c r="F572" s="2" t="s">
        <v>13</v>
      </c>
      <c r="G572" s="2" t="s">
        <v>26</v>
      </c>
      <c r="H572" t="str">
        <f t="shared" si="16"/>
        <v>Honda</v>
      </c>
      <c r="I572" t="str">
        <f t="shared" si="17"/>
        <v>Hatchback</v>
      </c>
    </row>
    <row r="573" spans="1:9">
      <c r="A573" s="2">
        <v>572</v>
      </c>
      <c r="B573" s="2" t="s">
        <v>46</v>
      </c>
      <c r="C573" s="2" t="s">
        <v>12</v>
      </c>
      <c r="D573" s="2">
        <v>34</v>
      </c>
      <c r="E573" s="3">
        <v>60216</v>
      </c>
      <c r="F573" s="2" t="s">
        <v>17</v>
      </c>
      <c r="G573" s="2" t="s">
        <v>26</v>
      </c>
      <c r="H573" t="str">
        <f t="shared" si="16"/>
        <v>Honda</v>
      </c>
      <c r="I573" t="str">
        <f t="shared" si="17"/>
        <v>Minivan</v>
      </c>
    </row>
    <row r="574" spans="1:9">
      <c r="A574" s="2">
        <v>573</v>
      </c>
      <c r="B574" s="2" t="s">
        <v>42</v>
      </c>
      <c r="C574" s="2" t="s">
        <v>22</v>
      </c>
      <c r="D574" s="2">
        <v>3</v>
      </c>
      <c r="E574" s="3">
        <v>82999</v>
      </c>
      <c r="F574" s="2" t="s">
        <v>25</v>
      </c>
      <c r="G574" s="2" t="s">
        <v>10</v>
      </c>
      <c r="H574" t="str">
        <f t="shared" si="16"/>
        <v>Tesla</v>
      </c>
      <c r="I574" t="str">
        <f t="shared" si="17"/>
        <v>Hatchback</v>
      </c>
    </row>
    <row r="575" spans="1:9">
      <c r="A575" s="2">
        <v>574</v>
      </c>
      <c r="B575" s="2" t="s">
        <v>79</v>
      </c>
      <c r="C575" s="2" t="s">
        <v>8</v>
      </c>
      <c r="D575" s="2">
        <v>26</v>
      </c>
      <c r="E575" s="3">
        <v>99562</v>
      </c>
      <c r="F575" s="2" t="s">
        <v>9</v>
      </c>
      <c r="G575" s="2" t="s">
        <v>10</v>
      </c>
      <c r="H575" t="str">
        <f t="shared" si="16"/>
        <v>Audi</v>
      </c>
      <c r="I575" t="str">
        <f t="shared" si="17"/>
        <v>Truck</v>
      </c>
    </row>
    <row r="576" spans="1:9">
      <c r="A576" s="2">
        <v>575</v>
      </c>
      <c r="B576" s="2" t="s">
        <v>83</v>
      </c>
      <c r="C576" s="2" t="s">
        <v>12</v>
      </c>
      <c r="D576" s="2">
        <v>5</v>
      </c>
      <c r="E576" s="3">
        <v>81867</v>
      </c>
      <c r="F576" s="2" t="s">
        <v>17</v>
      </c>
      <c r="G576" s="2" t="s">
        <v>18</v>
      </c>
      <c r="H576" t="str">
        <f t="shared" si="16"/>
        <v>Honda</v>
      </c>
      <c r="I576" t="str">
        <f t="shared" si="17"/>
        <v>Sedan</v>
      </c>
    </row>
    <row r="577" spans="1:9">
      <c r="A577" s="2">
        <v>576</v>
      </c>
      <c r="B577" s="2" t="s">
        <v>66</v>
      </c>
      <c r="C577" s="2" t="s">
        <v>16</v>
      </c>
      <c r="D577" s="2">
        <v>30</v>
      </c>
      <c r="E577" s="3">
        <v>50802</v>
      </c>
      <c r="F577" s="2" t="s">
        <v>17</v>
      </c>
      <c r="G577" s="2" t="s">
        <v>29</v>
      </c>
      <c r="H577" t="str">
        <f t="shared" si="16"/>
        <v>Tesla</v>
      </c>
      <c r="I577" t="str">
        <f t="shared" si="17"/>
        <v>SUV</v>
      </c>
    </row>
    <row r="578" spans="1:9">
      <c r="A578" s="2">
        <v>577</v>
      </c>
      <c r="B578" s="2" t="s">
        <v>7</v>
      </c>
      <c r="C578" s="2" t="s">
        <v>16</v>
      </c>
      <c r="D578" s="2">
        <v>19</v>
      </c>
      <c r="E578" s="3">
        <v>70947</v>
      </c>
      <c r="F578" s="2" t="s">
        <v>17</v>
      </c>
      <c r="G578" s="2" t="s">
        <v>23</v>
      </c>
      <c r="H578" t="str">
        <f t="shared" si="16"/>
        <v>Ford</v>
      </c>
      <c r="I578" t="str">
        <f t="shared" si="17"/>
        <v>Truck</v>
      </c>
    </row>
    <row r="579" spans="1:9">
      <c r="A579" s="2">
        <v>578</v>
      </c>
      <c r="B579" s="2" t="s">
        <v>74</v>
      </c>
      <c r="C579" s="2" t="s">
        <v>12</v>
      </c>
      <c r="D579" s="2">
        <v>50</v>
      </c>
      <c r="E579" s="3">
        <v>46825</v>
      </c>
      <c r="F579" s="2" t="s">
        <v>17</v>
      </c>
      <c r="G579" s="2" t="s">
        <v>10</v>
      </c>
      <c r="H579" t="str">
        <f t="shared" ref="H579:H642" si="18">LEFT(B579,FIND(",",B579)-1)</f>
        <v>Audi</v>
      </c>
      <c r="I579" t="str">
        <f t="shared" ref="I579:I642" si="19">TRIM(MID(B579,FIND(",",B579)+1,LEN(B579)))</f>
        <v>Hatchback</v>
      </c>
    </row>
    <row r="580" spans="1:9">
      <c r="A580" s="2">
        <v>579</v>
      </c>
      <c r="B580" s="2" t="s">
        <v>47</v>
      </c>
      <c r="C580" s="2" t="s">
        <v>8</v>
      </c>
      <c r="D580" s="2">
        <v>20</v>
      </c>
      <c r="E580" s="3">
        <v>95044</v>
      </c>
      <c r="F580" s="2" t="s">
        <v>13</v>
      </c>
      <c r="G580" s="2" t="s">
        <v>14</v>
      </c>
      <c r="H580" t="str">
        <f t="shared" si="18"/>
        <v>Audi</v>
      </c>
      <c r="I580" t="str">
        <f t="shared" si="19"/>
        <v>Minivan</v>
      </c>
    </row>
    <row r="581" spans="1:9">
      <c r="A581" s="2">
        <v>580</v>
      </c>
      <c r="B581" s="2" t="s">
        <v>69</v>
      </c>
      <c r="C581" s="2" t="s">
        <v>12</v>
      </c>
      <c r="D581" s="2">
        <v>21</v>
      </c>
      <c r="E581" s="3">
        <v>91142</v>
      </c>
      <c r="F581" s="2" t="s">
        <v>13</v>
      </c>
      <c r="G581" s="2" t="s">
        <v>18</v>
      </c>
      <c r="H581" t="str">
        <f t="shared" si="18"/>
        <v>BMW</v>
      </c>
      <c r="I581" t="str">
        <f t="shared" si="19"/>
        <v>Truck</v>
      </c>
    </row>
    <row r="582" spans="1:9">
      <c r="A582" s="2">
        <v>581</v>
      </c>
      <c r="B582" s="2" t="s">
        <v>61</v>
      </c>
      <c r="C582" s="2" t="s">
        <v>12</v>
      </c>
      <c r="D582" s="2">
        <v>6</v>
      </c>
      <c r="E582" s="3">
        <v>64988</v>
      </c>
      <c r="F582" s="2" t="s">
        <v>17</v>
      </c>
      <c r="G582" s="2" t="s">
        <v>10</v>
      </c>
      <c r="H582" t="str">
        <f t="shared" si="18"/>
        <v>Nissan</v>
      </c>
      <c r="I582" t="str">
        <f t="shared" si="19"/>
        <v>Truck</v>
      </c>
    </row>
    <row r="583" spans="1:9">
      <c r="A583" s="2">
        <v>582</v>
      </c>
      <c r="B583" s="2" t="s">
        <v>84</v>
      </c>
      <c r="C583" s="2" t="s">
        <v>12</v>
      </c>
      <c r="D583" s="2">
        <v>36</v>
      </c>
      <c r="E583" s="3">
        <v>71250</v>
      </c>
      <c r="F583" s="2" t="s">
        <v>32</v>
      </c>
      <c r="G583" s="2" t="s">
        <v>10</v>
      </c>
      <c r="H583" t="str">
        <f t="shared" si="18"/>
        <v>Hyundai</v>
      </c>
      <c r="I583" t="str">
        <f t="shared" si="19"/>
        <v>Truck</v>
      </c>
    </row>
    <row r="584" spans="1:9">
      <c r="A584" s="2">
        <v>583</v>
      </c>
      <c r="B584" s="2" t="s">
        <v>82</v>
      </c>
      <c r="C584" s="2" t="s">
        <v>12</v>
      </c>
      <c r="D584" s="2">
        <v>30</v>
      </c>
      <c r="E584" s="3">
        <v>36853</v>
      </c>
      <c r="F584" s="2" t="s">
        <v>32</v>
      </c>
      <c r="G584" s="2" t="s">
        <v>26</v>
      </c>
      <c r="H584" t="str">
        <f t="shared" si="18"/>
        <v>Audi</v>
      </c>
      <c r="I584" t="str">
        <f t="shared" si="19"/>
        <v>Sedan</v>
      </c>
    </row>
    <row r="585" spans="1:9">
      <c r="A585" s="2">
        <v>584</v>
      </c>
      <c r="B585" s="2" t="s">
        <v>45</v>
      </c>
      <c r="C585" s="2" t="s">
        <v>22</v>
      </c>
      <c r="D585" s="2">
        <v>1</v>
      </c>
      <c r="E585" s="3">
        <v>95347</v>
      </c>
      <c r="F585" s="2" t="s">
        <v>13</v>
      </c>
      <c r="G585" s="2" t="s">
        <v>18</v>
      </c>
      <c r="H585" t="str">
        <f t="shared" si="18"/>
        <v>Toyota</v>
      </c>
      <c r="I585" t="str">
        <f t="shared" si="19"/>
        <v>SUV</v>
      </c>
    </row>
    <row r="586" spans="1:9">
      <c r="A586" s="2">
        <v>585</v>
      </c>
      <c r="B586" s="2" t="s">
        <v>19</v>
      </c>
      <c r="C586" s="2" t="s">
        <v>16</v>
      </c>
      <c r="D586" s="2">
        <v>24</v>
      </c>
      <c r="E586" s="3">
        <v>83598</v>
      </c>
      <c r="F586" s="2" t="s">
        <v>28</v>
      </c>
      <c r="G586" s="2" t="s">
        <v>23</v>
      </c>
      <c r="H586" t="str">
        <f t="shared" si="18"/>
        <v>Tesla</v>
      </c>
      <c r="I586" t="str">
        <f t="shared" si="19"/>
        <v>Minivan</v>
      </c>
    </row>
    <row r="587" spans="1:9">
      <c r="A587" s="2">
        <v>586</v>
      </c>
      <c r="B587" s="2" t="s">
        <v>41</v>
      </c>
      <c r="C587" s="2" t="s">
        <v>8</v>
      </c>
      <c r="D587" s="2">
        <v>13</v>
      </c>
      <c r="E587" s="3">
        <v>91231</v>
      </c>
      <c r="F587" s="2" t="s">
        <v>17</v>
      </c>
      <c r="G587" s="2" t="s">
        <v>26</v>
      </c>
      <c r="H587" t="str">
        <f t="shared" si="18"/>
        <v>Audi</v>
      </c>
      <c r="I587" t="str">
        <f t="shared" si="19"/>
        <v>SUV</v>
      </c>
    </row>
    <row r="588" spans="1:9">
      <c r="A588" s="2">
        <v>587</v>
      </c>
      <c r="B588" s="2" t="s">
        <v>59</v>
      </c>
      <c r="C588" s="2" t="s">
        <v>22</v>
      </c>
      <c r="D588" s="2">
        <v>19</v>
      </c>
      <c r="E588" s="3">
        <v>62001</v>
      </c>
      <c r="F588" s="2" t="s">
        <v>9</v>
      </c>
      <c r="G588" s="2" t="s">
        <v>14</v>
      </c>
      <c r="H588" t="str">
        <f t="shared" si="18"/>
        <v>Audi</v>
      </c>
      <c r="I588" t="str">
        <f t="shared" si="19"/>
        <v>Convertible</v>
      </c>
    </row>
    <row r="589" spans="1:9">
      <c r="A589" s="2">
        <v>588</v>
      </c>
      <c r="B589" s="2" t="s">
        <v>93</v>
      </c>
      <c r="C589" s="2" t="s">
        <v>16</v>
      </c>
      <c r="D589" s="2">
        <v>37</v>
      </c>
      <c r="E589" s="3">
        <v>84428</v>
      </c>
      <c r="F589" s="2" t="s">
        <v>9</v>
      </c>
      <c r="G589" s="2" t="s">
        <v>14</v>
      </c>
      <c r="H589" t="str">
        <f t="shared" si="18"/>
        <v>Volkswagen</v>
      </c>
      <c r="I589" t="str">
        <f t="shared" si="19"/>
        <v>Hatchback</v>
      </c>
    </row>
    <row r="590" spans="1:9">
      <c r="A590" s="2">
        <v>589</v>
      </c>
      <c r="B590" s="2" t="s">
        <v>36</v>
      </c>
      <c r="C590" s="2" t="s">
        <v>12</v>
      </c>
      <c r="D590" s="2">
        <v>20</v>
      </c>
      <c r="E590" s="3">
        <v>42380</v>
      </c>
      <c r="F590" s="2" t="s">
        <v>13</v>
      </c>
      <c r="G590" s="2" t="s">
        <v>23</v>
      </c>
      <c r="H590" t="str">
        <f t="shared" si="18"/>
        <v>Toyota</v>
      </c>
      <c r="I590" t="str">
        <f t="shared" si="19"/>
        <v>Coupe</v>
      </c>
    </row>
    <row r="591" spans="1:9">
      <c r="A591" s="2">
        <v>590</v>
      </c>
      <c r="B591" s="2" t="s">
        <v>63</v>
      </c>
      <c r="C591" s="2" t="s">
        <v>16</v>
      </c>
      <c r="D591" s="2">
        <v>48</v>
      </c>
      <c r="E591" s="3">
        <v>98201</v>
      </c>
      <c r="F591" s="2" t="s">
        <v>38</v>
      </c>
      <c r="G591" s="2" t="s">
        <v>26</v>
      </c>
      <c r="H591" t="str">
        <f t="shared" si="18"/>
        <v>Volkswagen</v>
      </c>
      <c r="I591" t="str">
        <f t="shared" si="19"/>
        <v>Sedan</v>
      </c>
    </row>
    <row r="592" spans="1:9">
      <c r="A592" s="2">
        <v>591</v>
      </c>
      <c r="B592" s="2" t="s">
        <v>41</v>
      </c>
      <c r="C592" s="2" t="s">
        <v>16</v>
      </c>
      <c r="D592" s="2">
        <v>40</v>
      </c>
      <c r="E592" s="3">
        <v>67108</v>
      </c>
      <c r="F592" s="2" t="s">
        <v>38</v>
      </c>
      <c r="G592" s="2" t="s">
        <v>18</v>
      </c>
      <c r="H592" t="str">
        <f t="shared" si="18"/>
        <v>Audi</v>
      </c>
      <c r="I592" t="str">
        <f t="shared" si="19"/>
        <v>SUV</v>
      </c>
    </row>
    <row r="593" spans="1:9">
      <c r="A593" s="2">
        <v>592</v>
      </c>
      <c r="B593" s="2" t="s">
        <v>78</v>
      </c>
      <c r="C593" s="2" t="s">
        <v>22</v>
      </c>
      <c r="D593" s="2">
        <v>16</v>
      </c>
      <c r="E593" s="3">
        <v>45986</v>
      </c>
      <c r="F593" s="2" t="s">
        <v>28</v>
      </c>
      <c r="G593" s="2" t="s">
        <v>10</v>
      </c>
      <c r="H593" t="str">
        <f t="shared" si="18"/>
        <v>Hyundai</v>
      </c>
      <c r="I593" t="str">
        <f t="shared" si="19"/>
        <v>Hatchback</v>
      </c>
    </row>
    <row r="594" spans="1:9">
      <c r="A594" s="2">
        <v>593</v>
      </c>
      <c r="B594" s="2" t="s">
        <v>11</v>
      </c>
      <c r="C594" s="2" t="s">
        <v>22</v>
      </c>
      <c r="D594" s="2">
        <v>30</v>
      </c>
      <c r="E594" s="3">
        <v>80023</v>
      </c>
      <c r="F594" s="2" t="s">
        <v>38</v>
      </c>
      <c r="G594" s="2" t="s">
        <v>23</v>
      </c>
      <c r="H594" t="str">
        <f t="shared" si="18"/>
        <v>Toyota</v>
      </c>
      <c r="I594" t="str">
        <f t="shared" si="19"/>
        <v>Hatchback</v>
      </c>
    </row>
    <row r="595" spans="1:9">
      <c r="A595" s="2">
        <v>594</v>
      </c>
      <c r="B595" s="2" t="s">
        <v>67</v>
      </c>
      <c r="C595" s="2" t="s">
        <v>8</v>
      </c>
      <c r="D595" s="2">
        <v>24</v>
      </c>
      <c r="E595" s="3">
        <v>76205</v>
      </c>
      <c r="F595" s="2" t="s">
        <v>25</v>
      </c>
      <c r="G595" s="2" t="s">
        <v>26</v>
      </c>
      <c r="H595" t="str">
        <f t="shared" si="18"/>
        <v>BMW</v>
      </c>
      <c r="I595" t="str">
        <f t="shared" si="19"/>
        <v>Sedan</v>
      </c>
    </row>
    <row r="596" spans="1:9">
      <c r="A596" s="2">
        <v>595</v>
      </c>
      <c r="B596" s="2" t="s">
        <v>49</v>
      </c>
      <c r="C596" s="2" t="s">
        <v>12</v>
      </c>
      <c r="D596" s="2">
        <v>38</v>
      </c>
      <c r="E596" s="3">
        <v>79130</v>
      </c>
      <c r="F596" s="2" t="s">
        <v>28</v>
      </c>
      <c r="G596" s="2" t="s">
        <v>18</v>
      </c>
      <c r="H596" t="str">
        <f t="shared" si="18"/>
        <v>Chevrolet</v>
      </c>
      <c r="I596" t="str">
        <f t="shared" si="19"/>
        <v>Sedan</v>
      </c>
    </row>
    <row r="597" spans="1:9">
      <c r="A597" s="2">
        <v>596</v>
      </c>
      <c r="B597" s="2" t="s">
        <v>74</v>
      </c>
      <c r="C597" s="2" t="s">
        <v>12</v>
      </c>
      <c r="D597" s="2">
        <v>32</v>
      </c>
      <c r="E597" s="3">
        <v>58279</v>
      </c>
      <c r="F597" s="2" t="s">
        <v>38</v>
      </c>
      <c r="G597" s="2" t="s">
        <v>18</v>
      </c>
      <c r="H597" t="str">
        <f t="shared" si="18"/>
        <v>Audi</v>
      </c>
      <c r="I597" t="str">
        <f t="shared" si="19"/>
        <v>Hatchback</v>
      </c>
    </row>
    <row r="598" spans="1:9">
      <c r="A598" s="2">
        <v>597</v>
      </c>
      <c r="B598" s="2" t="s">
        <v>59</v>
      </c>
      <c r="C598" s="2" t="s">
        <v>12</v>
      </c>
      <c r="D598" s="2">
        <v>50</v>
      </c>
      <c r="E598" s="3">
        <v>76277</v>
      </c>
      <c r="F598" s="2" t="s">
        <v>28</v>
      </c>
      <c r="G598" s="2" t="s">
        <v>18</v>
      </c>
      <c r="H598" t="str">
        <f t="shared" si="18"/>
        <v>Audi</v>
      </c>
      <c r="I598" t="str">
        <f t="shared" si="19"/>
        <v>Convertible</v>
      </c>
    </row>
    <row r="599" spans="1:9">
      <c r="A599" s="2">
        <v>598</v>
      </c>
      <c r="B599" s="2" t="s">
        <v>87</v>
      </c>
      <c r="C599" s="2" t="s">
        <v>16</v>
      </c>
      <c r="D599" s="2">
        <v>50</v>
      </c>
      <c r="E599" s="3">
        <v>67774</v>
      </c>
      <c r="F599" s="2" t="s">
        <v>32</v>
      </c>
      <c r="G599" s="2" t="s">
        <v>18</v>
      </c>
      <c r="H599" t="str">
        <f t="shared" si="18"/>
        <v>Nissan</v>
      </c>
      <c r="I599" t="str">
        <f t="shared" si="19"/>
        <v>SUV</v>
      </c>
    </row>
    <row r="600" spans="1:9">
      <c r="A600" s="2">
        <v>599</v>
      </c>
      <c r="B600" s="2" t="s">
        <v>30</v>
      </c>
      <c r="C600" s="2" t="s">
        <v>16</v>
      </c>
      <c r="D600" s="2">
        <v>13</v>
      </c>
      <c r="E600" s="3">
        <v>87684</v>
      </c>
      <c r="F600" s="2" t="s">
        <v>32</v>
      </c>
      <c r="G600" s="2" t="s">
        <v>14</v>
      </c>
      <c r="H600" t="str">
        <f t="shared" si="18"/>
        <v>Nissan</v>
      </c>
      <c r="I600" t="str">
        <f t="shared" si="19"/>
        <v>Coupe</v>
      </c>
    </row>
    <row r="601" spans="1:9">
      <c r="A601" s="2">
        <v>600</v>
      </c>
      <c r="B601" s="2" t="s">
        <v>71</v>
      </c>
      <c r="C601" s="2" t="s">
        <v>12</v>
      </c>
      <c r="D601" s="2">
        <v>47</v>
      </c>
      <c r="E601" s="3">
        <v>91588</v>
      </c>
      <c r="F601" s="2" t="s">
        <v>17</v>
      </c>
      <c r="G601" s="2" t="s">
        <v>18</v>
      </c>
      <c r="H601" t="str">
        <f t="shared" si="18"/>
        <v>Volkswagen</v>
      </c>
      <c r="I601" t="str">
        <f t="shared" si="19"/>
        <v>Coupe</v>
      </c>
    </row>
    <row r="602" spans="1:9">
      <c r="A602" s="2">
        <v>601</v>
      </c>
      <c r="B602" s="2" t="s">
        <v>64</v>
      </c>
      <c r="C602" s="2" t="s">
        <v>8</v>
      </c>
      <c r="D602" s="2">
        <v>35</v>
      </c>
      <c r="E602" s="3">
        <v>92000</v>
      </c>
      <c r="F602" s="2" t="s">
        <v>38</v>
      </c>
      <c r="G602" s="2" t="s">
        <v>26</v>
      </c>
      <c r="H602" t="str">
        <f t="shared" si="18"/>
        <v>Tesla</v>
      </c>
      <c r="I602" t="str">
        <f t="shared" si="19"/>
        <v>Coupe</v>
      </c>
    </row>
    <row r="603" spans="1:9">
      <c r="A603" s="2">
        <v>602</v>
      </c>
      <c r="B603" s="2" t="s">
        <v>84</v>
      </c>
      <c r="C603" s="2" t="s">
        <v>16</v>
      </c>
      <c r="D603" s="2">
        <v>49</v>
      </c>
      <c r="E603" s="3">
        <v>65108</v>
      </c>
      <c r="F603" s="2" t="s">
        <v>28</v>
      </c>
      <c r="G603" s="2" t="s">
        <v>23</v>
      </c>
      <c r="H603" t="str">
        <f t="shared" si="18"/>
        <v>Hyundai</v>
      </c>
      <c r="I603" t="str">
        <f t="shared" si="19"/>
        <v>Truck</v>
      </c>
    </row>
    <row r="604" spans="1:9">
      <c r="A604" s="2">
        <v>603</v>
      </c>
      <c r="B604" s="2" t="s">
        <v>66</v>
      </c>
      <c r="C604" s="2" t="s">
        <v>8</v>
      </c>
      <c r="D604" s="2">
        <v>16</v>
      </c>
      <c r="E604" s="3">
        <v>46916</v>
      </c>
      <c r="F604" s="2" t="s">
        <v>25</v>
      </c>
      <c r="G604" s="2" t="s">
        <v>10</v>
      </c>
      <c r="H604" t="str">
        <f t="shared" si="18"/>
        <v>Tesla</v>
      </c>
      <c r="I604" t="str">
        <f t="shared" si="19"/>
        <v>SUV</v>
      </c>
    </row>
    <row r="605" spans="1:9">
      <c r="A605" s="2">
        <v>604</v>
      </c>
      <c r="B605" s="2" t="s">
        <v>15</v>
      </c>
      <c r="C605" s="2" t="s">
        <v>16</v>
      </c>
      <c r="D605" s="2">
        <v>10</v>
      </c>
      <c r="E605" s="3">
        <v>80206</v>
      </c>
      <c r="F605" s="2" t="s">
        <v>20</v>
      </c>
      <c r="G605" s="2" t="s">
        <v>10</v>
      </c>
      <c r="H605" t="str">
        <f t="shared" si="18"/>
        <v>Chevrolet</v>
      </c>
      <c r="I605" t="str">
        <f t="shared" si="19"/>
        <v>Truck</v>
      </c>
    </row>
    <row r="606" spans="1:9">
      <c r="A606" s="2">
        <v>605</v>
      </c>
      <c r="B606" s="2" t="s">
        <v>79</v>
      </c>
      <c r="C606" s="2" t="s">
        <v>22</v>
      </c>
      <c r="D606" s="2">
        <v>1</v>
      </c>
      <c r="E606" s="3">
        <v>82751</v>
      </c>
      <c r="F606" s="2" t="s">
        <v>38</v>
      </c>
      <c r="G606" s="2" t="s">
        <v>26</v>
      </c>
      <c r="H606" t="str">
        <f t="shared" si="18"/>
        <v>Audi</v>
      </c>
      <c r="I606" t="str">
        <f t="shared" si="19"/>
        <v>Truck</v>
      </c>
    </row>
    <row r="607" spans="1:9">
      <c r="A607" s="2">
        <v>606</v>
      </c>
      <c r="B607" s="2" t="s">
        <v>78</v>
      </c>
      <c r="C607" s="2" t="s">
        <v>22</v>
      </c>
      <c r="D607" s="2">
        <v>27</v>
      </c>
      <c r="E607" s="3">
        <v>26835</v>
      </c>
      <c r="F607" s="2" t="s">
        <v>9</v>
      </c>
      <c r="G607" s="2" t="s">
        <v>26</v>
      </c>
      <c r="H607" t="str">
        <f t="shared" si="18"/>
        <v>Hyundai</v>
      </c>
      <c r="I607" t="str">
        <f t="shared" si="19"/>
        <v>Hatchback</v>
      </c>
    </row>
    <row r="608" spans="1:9">
      <c r="A608" s="2">
        <v>607</v>
      </c>
      <c r="B608" s="2" t="s">
        <v>89</v>
      </c>
      <c r="C608" s="2" t="s">
        <v>12</v>
      </c>
      <c r="D608" s="2">
        <v>2</v>
      </c>
      <c r="E608" s="3">
        <v>72724</v>
      </c>
      <c r="F608" s="2" t="s">
        <v>17</v>
      </c>
      <c r="G608" s="2" t="s">
        <v>29</v>
      </c>
      <c r="H608" t="str">
        <f t="shared" si="18"/>
        <v>Toyota</v>
      </c>
      <c r="I608" t="str">
        <f t="shared" si="19"/>
        <v>Truck</v>
      </c>
    </row>
    <row r="609" spans="1:9">
      <c r="A609" s="2">
        <v>608</v>
      </c>
      <c r="B609" s="2" t="s">
        <v>47</v>
      </c>
      <c r="C609" s="2" t="s">
        <v>22</v>
      </c>
      <c r="D609" s="2">
        <v>15</v>
      </c>
      <c r="E609" s="3">
        <v>61554</v>
      </c>
      <c r="F609" s="2" t="s">
        <v>25</v>
      </c>
      <c r="G609" s="2" t="s">
        <v>26</v>
      </c>
      <c r="H609" t="str">
        <f t="shared" si="18"/>
        <v>Audi</v>
      </c>
      <c r="I609" t="str">
        <f t="shared" si="19"/>
        <v>Minivan</v>
      </c>
    </row>
    <row r="610" spans="1:9">
      <c r="A610" s="2">
        <v>609</v>
      </c>
      <c r="B610" s="2" t="s">
        <v>92</v>
      </c>
      <c r="C610" s="2" t="s">
        <v>16</v>
      </c>
      <c r="D610" s="2">
        <v>35</v>
      </c>
      <c r="E610" s="3">
        <v>45733</v>
      </c>
      <c r="F610" s="2" t="s">
        <v>25</v>
      </c>
      <c r="G610" s="2" t="s">
        <v>26</v>
      </c>
      <c r="H610" t="str">
        <f t="shared" si="18"/>
        <v>BMW</v>
      </c>
      <c r="I610" t="str">
        <f t="shared" si="19"/>
        <v>Convertible</v>
      </c>
    </row>
    <row r="611" spans="1:9">
      <c r="A611" s="2">
        <v>610</v>
      </c>
      <c r="B611" s="2" t="s">
        <v>59</v>
      </c>
      <c r="C611" s="2" t="s">
        <v>16</v>
      </c>
      <c r="D611" s="2">
        <v>23</v>
      </c>
      <c r="E611" s="3">
        <v>43442</v>
      </c>
      <c r="F611" s="2" t="s">
        <v>28</v>
      </c>
      <c r="G611" s="2" t="s">
        <v>23</v>
      </c>
      <c r="H611" t="str">
        <f t="shared" si="18"/>
        <v>Audi</v>
      </c>
      <c r="I611" t="str">
        <f t="shared" si="19"/>
        <v>Convertible</v>
      </c>
    </row>
    <row r="612" spans="1:9">
      <c r="A612" s="2">
        <v>611</v>
      </c>
      <c r="B612" s="2" t="s">
        <v>83</v>
      </c>
      <c r="C612" s="2" t="s">
        <v>22</v>
      </c>
      <c r="D612" s="2">
        <v>41</v>
      </c>
      <c r="E612" s="3">
        <v>73196</v>
      </c>
      <c r="F612" s="2" t="s">
        <v>17</v>
      </c>
      <c r="G612" s="2" t="s">
        <v>29</v>
      </c>
      <c r="H612" t="str">
        <f t="shared" si="18"/>
        <v>Honda</v>
      </c>
      <c r="I612" t="str">
        <f t="shared" si="19"/>
        <v>Sedan</v>
      </c>
    </row>
    <row r="613" spans="1:9">
      <c r="A613" s="2">
        <v>612</v>
      </c>
      <c r="B613" s="2" t="s">
        <v>94</v>
      </c>
      <c r="C613" s="2" t="s">
        <v>22</v>
      </c>
      <c r="D613" s="2">
        <v>45</v>
      </c>
      <c r="E613" s="3">
        <v>65906</v>
      </c>
      <c r="F613" s="2" t="s">
        <v>32</v>
      </c>
      <c r="G613" s="2" t="s">
        <v>23</v>
      </c>
      <c r="H613" t="str">
        <f t="shared" si="18"/>
        <v>Hyundai</v>
      </c>
      <c r="I613" t="str">
        <f t="shared" si="19"/>
        <v>Sedan</v>
      </c>
    </row>
    <row r="614" spans="1:9">
      <c r="A614" s="2">
        <v>613</v>
      </c>
      <c r="B614" s="2" t="s">
        <v>91</v>
      </c>
      <c r="C614" s="2" t="s">
        <v>22</v>
      </c>
      <c r="D614" s="2">
        <v>1</v>
      </c>
      <c r="E614" s="3">
        <v>35450</v>
      </c>
      <c r="F614" s="2" t="s">
        <v>32</v>
      </c>
      <c r="G614" s="2" t="s">
        <v>18</v>
      </c>
      <c r="H614" t="str">
        <f t="shared" si="18"/>
        <v>Honda</v>
      </c>
      <c r="I614" t="str">
        <f t="shared" si="19"/>
        <v>SUV</v>
      </c>
    </row>
    <row r="615" spans="1:9">
      <c r="A615" s="2">
        <v>614</v>
      </c>
      <c r="B615" s="2" t="s">
        <v>33</v>
      </c>
      <c r="C615" s="2" t="s">
        <v>12</v>
      </c>
      <c r="D615" s="2">
        <v>22</v>
      </c>
      <c r="E615" s="3">
        <v>50789</v>
      </c>
      <c r="F615" s="2" t="s">
        <v>28</v>
      </c>
      <c r="G615" s="2" t="s">
        <v>26</v>
      </c>
      <c r="H615" t="str">
        <f t="shared" si="18"/>
        <v>Volkswagen</v>
      </c>
      <c r="I615" t="str">
        <f t="shared" si="19"/>
        <v>SUV</v>
      </c>
    </row>
    <row r="616" spans="1:9">
      <c r="A616" s="2">
        <v>615</v>
      </c>
      <c r="B616" s="2" t="s">
        <v>39</v>
      </c>
      <c r="C616" s="2" t="s">
        <v>22</v>
      </c>
      <c r="D616" s="2">
        <v>1</v>
      </c>
      <c r="E616" s="3">
        <v>85804</v>
      </c>
      <c r="F616" s="2" t="s">
        <v>28</v>
      </c>
      <c r="G616" s="2" t="s">
        <v>26</v>
      </c>
      <c r="H616" t="str">
        <f t="shared" si="18"/>
        <v>Nissan</v>
      </c>
      <c r="I616" t="str">
        <f t="shared" si="19"/>
        <v>Minivan</v>
      </c>
    </row>
    <row r="617" spans="1:9">
      <c r="A617" s="2">
        <v>616</v>
      </c>
      <c r="B617" s="2" t="s">
        <v>35</v>
      </c>
      <c r="C617" s="2" t="s">
        <v>16</v>
      </c>
      <c r="D617" s="2">
        <v>49</v>
      </c>
      <c r="E617" s="3">
        <v>49006</v>
      </c>
      <c r="F617" s="2" t="s">
        <v>20</v>
      </c>
      <c r="G617" s="2" t="s">
        <v>29</v>
      </c>
      <c r="H617" t="str">
        <f t="shared" si="18"/>
        <v>Toyota</v>
      </c>
      <c r="I617" t="str">
        <f t="shared" si="19"/>
        <v>Convertible</v>
      </c>
    </row>
    <row r="618" spans="1:9">
      <c r="A618" s="2">
        <v>617</v>
      </c>
      <c r="B618" s="2" t="s">
        <v>82</v>
      </c>
      <c r="C618" s="2" t="s">
        <v>22</v>
      </c>
      <c r="D618" s="2">
        <v>43</v>
      </c>
      <c r="E618" s="3">
        <v>93489</v>
      </c>
      <c r="F618" s="2" t="s">
        <v>13</v>
      </c>
      <c r="G618" s="2" t="s">
        <v>18</v>
      </c>
      <c r="H618" t="str">
        <f t="shared" si="18"/>
        <v>Audi</v>
      </c>
      <c r="I618" t="str">
        <f t="shared" si="19"/>
        <v>Sedan</v>
      </c>
    </row>
    <row r="619" spans="1:9">
      <c r="A619" s="2">
        <v>618</v>
      </c>
      <c r="B619" s="2" t="s">
        <v>93</v>
      </c>
      <c r="C619" s="2" t="s">
        <v>12</v>
      </c>
      <c r="D619" s="2">
        <v>25</v>
      </c>
      <c r="E619" s="3">
        <v>98934</v>
      </c>
      <c r="F619" s="2" t="s">
        <v>32</v>
      </c>
      <c r="G619" s="2" t="s">
        <v>23</v>
      </c>
      <c r="H619" t="str">
        <f t="shared" si="18"/>
        <v>Volkswagen</v>
      </c>
      <c r="I619" t="str">
        <f t="shared" si="19"/>
        <v>Hatchback</v>
      </c>
    </row>
    <row r="620" spans="1:9">
      <c r="A620" s="2">
        <v>619</v>
      </c>
      <c r="B620" s="2" t="s">
        <v>63</v>
      </c>
      <c r="C620" s="2" t="s">
        <v>12</v>
      </c>
      <c r="D620" s="2">
        <v>48</v>
      </c>
      <c r="E620" s="3">
        <v>62581</v>
      </c>
      <c r="F620" s="2" t="s">
        <v>20</v>
      </c>
      <c r="G620" s="2" t="s">
        <v>14</v>
      </c>
      <c r="H620" t="str">
        <f t="shared" si="18"/>
        <v>Volkswagen</v>
      </c>
      <c r="I620" t="str">
        <f t="shared" si="19"/>
        <v>Sedan</v>
      </c>
    </row>
    <row r="621" spans="1:9">
      <c r="A621" s="2">
        <v>620</v>
      </c>
      <c r="B621" s="2" t="s">
        <v>89</v>
      </c>
      <c r="C621" s="2" t="s">
        <v>16</v>
      </c>
      <c r="D621" s="2">
        <v>47</v>
      </c>
      <c r="E621" s="3">
        <v>27103</v>
      </c>
      <c r="F621" s="2" t="s">
        <v>17</v>
      </c>
      <c r="G621" s="2" t="s">
        <v>26</v>
      </c>
      <c r="H621" t="str">
        <f t="shared" si="18"/>
        <v>Toyota</v>
      </c>
      <c r="I621" t="str">
        <f t="shared" si="19"/>
        <v>Truck</v>
      </c>
    </row>
    <row r="622" spans="1:9">
      <c r="A622" s="2">
        <v>621</v>
      </c>
      <c r="B622" s="2" t="s">
        <v>51</v>
      </c>
      <c r="C622" s="2" t="s">
        <v>16</v>
      </c>
      <c r="D622" s="2">
        <v>20</v>
      </c>
      <c r="E622" s="3">
        <v>40433</v>
      </c>
      <c r="F622" s="2" t="s">
        <v>9</v>
      </c>
      <c r="G622" s="2" t="s">
        <v>14</v>
      </c>
      <c r="H622" t="str">
        <f t="shared" si="18"/>
        <v>Ford</v>
      </c>
      <c r="I622" t="str">
        <f t="shared" si="19"/>
        <v>Coupe</v>
      </c>
    </row>
    <row r="623" spans="1:9">
      <c r="A623" s="2">
        <v>622</v>
      </c>
      <c r="B623" s="2" t="s">
        <v>74</v>
      </c>
      <c r="C623" s="2" t="s">
        <v>22</v>
      </c>
      <c r="D623" s="2">
        <v>7</v>
      </c>
      <c r="E623" s="3">
        <v>48810</v>
      </c>
      <c r="F623" s="2" t="s">
        <v>25</v>
      </c>
      <c r="G623" s="2" t="s">
        <v>14</v>
      </c>
      <c r="H623" t="str">
        <f t="shared" si="18"/>
        <v>Audi</v>
      </c>
      <c r="I623" t="str">
        <f t="shared" si="19"/>
        <v>Hatchback</v>
      </c>
    </row>
    <row r="624" spans="1:9">
      <c r="A624" s="2">
        <v>623</v>
      </c>
      <c r="B624" s="2" t="s">
        <v>68</v>
      </c>
      <c r="C624" s="2" t="s">
        <v>16</v>
      </c>
      <c r="D624" s="2">
        <v>14</v>
      </c>
      <c r="E624" s="3">
        <v>28815</v>
      </c>
      <c r="F624" s="2" t="s">
        <v>9</v>
      </c>
      <c r="G624" s="2" t="s">
        <v>14</v>
      </c>
      <c r="H624" t="str">
        <f t="shared" si="18"/>
        <v>Honda</v>
      </c>
      <c r="I624" t="str">
        <f t="shared" si="19"/>
        <v>Coupe</v>
      </c>
    </row>
    <row r="625" spans="1:9">
      <c r="A625" s="2">
        <v>624</v>
      </c>
      <c r="B625" s="2" t="s">
        <v>56</v>
      </c>
      <c r="C625" s="2" t="s">
        <v>8</v>
      </c>
      <c r="D625" s="2">
        <v>34</v>
      </c>
      <c r="E625" s="3">
        <v>28127</v>
      </c>
      <c r="F625" s="2" t="s">
        <v>20</v>
      </c>
      <c r="G625" s="2" t="s">
        <v>10</v>
      </c>
      <c r="H625" t="str">
        <f t="shared" si="18"/>
        <v>Hyundai</v>
      </c>
      <c r="I625" t="str">
        <f t="shared" si="19"/>
        <v>Coupe</v>
      </c>
    </row>
    <row r="626" spans="1:9">
      <c r="A626" s="2">
        <v>625</v>
      </c>
      <c r="B626" s="2" t="s">
        <v>24</v>
      </c>
      <c r="C626" s="2" t="s">
        <v>16</v>
      </c>
      <c r="D626" s="2">
        <v>16</v>
      </c>
      <c r="E626" s="3">
        <v>34188</v>
      </c>
      <c r="F626" s="2" t="s">
        <v>28</v>
      </c>
      <c r="G626" s="2" t="s">
        <v>14</v>
      </c>
      <c r="H626" t="str">
        <f t="shared" si="18"/>
        <v>Honda</v>
      </c>
      <c r="I626" t="str">
        <f t="shared" si="19"/>
        <v>Convertible</v>
      </c>
    </row>
    <row r="627" spans="1:9">
      <c r="A627" s="2">
        <v>626</v>
      </c>
      <c r="B627" s="2" t="s">
        <v>36</v>
      </c>
      <c r="C627" s="2" t="s">
        <v>8</v>
      </c>
      <c r="D627" s="2">
        <v>27</v>
      </c>
      <c r="E627" s="3">
        <v>66580</v>
      </c>
      <c r="F627" s="2" t="s">
        <v>38</v>
      </c>
      <c r="G627" s="2" t="s">
        <v>23</v>
      </c>
      <c r="H627" t="str">
        <f t="shared" si="18"/>
        <v>Toyota</v>
      </c>
      <c r="I627" t="str">
        <f t="shared" si="19"/>
        <v>Coupe</v>
      </c>
    </row>
    <row r="628" spans="1:9">
      <c r="A628" s="2">
        <v>627</v>
      </c>
      <c r="B628" s="2" t="s">
        <v>44</v>
      </c>
      <c r="C628" s="2" t="s">
        <v>8</v>
      </c>
      <c r="D628" s="2">
        <v>32</v>
      </c>
      <c r="E628" s="3">
        <v>89391</v>
      </c>
      <c r="F628" s="2" t="s">
        <v>13</v>
      </c>
      <c r="G628" s="2" t="s">
        <v>14</v>
      </c>
      <c r="H628" t="str">
        <f t="shared" si="18"/>
        <v>Chevrolet</v>
      </c>
      <c r="I628" t="str">
        <f t="shared" si="19"/>
        <v>Coupe</v>
      </c>
    </row>
    <row r="629" spans="1:9">
      <c r="A629" s="2">
        <v>628</v>
      </c>
      <c r="B629" s="2" t="s">
        <v>79</v>
      </c>
      <c r="C629" s="2" t="s">
        <v>16</v>
      </c>
      <c r="D629" s="2">
        <v>4</v>
      </c>
      <c r="E629" s="3">
        <v>75598</v>
      </c>
      <c r="F629" s="2" t="s">
        <v>20</v>
      </c>
      <c r="G629" s="2" t="s">
        <v>26</v>
      </c>
      <c r="H629" t="str">
        <f t="shared" si="18"/>
        <v>Audi</v>
      </c>
      <c r="I629" t="str">
        <f t="shared" si="19"/>
        <v>Truck</v>
      </c>
    </row>
    <row r="630" spans="1:9">
      <c r="A630" s="2">
        <v>629</v>
      </c>
      <c r="B630" s="2" t="s">
        <v>77</v>
      </c>
      <c r="C630" s="2" t="s">
        <v>8</v>
      </c>
      <c r="D630" s="2">
        <v>10</v>
      </c>
      <c r="E630" s="3">
        <v>39512</v>
      </c>
      <c r="F630" s="2" t="s">
        <v>38</v>
      </c>
      <c r="G630" s="2" t="s">
        <v>10</v>
      </c>
      <c r="H630" t="str">
        <f t="shared" si="18"/>
        <v>BMW</v>
      </c>
      <c r="I630" t="str">
        <f t="shared" si="19"/>
        <v>SUV</v>
      </c>
    </row>
    <row r="631" spans="1:9">
      <c r="A631" s="2">
        <v>630</v>
      </c>
      <c r="B631" s="2" t="s">
        <v>19</v>
      </c>
      <c r="C631" s="2" t="s">
        <v>16</v>
      </c>
      <c r="D631" s="2">
        <v>46</v>
      </c>
      <c r="E631" s="3">
        <v>67858</v>
      </c>
      <c r="F631" s="2" t="s">
        <v>17</v>
      </c>
      <c r="G631" s="2" t="s">
        <v>18</v>
      </c>
      <c r="H631" t="str">
        <f t="shared" si="18"/>
        <v>Tesla</v>
      </c>
      <c r="I631" t="str">
        <f t="shared" si="19"/>
        <v>Minivan</v>
      </c>
    </row>
    <row r="632" spans="1:9">
      <c r="A632" s="2">
        <v>631</v>
      </c>
      <c r="B632" s="2" t="s">
        <v>88</v>
      </c>
      <c r="C632" s="2" t="s">
        <v>16</v>
      </c>
      <c r="D632" s="2">
        <v>18</v>
      </c>
      <c r="E632" s="3">
        <v>78673</v>
      </c>
      <c r="F632" s="2" t="s">
        <v>17</v>
      </c>
      <c r="G632" s="2" t="s">
        <v>29</v>
      </c>
      <c r="H632" t="str">
        <f t="shared" si="18"/>
        <v>Hyundai</v>
      </c>
      <c r="I632" t="str">
        <f t="shared" si="19"/>
        <v>Convertible</v>
      </c>
    </row>
    <row r="633" spans="1:9">
      <c r="A633" s="2">
        <v>632</v>
      </c>
      <c r="B633" s="2" t="s">
        <v>67</v>
      </c>
      <c r="C633" s="2" t="s">
        <v>12</v>
      </c>
      <c r="D633" s="2">
        <v>6</v>
      </c>
      <c r="E633" s="3">
        <v>48734</v>
      </c>
      <c r="F633" s="2" t="s">
        <v>13</v>
      </c>
      <c r="G633" s="2" t="s">
        <v>26</v>
      </c>
      <c r="H633" t="str">
        <f t="shared" si="18"/>
        <v>BMW</v>
      </c>
      <c r="I633" t="str">
        <f t="shared" si="19"/>
        <v>Sedan</v>
      </c>
    </row>
    <row r="634" spans="1:9">
      <c r="A634" s="2">
        <v>633</v>
      </c>
      <c r="B634" s="2" t="s">
        <v>69</v>
      </c>
      <c r="C634" s="2" t="s">
        <v>8</v>
      </c>
      <c r="D634" s="2">
        <v>3</v>
      </c>
      <c r="E634" s="3">
        <v>66197</v>
      </c>
      <c r="F634" s="2" t="s">
        <v>13</v>
      </c>
      <c r="G634" s="2" t="s">
        <v>18</v>
      </c>
      <c r="H634" t="str">
        <f t="shared" si="18"/>
        <v>BMW</v>
      </c>
      <c r="I634" t="str">
        <f t="shared" si="19"/>
        <v>Truck</v>
      </c>
    </row>
    <row r="635" spans="1:9">
      <c r="A635" s="2">
        <v>634</v>
      </c>
      <c r="B635" s="2" t="s">
        <v>34</v>
      </c>
      <c r="C635" s="2" t="s">
        <v>8</v>
      </c>
      <c r="D635" s="2">
        <v>15</v>
      </c>
      <c r="E635" s="3">
        <v>67244</v>
      </c>
      <c r="F635" s="2" t="s">
        <v>20</v>
      </c>
      <c r="G635" s="2" t="s">
        <v>18</v>
      </c>
      <c r="H635" t="str">
        <f t="shared" si="18"/>
        <v>Audi</v>
      </c>
      <c r="I635" t="str">
        <f t="shared" si="19"/>
        <v>Coupe</v>
      </c>
    </row>
    <row r="636" spans="1:9">
      <c r="A636" s="2">
        <v>635</v>
      </c>
      <c r="B636" s="2" t="s">
        <v>49</v>
      </c>
      <c r="C636" s="2" t="s">
        <v>22</v>
      </c>
      <c r="D636" s="2">
        <v>34</v>
      </c>
      <c r="E636" s="3">
        <v>63720</v>
      </c>
      <c r="F636" s="2" t="s">
        <v>32</v>
      </c>
      <c r="G636" s="2" t="s">
        <v>29</v>
      </c>
      <c r="H636" t="str">
        <f t="shared" si="18"/>
        <v>Chevrolet</v>
      </c>
      <c r="I636" t="str">
        <f t="shared" si="19"/>
        <v>Sedan</v>
      </c>
    </row>
    <row r="637" spans="1:9">
      <c r="A637" s="2">
        <v>636</v>
      </c>
      <c r="B637" s="2" t="s">
        <v>79</v>
      </c>
      <c r="C637" s="2" t="s">
        <v>16</v>
      </c>
      <c r="D637" s="2">
        <v>27</v>
      </c>
      <c r="E637" s="3">
        <v>87623</v>
      </c>
      <c r="F637" s="2" t="s">
        <v>38</v>
      </c>
      <c r="G637" s="2" t="s">
        <v>14</v>
      </c>
      <c r="H637" t="str">
        <f t="shared" si="18"/>
        <v>Audi</v>
      </c>
      <c r="I637" t="str">
        <f t="shared" si="19"/>
        <v>Truck</v>
      </c>
    </row>
    <row r="638" spans="1:9">
      <c r="A638" s="2">
        <v>637</v>
      </c>
      <c r="B638" s="2" t="s">
        <v>55</v>
      </c>
      <c r="C638" s="2" t="s">
        <v>12</v>
      </c>
      <c r="D638" s="2">
        <v>45</v>
      </c>
      <c r="E638" s="3">
        <v>55787</v>
      </c>
      <c r="F638" s="2" t="s">
        <v>13</v>
      </c>
      <c r="G638" s="2" t="s">
        <v>14</v>
      </c>
      <c r="H638" t="str">
        <f t="shared" si="18"/>
        <v>Chevrolet</v>
      </c>
      <c r="I638" t="str">
        <f t="shared" si="19"/>
        <v>Hatchback</v>
      </c>
    </row>
    <row r="639" spans="1:9">
      <c r="A639" s="2">
        <v>638</v>
      </c>
      <c r="B639" s="2" t="s">
        <v>27</v>
      </c>
      <c r="C639" s="2" t="s">
        <v>12</v>
      </c>
      <c r="D639" s="2">
        <v>24</v>
      </c>
      <c r="E639" s="3">
        <v>28290</v>
      </c>
      <c r="F639" s="2" t="s">
        <v>38</v>
      </c>
      <c r="G639" s="2" t="s">
        <v>23</v>
      </c>
      <c r="H639" t="str">
        <f t="shared" si="18"/>
        <v>Ford</v>
      </c>
      <c r="I639" t="str">
        <f t="shared" si="19"/>
        <v>Hatchback</v>
      </c>
    </row>
    <row r="640" spans="1:9">
      <c r="A640" s="2">
        <v>639</v>
      </c>
      <c r="B640" s="2" t="s">
        <v>88</v>
      </c>
      <c r="C640" s="2" t="s">
        <v>22</v>
      </c>
      <c r="D640" s="2">
        <v>30</v>
      </c>
      <c r="E640" s="3">
        <v>30532</v>
      </c>
      <c r="F640" s="2" t="s">
        <v>28</v>
      </c>
      <c r="G640" s="2" t="s">
        <v>14</v>
      </c>
      <c r="H640" t="str">
        <f t="shared" si="18"/>
        <v>Hyundai</v>
      </c>
      <c r="I640" t="str">
        <f t="shared" si="19"/>
        <v>Convertible</v>
      </c>
    </row>
    <row r="641" spans="1:9">
      <c r="A641" s="2">
        <v>640</v>
      </c>
      <c r="B641" s="2" t="s">
        <v>36</v>
      </c>
      <c r="C641" s="2" t="s">
        <v>8</v>
      </c>
      <c r="D641" s="2">
        <v>48</v>
      </c>
      <c r="E641" s="3">
        <v>89417</v>
      </c>
      <c r="F641" s="2" t="s">
        <v>38</v>
      </c>
      <c r="G641" s="2" t="s">
        <v>14</v>
      </c>
      <c r="H641" t="str">
        <f t="shared" si="18"/>
        <v>Toyota</v>
      </c>
      <c r="I641" t="str">
        <f t="shared" si="19"/>
        <v>Coupe</v>
      </c>
    </row>
    <row r="642" spans="1:9">
      <c r="A642" s="2">
        <v>641</v>
      </c>
      <c r="B642" s="2" t="s">
        <v>75</v>
      </c>
      <c r="C642" s="2" t="s">
        <v>12</v>
      </c>
      <c r="D642" s="2">
        <v>6</v>
      </c>
      <c r="E642" s="3">
        <v>57366</v>
      </c>
      <c r="F642" s="2" t="s">
        <v>17</v>
      </c>
      <c r="G642" s="2" t="s">
        <v>23</v>
      </c>
      <c r="H642" t="str">
        <f t="shared" si="18"/>
        <v>Nissan</v>
      </c>
      <c r="I642" t="str">
        <f t="shared" si="19"/>
        <v>Convertible</v>
      </c>
    </row>
    <row r="643" spans="1:9">
      <c r="A643" s="2">
        <v>642</v>
      </c>
      <c r="B643" s="2" t="s">
        <v>11</v>
      </c>
      <c r="C643" s="2" t="s">
        <v>8</v>
      </c>
      <c r="D643" s="2">
        <v>38</v>
      </c>
      <c r="E643" s="3">
        <v>36870</v>
      </c>
      <c r="F643" s="2" t="s">
        <v>25</v>
      </c>
      <c r="G643" s="2" t="s">
        <v>26</v>
      </c>
      <c r="H643" t="str">
        <f t="shared" ref="H643:H706" si="20">LEFT(B643,FIND(",",B643)-1)</f>
        <v>Toyota</v>
      </c>
      <c r="I643" t="str">
        <f t="shared" ref="I643:I706" si="21">TRIM(MID(B643,FIND(",",B643)+1,LEN(B643)))</f>
        <v>Hatchback</v>
      </c>
    </row>
    <row r="644" spans="1:9">
      <c r="A644" s="2">
        <v>643</v>
      </c>
      <c r="B644" s="2" t="s">
        <v>69</v>
      </c>
      <c r="C644" s="2" t="s">
        <v>12</v>
      </c>
      <c r="D644" s="2">
        <v>7</v>
      </c>
      <c r="E644" s="3">
        <v>28210</v>
      </c>
      <c r="F644" s="2" t="s">
        <v>17</v>
      </c>
      <c r="G644" s="2" t="s">
        <v>29</v>
      </c>
      <c r="H644" t="str">
        <f t="shared" si="20"/>
        <v>BMW</v>
      </c>
      <c r="I644" t="str">
        <f t="shared" si="21"/>
        <v>Truck</v>
      </c>
    </row>
    <row r="645" spans="1:9">
      <c r="A645" s="2">
        <v>644</v>
      </c>
      <c r="B645" s="2" t="s">
        <v>80</v>
      </c>
      <c r="C645" s="2" t="s">
        <v>12</v>
      </c>
      <c r="D645" s="2">
        <v>33</v>
      </c>
      <c r="E645" s="3">
        <v>44620</v>
      </c>
      <c r="F645" s="2" t="s">
        <v>32</v>
      </c>
      <c r="G645" s="2" t="s">
        <v>23</v>
      </c>
      <c r="H645" t="str">
        <f t="shared" si="20"/>
        <v>Tesla</v>
      </c>
      <c r="I645" t="str">
        <f t="shared" si="21"/>
        <v>Sedan</v>
      </c>
    </row>
    <row r="646" spans="1:9">
      <c r="A646" s="2">
        <v>645</v>
      </c>
      <c r="B646" s="2" t="s">
        <v>58</v>
      </c>
      <c r="C646" s="2" t="s">
        <v>16</v>
      </c>
      <c r="D646" s="2">
        <v>9</v>
      </c>
      <c r="E646" s="3">
        <v>71210</v>
      </c>
      <c r="F646" s="2" t="s">
        <v>25</v>
      </c>
      <c r="G646" s="2" t="s">
        <v>26</v>
      </c>
      <c r="H646" t="str">
        <f t="shared" si="20"/>
        <v>Ford</v>
      </c>
      <c r="I646" t="str">
        <f t="shared" si="21"/>
        <v>SUV</v>
      </c>
    </row>
    <row r="647" spans="1:9">
      <c r="A647" s="2">
        <v>646</v>
      </c>
      <c r="B647" s="2" t="s">
        <v>36</v>
      </c>
      <c r="C647" s="2" t="s">
        <v>8</v>
      </c>
      <c r="D647" s="2">
        <v>41</v>
      </c>
      <c r="E647" s="3">
        <v>70822</v>
      </c>
      <c r="F647" s="2" t="s">
        <v>38</v>
      </c>
      <c r="G647" s="2" t="s">
        <v>14</v>
      </c>
      <c r="H647" t="str">
        <f t="shared" si="20"/>
        <v>Toyota</v>
      </c>
      <c r="I647" t="str">
        <f t="shared" si="21"/>
        <v>Coupe</v>
      </c>
    </row>
    <row r="648" spans="1:9">
      <c r="A648" s="2">
        <v>647</v>
      </c>
      <c r="B648" s="2" t="s">
        <v>35</v>
      </c>
      <c r="C648" s="2" t="s">
        <v>12</v>
      </c>
      <c r="D648" s="2">
        <v>26</v>
      </c>
      <c r="E648" s="3">
        <v>81009</v>
      </c>
      <c r="F648" s="2" t="s">
        <v>13</v>
      </c>
      <c r="G648" s="2" t="s">
        <v>26</v>
      </c>
      <c r="H648" t="str">
        <f t="shared" si="20"/>
        <v>Toyota</v>
      </c>
      <c r="I648" t="str">
        <f t="shared" si="21"/>
        <v>Convertible</v>
      </c>
    </row>
    <row r="649" spans="1:9">
      <c r="A649" s="2">
        <v>648</v>
      </c>
      <c r="B649" s="2" t="s">
        <v>80</v>
      </c>
      <c r="C649" s="2" t="s">
        <v>16</v>
      </c>
      <c r="D649" s="2">
        <v>5</v>
      </c>
      <c r="E649" s="3">
        <v>55078</v>
      </c>
      <c r="F649" s="2" t="s">
        <v>9</v>
      </c>
      <c r="G649" s="2" t="s">
        <v>14</v>
      </c>
      <c r="H649" t="str">
        <f t="shared" si="20"/>
        <v>Tesla</v>
      </c>
      <c r="I649" t="str">
        <f t="shared" si="21"/>
        <v>Sedan</v>
      </c>
    </row>
    <row r="650" spans="1:9">
      <c r="A650" s="2">
        <v>649</v>
      </c>
      <c r="B650" s="2" t="s">
        <v>80</v>
      </c>
      <c r="C650" s="2" t="s">
        <v>12</v>
      </c>
      <c r="D650" s="2">
        <v>38</v>
      </c>
      <c r="E650" s="3">
        <v>96112</v>
      </c>
      <c r="F650" s="2" t="s">
        <v>20</v>
      </c>
      <c r="G650" s="2" t="s">
        <v>14</v>
      </c>
      <c r="H650" t="str">
        <f t="shared" si="20"/>
        <v>Tesla</v>
      </c>
      <c r="I650" t="str">
        <f t="shared" si="21"/>
        <v>Sedan</v>
      </c>
    </row>
    <row r="651" spans="1:9">
      <c r="A651" s="2">
        <v>650</v>
      </c>
      <c r="B651" s="2" t="s">
        <v>45</v>
      </c>
      <c r="C651" s="2" t="s">
        <v>16</v>
      </c>
      <c r="D651" s="2">
        <v>37</v>
      </c>
      <c r="E651" s="3">
        <v>29584</v>
      </c>
      <c r="F651" s="2" t="s">
        <v>32</v>
      </c>
      <c r="G651" s="2" t="s">
        <v>23</v>
      </c>
      <c r="H651" t="str">
        <f t="shared" si="20"/>
        <v>Toyota</v>
      </c>
      <c r="I651" t="str">
        <f t="shared" si="21"/>
        <v>SUV</v>
      </c>
    </row>
    <row r="652" spans="1:9">
      <c r="A652" s="2">
        <v>651</v>
      </c>
      <c r="B652" s="2" t="s">
        <v>90</v>
      </c>
      <c r="C652" s="2" t="s">
        <v>16</v>
      </c>
      <c r="D652" s="2">
        <v>4</v>
      </c>
      <c r="E652" s="3">
        <v>91573</v>
      </c>
      <c r="F652" s="2" t="s">
        <v>13</v>
      </c>
      <c r="G652" s="2" t="s">
        <v>29</v>
      </c>
      <c r="H652" t="str">
        <f t="shared" si="20"/>
        <v>Volkswagen</v>
      </c>
      <c r="I652" t="str">
        <f t="shared" si="21"/>
        <v>Truck</v>
      </c>
    </row>
    <row r="653" spans="1:9">
      <c r="A653" s="2">
        <v>652</v>
      </c>
      <c r="B653" s="2" t="s">
        <v>91</v>
      </c>
      <c r="C653" s="2" t="s">
        <v>8</v>
      </c>
      <c r="D653" s="2">
        <v>28</v>
      </c>
      <c r="E653" s="3">
        <v>82713</v>
      </c>
      <c r="F653" s="2" t="s">
        <v>28</v>
      </c>
      <c r="G653" s="2" t="s">
        <v>10</v>
      </c>
      <c r="H653" t="str">
        <f t="shared" si="20"/>
        <v>Honda</v>
      </c>
      <c r="I653" t="str">
        <f t="shared" si="21"/>
        <v>SUV</v>
      </c>
    </row>
    <row r="654" spans="1:9">
      <c r="A654" s="2">
        <v>653</v>
      </c>
      <c r="B654" s="2" t="s">
        <v>19</v>
      </c>
      <c r="C654" s="2" t="s">
        <v>16</v>
      </c>
      <c r="D654" s="2">
        <v>43</v>
      </c>
      <c r="E654" s="3">
        <v>81762</v>
      </c>
      <c r="F654" s="2" t="s">
        <v>13</v>
      </c>
      <c r="G654" s="2" t="s">
        <v>26</v>
      </c>
      <c r="H654" t="str">
        <f t="shared" si="20"/>
        <v>Tesla</v>
      </c>
      <c r="I654" t="str">
        <f t="shared" si="21"/>
        <v>Minivan</v>
      </c>
    </row>
    <row r="655" spans="1:9">
      <c r="A655" s="2">
        <v>654</v>
      </c>
      <c r="B655" s="2" t="s">
        <v>91</v>
      </c>
      <c r="C655" s="2" t="s">
        <v>12</v>
      </c>
      <c r="D655" s="2">
        <v>9</v>
      </c>
      <c r="E655" s="3">
        <v>74063</v>
      </c>
      <c r="F655" s="2" t="s">
        <v>25</v>
      </c>
      <c r="G655" s="2" t="s">
        <v>26</v>
      </c>
      <c r="H655" t="str">
        <f t="shared" si="20"/>
        <v>Honda</v>
      </c>
      <c r="I655" t="str">
        <f t="shared" si="21"/>
        <v>SUV</v>
      </c>
    </row>
    <row r="656" spans="1:9">
      <c r="A656" s="2">
        <v>655</v>
      </c>
      <c r="B656" s="2" t="s">
        <v>73</v>
      </c>
      <c r="C656" s="2" t="s">
        <v>22</v>
      </c>
      <c r="D656" s="2">
        <v>16</v>
      </c>
      <c r="E656" s="3">
        <v>74589</v>
      </c>
      <c r="F656" s="2" t="s">
        <v>25</v>
      </c>
      <c r="G656" s="2" t="s">
        <v>23</v>
      </c>
      <c r="H656" t="str">
        <f t="shared" si="20"/>
        <v>Hyundai</v>
      </c>
      <c r="I656" t="str">
        <f t="shared" si="21"/>
        <v>Minivan</v>
      </c>
    </row>
    <row r="657" spans="1:9">
      <c r="A657" s="2">
        <v>656</v>
      </c>
      <c r="B657" s="2" t="s">
        <v>7</v>
      </c>
      <c r="C657" s="2" t="s">
        <v>12</v>
      </c>
      <c r="D657" s="2">
        <v>19</v>
      </c>
      <c r="E657" s="3">
        <v>55769</v>
      </c>
      <c r="F657" s="2" t="s">
        <v>17</v>
      </c>
      <c r="G657" s="2" t="s">
        <v>29</v>
      </c>
      <c r="H657" t="str">
        <f t="shared" si="20"/>
        <v>Ford</v>
      </c>
      <c r="I657" t="str">
        <f t="shared" si="21"/>
        <v>Truck</v>
      </c>
    </row>
    <row r="658" spans="1:9">
      <c r="A658" s="2">
        <v>657</v>
      </c>
      <c r="B658" s="2" t="s">
        <v>90</v>
      </c>
      <c r="C658" s="2" t="s">
        <v>12</v>
      </c>
      <c r="D658" s="2">
        <v>17</v>
      </c>
      <c r="E658" s="3">
        <v>69770</v>
      </c>
      <c r="F658" s="2" t="s">
        <v>20</v>
      </c>
      <c r="G658" s="2" t="s">
        <v>14</v>
      </c>
      <c r="H658" t="str">
        <f t="shared" si="20"/>
        <v>Volkswagen</v>
      </c>
      <c r="I658" t="str">
        <f t="shared" si="21"/>
        <v>Truck</v>
      </c>
    </row>
    <row r="659" spans="1:9">
      <c r="A659" s="2">
        <v>658</v>
      </c>
      <c r="B659" s="2" t="s">
        <v>37</v>
      </c>
      <c r="C659" s="2" t="s">
        <v>16</v>
      </c>
      <c r="D659" s="2">
        <v>21</v>
      </c>
      <c r="E659" s="3">
        <v>91477</v>
      </c>
      <c r="F659" s="2" t="s">
        <v>9</v>
      </c>
      <c r="G659" s="2" t="s">
        <v>26</v>
      </c>
      <c r="H659" t="str">
        <f t="shared" si="20"/>
        <v>Tesla</v>
      </c>
      <c r="I659" t="str">
        <f t="shared" si="21"/>
        <v>Truck</v>
      </c>
    </row>
    <row r="660" spans="1:9">
      <c r="A660" s="2">
        <v>659</v>
      </c>
      <c r="B660" s="2" t="s">
        <v>94</v>
      </c>
      <c r="C660" s="2" t="s">
        <v>12</v>
      </c>
      <c r="D660" s="2">
        <v>26</v>
      </c>
      <c r="E660" s="3">
        <v>27338</v>
      </c>
      <c r="F660" s="2" t="s">
        <v>38</v>
      </c>
      <c r="G660" s="2" t="s">
        <v>29</v>
      </c>
      <c r="H660" t="str">
        <f t="shared" si="20"/>
        <v>Hyundai</v>
      </c>
      <c r="I660" t="str">
        <f t="shared" si="21"/>
        <v>Sedan</v>
      </c>
    </row>
    <row r="661" spans="1:9">
      <c r="A661" s="2">
        <v>660</v>
      </c>
      <c r="B661" s="2" t="s">
        <v>49</v>
      </c>
      <c r="C661" s="2" t="s">
        <v>16</v>
      </c>
      <c r="D661" s="2">
        <v>45</v>
      </c>
      <c r="E661" s="3">
        <v>42992</v>
      </c>
      <c r="F661" s="2" t="s">
        <v>13</v>
      </c>
      <c r="G661" s="2" t="s">
        <v>18</v>
      </c>
      <c r="H661" t="str">
        <f t="shared" si="20"/>
        <v>Chevrolet</v>
      </c>
      <c r="I661" t="str">
        <f t="shared" si="21"/>
        <v>Sedan</v>
      </c>
    </row>
    <row r="662" spans="1:9">
      <c r="A662" s="2">
        <v>661</v>
      </c>
      <c r="B662" s="2" t="s">
        <v>48</v>
      </c>
      <c r="C662" s="2" t="s">
        <v>8</v>
      </c>
      <c r="D662" s="2">
        <v>48</v>
      </c>
      <c r="E662" s="3">
        <v>33633</v>
      </c>
      <c r="F662" s="2" t="s">
        <v>28</v>
      </c>
      <c r="G662" s="2" t="s">
        <v>18</v>
      </c>
      <c r="H662" t="str">
        <f t="shared" si="20"/>
        <v>BMW</v>
      </c>
      <c r="I662" t="str">
        <f t="shared" si="21"/>
        <v>Coupe</v>
      </c>
    </row>
    <row r="663" spans="1:9">
      <c r="A663" s="2">
        <v>662</v>
      </c>
      <c r="B663" s="2" t="s">
        <v>72</v>
      </c>
      <c r="C663" s="2" t="s">
        <v>16</v>
      </c>
      <c r="D663" s="2">
        <v>21</v>
      </c>
      <c r="E663" s="3">
        <v>68092</v>
      </c>
      <c r="F663" s="2" t="s">
        <v>20</v>
      </c>
      <c r="G663" s="2" t="s">
        <v>10</v>
      </c>
      <c r="H663" t="str">
        <f t="shared" si="20"/>
        <v>Honda</v>
      </c>
      <c r="I663" t="str">
        <f t="shared" si="21"/>
        <v>Hatchback</v>
      </c>
    </row>
    <row r="664" spans="1:9">
      <c r="A664" s="2">
        <v>663</v>
      </c>
      <c r="B664" s="2" t="s">
        <v>71</v>
      </c>
      <c r="C664" s="2" t="s">
        <v>8</v>
      </c>
      <c r="D664" s="2">
        <v>21</v>
      </c>
      <c r="E664" s="3">
        <v>82789</v>
      </c>
      <c r="F664" s="2" t="s">
        <v>13</v>
      </c>
      <c r="G664" s="2" t="s">
        <v>26</v>
      </c>
      <c r="H664" t="str">
        <f t="shared" si="20"/>
        <v>Volkswagen</v>
      </c>
      <c r="I664" t="str">
        <f t="shared" si="21"/>
        <v>Coupe</v>
      </c>
    </row>
    <row r="665" spans="1:9">
      <c r="A665" s="2">
        <v>664</v>
      </c>
      <c r="B665" s="2" t="s">
        <v>33</v>
      </c>
      <c r="C665" s="2" t="s">
        <v>22</v>
      </c>
      <c r="D665" s="2">
        <v>29</v>
      </c>
      <c r="E665" s="3">
        <v>85688</v>
      </c>
      <c r="F665" s="2" t="s">
        <v>13</v>
      </c>
      <c r="G665" s="2" t="s">
        <v>14</v>
      </c>
      <c r="H665" t="str">
        <f t="shared" si="20"/>
        <v>Volkswagen</v>
      </c>
      <c r="I665" t="str">
        <f t="shared" si="21"/>
        <v>SUV</v>
      </c>
    </row>
    <row r="666" spans="1:9">
      <c r="A666" s="2">
        <v>665</v>
      </c>
      <c r="B666" s="2" t="s">
        <v>58</v>
      </c>
      <c r="C666" s="2" t="s">
        <v>12</v>
      </c>
      <c r="D666" s="2">
        <v>18</v>
      </c>
      <c r="E666" s="3">
        <v>32943</v>
      </c>
      <c r="F666" s="2" t="s">
        <v>25</v>
      </c>
      <c r="G666" s="2" t="s">
        <v>26</v>
      </c>
      <c r="H666" t="str">
        <f t="shared" si="20"/>
        <v>Ford</v>
      </c>
      <c r="I666" t="str">
        <f t="shared" si="21"/>
        <v>SUV</v>
      </c>
    </row>
    <row r="667" spans="1:9">
      <c r="A667" s="2">
        <v>666</v>
      </c>
      <c r="B667" s="2" t="s">
        <v>68</v>
      </c>
      <c r="C667" s="2" t="s">
        <v>8</v>
      </c>
      <c r="D667" s="2">
        <v>15</v>
      </c>
      <c r="E667" s="3">
        <v>49207</v>
      </c>
      <c r="F667" s="2" t="s">
        <v>25</v>
      </c>
      <c r="G667" s="2" t="s">
        <v>10</v>
      </c>
      <c r="H667" t="str">
        <f t="shared" si="20"/>
        <v>Honda</v>
      </c>
      <c r="I667" t="str">
        <f t="shared" si="21"/>
        <v>Coupe</v>
      </c>
    </row>
    <row r="668" spans="1:9">
      <c r="A668" s="2">
        <v>667</v>
      </c>
      <c r="B668" s="2" t="s">
        <v>70</v>
      </c>
      <c r="C668" s="2" t="s">
        <v>22</v>
      </c>
      <c r="D668" s="2">
        <v>5</v>
      </c>
      <c r="E668" s="3">
        <v>99210</v>
      </c>
      <c r="F668" s="2" t="s">
        <v>9</v>
      </c>
      <c r="G668" s="2" t="s">
        <v>18</v>
      </c>
      <c r="H668" t="str">
        <f t="shared" si="20"/>
        <v>Chevrolet</v>
      </c>
      <c r="I668" t="str">
        <f t="shared" si="21"/>
        <v>Convertible</v>
      </c>
    </row>
    <row r="669" spans="1:9">
      <c r="A669" s="2">
        <v>668</v>
      </c>
      <c r="B669" s="2" t="s">
        <v>27</v>
      </c>
      <c r="C669" s="2" t="s">
        <v>16</v>
      </c>
      <c r="D669" s="2">
        <v>13</v>
      </c>
      <c r="E669" s="3">
        <v>72120</v>
      </c>
      <c r="F669" s="2" t="s">
        <v>32</v>
      </c>
      <c r="G669" s="2" t="s">
        <v>10</v>
      </c>
      <c r="H669" t="str">
        <f t="shared" si="20"/>
        <v>Ford</v>
      </c>
      <c r="I669" t="str">
        <f t="shared" si="21"/>
        <v>Hatchback</v>
      </c>
    </row>
    <row r="670" spans="1:9">
      <c r="A670" s="2">
        <v>669</v>
      </c>
      <c r="B670" s="2" t="s">
        <v>33</v>
      </c>
      <c r="C670" s="2" t="s">
        <v>22</v>
      </c>
      <c r="D670" s="2">
        <v>9</v>
      </c>
      <c r="E670" s="3">
        <v>93989</v>
      </c>
      <c r="F670" s="2" t="s">
        <v>9</v>
      </c>
      <c r="G670" s="2" t="s">
        <v>26</v>
      </c>
      <c r="H670" t="str">
        <f t="shared" si="20"/>
        <v>Volkswagen</v>
      </c>
      <c r="I670" t="str">
        <f t="shared" si="21"/>
        <v>SUV</v>
      </c>
    </row>
    <row r="671" spans="1:9">
      <c r="A671" s="2">
        <v>670</v>
      </c>
      <c r="B671" s="2" t="s">
        <v>35</v>
      </c>
      <c r="C671" s="2" t="s">
        <v>8</v>
      </c>
      <c r="D671" s="2">
        <v>50</v>
      </c>
      <c r="E671" s="3">
        <v>54864</v>
      </c>
      <c r="F671" s="2" t="s">
        <v>13</v>
      </c>
      <c r="G671" s="2" t="s">
        <v>26</v>
      </c>
      <c r="H671" t="str">
        <f t="shared" si="20"/>
        <v>Toyota</v>
      </c>
      <c r="I671" t="str">
        <f t="shared" si="21"/>
        <v>Convertible</v>
      </c>
    </row>
    <row r="672" spans="1:9">
      <c r="A672" s="2">
        <v>671</v>
      </c>
      <c r="B672" s="2" t="s">
        <v>70</v>
      </c>
      <c r="C672" s="2" t="s">
        <v>12</v>
      </c>
      <c r="D672" s="2">
        <v>50</v>
      </c>
      <c r="E672" s="3">
        <v>76992</v>
      </c>
      <c r="F672" s="2" t="s">
        <v>32</v>
      </c>
      <c r="G672" s="2" t="s">
        <v>18</v>
      </c>
      <c r="H672" t="str">
        <f t="shared" si="20"/>
        <v>Chevrolet</v>
      </c>
      <c r="I672" t="str">
        <f t="shared" si="21"/>
        <v>Convertible</v>
      </c>
    </row>
    <row r="673" spans="1:9">
      <c r="A673" s="2">
        <v>672</v>
      </c>
      <c r="B673" s="2" t="s">
        <v>54</v>
      </c>
      <c r="C673" s="2" t="s">
        <v>22</v>
      </c>
      <c r="D673" s="2">
        <v>38</v>
      </c>
      <c r="E673" s="3">
        <v>39073</v>
      </c>
      <c r="F673" s="2" t="s">
        <v>32</v>
      </c>
      <c r="G673" s="2" t="s">
        <v>18</v>
      </c>
      <c r="H673" t="str">
        <f t="shared" si="20"/>
        <v>Volkswagen</v>
      </c>
      <c r="I673" t="str">
        <f t="shared" si="21"/>
        <v>Minivan</v>
      </c>
    </row>
    <row r="674" spans="1:9">
      <c r="A674" s="2">
        <v>673</v>
      </c>
      <c r="B674" s="2" t="s">
        <v>74</v>
      </c>
      <c r="C674" s="2" t="s">
        <v>22</v>
      </c>
      <c r="D674" s="2">
        <v>7</v>
      </c>
      <c r="E674" s="3">
        <v>41348</v>
      </c>
      <c r="F674" s="2" t="s">
        <v>32</v>
      </c>
      <c r="G674" s="2" t="s">
        <v>29</v>
      </c>
      <c r="H674" t="str">
        <f t="shared" si="20"/>
        <v>Audi</v>
      </c>
      <c r="I674" t="str">
        <f t="shared" si="21"/>
        <v>Hatchback</v>
      </c>
    </row>
    <row r="675" spans="1:9">
      <c r="A675" s="2">
        <v>674</v>
      </c>
      <c r="B675" s="2" t="s">
        <v>47</v>
      </c>
      <c r="C675" s="2" t="s">
        <v>16</v>
      </c>
      <c r="D675" s="2">
        <v>10</v>
      </c>
      <c r="E675" s="3">
        <v>51867</v>
      </c>
      <c r="F675" s="2" t="s">
        <v>20</v>
      </c>
      <c r="G675" s="2" t="s">
        <v>14</v>
      </c>
      <c r="H675" t="str">
        <f t="shared" si="20"/>
        <v>Audi</v>
      </c>
      <c r="I675" t="str">
        <f t="shared" si="21"/>
        <v>Minivan</v>
      </c>
    </row>
    <row r="676" spans="1:9">
      <c r="A676" s="2">
        <v>675</v>
      </c>
      <c r="B676" s="2" t="s">
        <v>37</v>
      </c>
      <c r="C676" s="2" t="s">
        <v>16</v>
      </c>
      <c r="D676" s="2">
        <v>7</v>
      </c>
      <c r="E676" s="3">
        <v>43988</v>
      </c>
      <c r="F676" s="2" t="s">
        <v>28</v>
      </c>
      <c r="G676" s="2" t="s">
        <v>18</v>
      </c>
      <c r="H676" t="str">
        <f t="shared" si="20"/>
        <v>Tesla</v>
      </c>
      <c r="I676" t="str">
        <f t="shared" si="21"/>
        <v>Truck</v>
      </c>
    </row>
    <row r="677" spans="1:9">
      <c r="A677" s="2">
        <v>676</v>
      </c>
      <c r="B677" s="2" t="s">
        <v>65</v>
      </c>
      <c r="C677" s="2" t="s">
        <v>12</v>
      </c>
      <c r="D677" s="2">
        <v>11</v>
      </c>
      <c r="E677" s="3">
        <v>57380</v>
      </c>
      <c r="F677" s="2" t="s">
        <v>13</v>
      </c>
      <c r="G677" s="2" t="s">
        <v>14</v>
      </c>
      <c r="H677" t="str">
        <f t="shared" si="20"/>
        <v>Ford</v>
      </c>
      <c r="I677" t="str">
        <f t="shared" si="21"/>
        <v>Sedan</v>
      </c>
    </row>
    <row r="678" spans="1:9">
      <c r="A678" s="2">
        <v>677</v>
      </c>
      <c r="B678" s="2" t="s">
        <v>71</v>
      </c>
      <c r="C678" s="2" t="s">
        <v>16</v>
      </c>
      <c r="D678" s="2">
        <v>29</v>
      </c>
      <c r="E678" s="3">
        <v>57829</v>
      </c>
      <c r="F678" s="2" t="s">
        <v>17</v>
      </c>
      <c r="G678" s="2" t="s">
        <v>10</v>
      </c>
      <c r="H678" t="str">
        <f t="shared" si="20"/>
        <v>Volkswagen</v>
      </c>
      <c r="I678" t="str">
        <f t="shared" si="21"/>
        <v>Coupe</v>
      </c>
    </row>
    <row r="679" spans="1:9">
      <c r="A679" s="2">
        <v>678</v>
      </c>
      <c r="B679" s="2" t="s">
        <v>19</v>
      </c>
      <c r="C679" s="2" t="s">
        <v>8</v>
      </c>
      <c r="D679" s="2">
        <v>30</v>
      </c>
      <c r="E679" s="3">
        <v>43265</v>
      </c>
      <c r="F679" s="2" t="s">
        <v>20</v>
      </c>
      <c r="G679" s="2" t="s">
        <v>10</v>
      </c>
      <c r="H679" t="str">
        <f t="shared" si="20"/>
        <v>Tesla</v>
      </c>
      <c r="I679" t="str">
        <f t="shared" si="21"/>
        <v>Minivan</v>
      </c>
    </row>
    <row r="680" spans="1:9">
      <c r="A680" s="2">
        <v>679</v>
      </c>
      <c r="B680" s="2" t="s">
        <v>27</v>
      </c>
      <c r="C680" s="2" t="s">
        <v>8</v>
      </c>
      <c r="D680" s="2">
        <v>21</v>
      </c>
      <c r="E680" s="3">
        <v>29018</v>
      </c>
      <c r="F680" s="2" t="s">
        <v>20</v>
      </c>
      <c r="G680" s="2" t="s">
        <v>18</v>
      </c>
      <c r="H680" t="str">
        <f t="shared" si="20"/>
        <v>Ford</v>
      </c>
      <c r="I680" t="str">
        <f t="shared" si="21"/>
        <v>Hatchback</v>
      </c>
    </row>
    <row r="681" spans="1:9">
      <c r="A681" s="2">
        <v>680</v>
      </c>
      <c r="B681" s="2" t="s">
        <v>49</v>
      </c>
      <c r="C681" s="2" t="s">
        <v>22</v>
      </c>
      <c r="D681" s="2">
        <v>27</v>
      </c>
      <c r="E681" s="3">
        <v>98816</v>
      </c>
      <c r="F681" s="2" t="s">
        <v>13</v>
      </c>
      <c r="G681" s="2" t="s">
        <v>14</v>
      </c>
      <c r="H681" t="str">
        <f t="shared" si="20"/>
        <v>Chevrolet</v>
      </c>
      <c r="I681" t="str">
        <f t="shared" si="21"/>
        <v>Sedan</v>
      </c>
    </row>
    <row r="682" spans="1:9">
      <c r="A682" s="2">
        <v>681</v>
      </c>
      <c r="B682" s="2" t="s">
        <v>71</v>
      </c>
      <c r="C682" s="2" t="s">
        <v>16</v>
      </c>
      <c r="D682" s="2">
        <v>8</v>
      </c>
      <c r="E682" s="3">
        <v>80290</v>
      </c>
      <c r="F682" s="2" t="s">
        <v>13</v>
      </c>
      <c r="G682" s="2" t="s">
        <v>18</v>
      </c>
      <c r="H682" t="str">
        <f t="shared" si="20"/>
        <v>Volkswagen</v>
      </c>
      <c r="I682" t="str">
        <f t="shared" si="21"/>
        <v>Coupe</v>
      </c>
    </row>
    <row r="683" spans="1:9">
      <c r="A683" s="2">
        <v>682</v>
      </c>
      <c r="B683" s="2" t="s">
        <v>65</v>
      </c>
      <c r="C683" s="2" t="s">
        <v>16</v>
      </c>
      <c r="D683" s="2">
        <v>35</v>
      </c>
      <c r="E683" s="3">
        <v>58306</v>
      </c>
      <c r="F683" s="2" t="s">
        <v>17</v>
      </c>
      <c r="G683" s="2" t="s">
        <v>18</v>
      </c>
      <c r="H683" t="str">
        <f t="shared" si="20"/>
        <v>Ford</v>
      </c>
      <c r="I683" t="str">
        <f t="shared" si="21"/>
        <v>Sedan</v>
      </c>
    </row>
    <row r="684" spans="1:9">
      <c r="A684" s="2">
        <v>683</v>
      </c>
      <c r="B684" s="2" t="s">
        <v>71</v>
      </c>
      <c r="C684" s="2" t="s">
        <v>22</v>
      </c>
      <c r="D684" s="2">
        <v>23</v>
      </c>
      <c r="E684" s="3">
        <v>55615</v>
      </c>
      <c r="F684" s="2" t="s">
        <v>17</v>
      </c>
      <c r="G684" s="2" t="s">
        <v>29</v>
      </c>
      <c r="H684" t="str">
        <f t="shared" si="20"/>
        <v>Volkswagen</v>
      </c>
      <c r="I684" t="str">
        <f t="shared" si="21"/>
        <v>Coupe</v>
      </c>
    </row>
    <row r="685" spans="1:9">
      <c r="A685" s="2">
        <v>684</v>
      </c>
      <c r="B685" s="2" t="s">
        <v>85</v>
      </c>
      <c r="C685" s="2" t="s">
        <v>12</v>
      </c>
      <c r="D685" s="2">
        <v>50</v>
      </c>
      <c r="E685" s="3">
        <v>62013</v>
      </c>
      <c r="F685" s="2" t="s">
        <v>32</v>
      </c>
      <c r="G685" s="2" t="s">
        <v>10</v>
      </c>
      <c r="H685" t="str">
        <f t="shared" si="20"/>
        <v>Toyota</v>
      </c>
      <c r="I685" t="str">
        <f t="shared" si="21"/>
        <v>Sedan</v>
      </c>
    </row>
    <row r="686" spans="1:9">
      <c r="A686" s="2">
        <v>685</v>
      </c>
      <c r="B686" s="2" t="s">
        <v>53</v>
      </c>
      <c r="C686" s="2" t="s">
        <v>16</v>
      </c>
      <c r="D686" s="2">
        <v>14</v>
      </c>
      <c r="E686" s="3">
        <v>67872</v>
      </c>
      <c r="F686" s="2" t="s">
        <v>17</v>
      </c>
      <c r="G686" s="2" t="s">
        <v>14</v>
      </c>
      <c r="H686" t="str">
        <f t="shared" si="20"/>
        <v>BMW</v>
      </c>
      <c r="I686" t="str">
        <f t="shared" si="21"/>
        <v>Minivan</v>
      </c>
    </row>
    <row r="687" spans="1:9">
      <c r="A687" s="2">
        <v>686</v>
      </c>
      <c r="B687" s="2" t="s">
        <v>61</v>
      </c>
      <c r="C687" s="2" t="s">
        <v>16</v>
      </c>
      <c r="D687" s="2">
        <v>29</v>
      </c>
      <c r="E687" s="3">
        <v>40096</v>
      </c>
      <c r="F687" s="2" t="s">
        <v>17</v>
      </c>
      <c r="G687" s="2" t="s">
        <v>10</v>
      </c>
      <c r="H687" t="str">
        <f t="shared" si="20"/>
        <v>Nissan</v>
      </c>
      <c r="I687" t="str">
        <f t="shared" si="21"/>
        <v>Truck</v>
      </c>
    </row>
    <row r="688" spans="1:9">
      <c r="A688" s="2">
        <v>687</v>
      </c>
      <c r="B688" s="2" t="s">
        <v>59</v>
      </c>
      <c r="C688" s="2" t="s">
        <v>12</v>
      </c>
      <c r="D688" s="2">
        <v>20</v>
      </c>
      <c r="E688" s="3">
        <v>27708</v>
      </c>
      <c r="F688" s="2" t="s">
        <v>38</v>
      </c>
      <c r="G688" s="2" t="s">
        <v>29</v>
      </c>
      <c r="H688" t="str">
        <f t="shared" si="20"/>
        <v>Audi</v>
      </c>
      <c r="I688" t="str">
        <f t="shared" si="21"/>
        <v>Convertible</v>
      </c>
    </row>
    <row r="689" spans="1:9">
      <c r="A689" s="2">
        <v>688</v>
      </c>
      <c r="B689" s="2" t="s">
        <v>48</v>
      </c>
      <c r="C689" s="2" t="s">
        <v>16</v>
      </c>
      <c r="D689" s="2">
        <v>30</v>
      </c>
      <c r="E689" s="3">
        <v>87283</v>
      </c>
      <c r="F689" s="2" t="s">
        <v>28</v>
      </c>
      <c r="G689" s="2" t="s">
        <v>23</v>
      </c>
      <c r="H689" t="str">
        <f t="shared" si="20"/>
        <v>BMW</v>
      </c>
      <c r="I689" t="str">
        <f t="shared" si="21"/>
        <v>Coupe</v>
      </c>
    </row>
    <row r="690" spans="1:9">
      <c r="A690" s="2">
        <v>689</v>
      </c>
      <c r="B690" s="2" t="s">
        <v>60</v>
      </c>
      <c r="C690" s="2" t="s">
        <v>8</v>
      </c>
      <c r="D690" s="2">
        <v>17</v>
      </c>
      <c r="E690" s="3">
        <v>54764</v>
      </c>
      <c r="F690" s="2" t="s">
        <v>25</v>
      </c>
      <c r="G690" s="2" t="s">
        <v>10</v>
      </c>
      <c r="H690" t="str">
        <f t="shared" si="20"/>
        <v>Ford</v>
      </c>
      <c r="I690" t="str">
        <f t="shared" si="21"/>
        <v>Convertible</v>
      </c>
    </row>
    <row r="691" spans="1:9">
      <c r="A691" s="2">
        <v>690</v>
      </c>
      <c r="B691" s="2" t="s">
        <v>30</v>
      </c>
      <c r="C691" s="2" t="s">
        <v>8</v>
      </c>
      <c r="D691" s="2">
        <v>8</v>
      </c>
      <c r="E691" s="3">
        <v>26048</v>
      </c>
      <c r="F691" s="2" t="s">
        <v>17</v>
      </c>
      <c r="G691" s="2" t="s">
        <v>29</v>
      </c>
      <c r="H691" t="str">
        <f t="shared" si="20"/>
        <v>Nissan</v>
      </c>
      <c r="I691" t="str">
        <f t="shared" si="21"/>
        <v>Coupe</v>
      </c>
    </row>
    <row r="692" spans="1:9">
      <c r="A692" s="2">
        <v>691</v>
      </c>
      <c r="B692" s="2" t="s">
        <v>52</v>
      </c>
      <c r="C692" s="2" t="s">
        <v>12</v>
      </c>
      <c r="D692" s="2">
        <v>6</v>
      </c>
      <c r="E692" s="3">
        <v>61933</v>
      </c>
      <c r="F692" s="2" t="s">
        <v>9</v>
      </c>
      <c r="G692" s="2" t="s">
        <v>26</v>
      </c>
      <c r="H692" t="str">
        <f t="shared" si="20"/>
        <v>BMW</v>
      </c>
      <c r="I692" t="str">
        <f t="shared" si="21"/>
        <v>Hatchback</v>
      </c>
    </row>
    <row r="693" spans="1:9">
      <c r="A693" s="2">
        <v>692</v>
      </c>
      <c r="B693" s="2" t="s">
        <v>11</v>
      </c>
      <c r="C693" s="2" t="s">
        <v>12</v>
      </c>
      <c r="D693" s="2">
        <v>11</v>
      </c>
      <c r="E693" s="3">
        <v>94774</v>
      </c>
      <c r="F693" s="2" t="s">
        <v>25</v>
      </c>
      <c r="G693" s="2" t="s">
        <v>10</v>
      </c>
      <c r="H693" t="str">
        <f t="shared" si="20"/>
        <v>Toyota</v>
      </c>
      <c r="I693" t="str">
        <f t="shared" si="21"/>
        <v>Hatchback</v>
      </c>
    </row>
    <row r="694" spans="1:9">
      <c r="A694" s="2">
        <v>693</v>
      </c>
      <c r="B694" s="2" t="s">
        <v>34</v>
      </c>
      <c r="C694" s="2" t="s">
        <v>8</v>
      </c>
      <c r="D694" s="2">
        <v>44</v>
      </c>
      <c r="E694" s="3">
        <v>68674</v>
      </c>
      <c r="F694" s="2" t="s">
        <v>9</v>
      </c>
      <c r="G694" s="2" t="s">
        <v>14</v>
      </c>
      <c r="H694" t="str">
        <f t="shared" si="20"/>
        <v>Audi</v>
      </c>
      <c r="I694" t="str">
        <f t="shared" si="21"/>
        <v>Coupe</v>
      </c>
    </row>
    <row r="695" spans="1:9">
      <c r="A695" s="2">
        <v>694</v>
      </c>
      <c r="B695" s="2" t="s">
        <v>84</v>
      </c>
      <c r="C695" s="2" t="s">
        <v>8</v>
      </c>
      <c r="D695" s="2">
        <v>20</v>
      </c>
      <c r="E695" s="3">
        <v>67227</v>
      </c>
      <c r="F695" s="2" t="s">
        <v>38</v>
      </c>
      <c r="G695" s="2" t="s">
        <v>29</v>
      </c>
      <c r="H695" t="str">
        <f t="shared" si="20"/>
        <v>Hyundai</v>
      </c>
      <c r="I695" t="str">
        <f t="shared" si="21"/>
        <v>Truck</v>
      </c>
    </row>
    <row r="696" spans="1:9">
      <c r="A696" s="2">
        <v>695</v>
      </c>
      <c r="B696" s="2" t="s">
        <v>65</v>
      </c>
      <c r="C696" s="2" t="s">
        <v>8</v>
      </c>
      <c r="D696" s="2">
        <v>46</v>
      </c>
      <c r="E696" s="3">
        <v>68037</v>
      </c>
      <c r="F696" s="2" t="s">
        <v>32</v>
      </c>
      <c r="G696" s="2" t="s">
        <v>23</v>
      </c>
      <c r="H696" t="str">
        <f t="shared" si="20"/>
        <v>Ford</v>
      </c>
      <c r="I696" t="str">
        <f t="shared" si="21"/>
        <v>Sedan</v>
      </c>
    </row>
    <row r="697" spans="1:9">
      <c r="A697" s="2">
        <v>696</v>
      </c>
      <c r="B697" s="2" t="s">
        <v>34</v>
      </c>
      <c r="C697" s="2" t="s">
        <v>8</v>
      </c>
      <c r="D697" s="2">
        <v>45</v>
      </c>
      <c r="E697" s="3">
        <v>58113</v>
      </c>
      <c r="F697" s="2" t="s">
        <v>32</v>
      </c>
      <c r="G697" s="2" t="s">
        <v>10</v>
      </c>
      <c r="H697" t="str">
        <f t="shared" si="20"/>
        <v>Audi</v>
      </c>
      <c r="I697" t="str">
        <f t="shared" si="21"/>
        <v>Coupe</v>
      </c>
    </row>
    <row r="698" spans="1:9">
      <c r="A698" s="2">
        <v>697</v>
      </c>
      <c r="B698" s="2" t="s">
        <v>67</v>
      </c>
      <c r="C698" s="2" t="s">
        <v>12</v>
      </c>
      <c r="D698" s="2">
        <v>39</v>
      </c>
      <c r="E698" s="3">
        <v>40966</v>
      </c>
      <c r="F698" s="2" t="s">
        <v>17</v>
      </c>
      <c r="G698" s="2" t="s">
        <v>29</v>
      </c>
      <c r="H698" t="str">
        <f t="shared" si="20"/>
        <v>BMW</v>
      </c>
      <c r="I698" t="str">
        <f t="shared" si="21"/>
        <v>Sedan</v>
      </c>
    </row>
    <row r="699" spans="1:9">
      <c r="A699" s="2">
        <v>698</v>
      </c>
      <c r="B699" s="2" t="s">
        <v>84</v>
      </c>
      <c r="C699" s="2" t="s">
        <v>12</v>
      </c>
      <c r="D699" s="2">
        <v>3</v>
      </c>
      <c r="E699" s="3">
        <v>36899</v>
      </c>
      <c r="F699" s="2" t="s">
        <v>25</v>
      </c>
      <c r="G699" s="2" t="s">
        <v>23</v>
      </c>
      <c r="H699" t="str">
        <f t="shared" si="20"/>
        <v>Hyundai</v>
      </c>
      <c r="I699" t="str">
        <f t="shared" si="21"/>
        <v>Truck</v>
      </c>
    </row>
    <row r="700" spans="1:9">
      <c r="A700" s="2">
        <v>699</v>
      </c>
      <c r="B700" s="2" t="s">
        <v>91</v>
      </c>
      <c r="C700" s="2" t="s">
        <v>22</v>
      </c>
      <c r="D700" s="2">
        <v>14</v>
      </c>
      <c r="E700" s="3">
        <v>71117</v>
      </c>
      <c r="F700" s="2" t="s">
        <v>20</v>
      </c>
      <c r="G700" s="2" t="s">
        <v>26</v>
      </c>
      <c r="H700" t="str">
        <f t="shared" si="20"/>
        <v>Honda</v>
      </c>
      <c r="I700" t="str">
        <f t="shared" si="21"/>
        <v>SUV</v>
      </c>
    </row>
    <row r="701" spans="1:9">
      <c r="A701" s="2">
        <v>700</v>
      </c>
      <c r="B701" s="2" t="s">
        <v>47</v>
      </c>
      <c r="C701" s="2" t="s">
        <v>12</v>
      </c>
      <c r="D701" s="2">
        <v>21</v>
      </c>
      <c r="E701" s="3">
        <v>46269</v>
      </c>
      <c r="F701" s="2" t="s">
        <v>20</v>
      </c>
      <c r="G701" s="2" t="s">
        <v>14</v>
      </c>
      <c r="H701" t="str">
        <f t="shared" si="20"/>
        <v>Audi</v>
      </c>
      <c r="I701" t="str">
        <f t="shared" si="21"/>
        <v>Minivan</v>
      </c>
    </row>
    <row r="702" spans="1:9">
      <c r="A702" s="2">
        <v>701</v>
      </c>
      <c r="B702" s="2" t="s">
        <v>24</v>
      </c>
      <c r="C702" s="2" t="s">
        <v>8</v>
      </c>
      <c r="D702" s="2">
        <v>10</v>
      </c>
      <c r="E702" s="3">
        <v>33320</v>
      </c>
      <c r="F702" s="2" t="s">
        <v>38</v>
      </c>
      <c r="G702" s="2" t="s">
        <v>10</v>
      </c>
      <c r="H702" t="str">
        <f t="shared" si="20"/>
        <v>Honda</v>
      </c>
      <c r="I702" t="str">
        <f t="shared" si="21"/>
        <v>Convertible</v>
      </c>
    </row>
    <row r="703" spans="1:9">
      <c r="A703" s="2">
        <v>702</v>
      </c>
      <c r="B703" s="2" t="s">
        <v>30</v>
      </c>
      <c r="C703" s="2" t="s">
        <v>16</v>
      </c>
      <c r="D703" s="2">
        <v>6</v>
      </c>
      <c r="E703" s="3">
        <v>64977</v>
      </c>
      <c r="F703" s="2" t="s">
        <v>32</v>
      </c>
      <c r="G703" s="2" t="s">
        <v>26</v>
      </c>
      <c r="H703" t="str">
        <f t="shared" si="20"/>
        <v>Nissan</v>
      </c>
      <c r="I703" t="str">
        <f t="shared" si="21"/>
        <v>Coupe</v>
      </c>
    </row>
    <row r="704" spans="1:9">
      <c r="A704" s="2">
        <v>703</v>
      </c>
      <c r="B704" s="2" t="s">
        <v>62</v>
      </c>
      <c r="C704" s="2" t="s">
        <v>8</v>
      </c>
      <c r="D704" s="2">
        <v>46</v>
      </c>
      <c r="E704" s="3">
        <v>33685</v>
      </c>
      <c r="F704" s="2" t="s">
        <v>25</v>
      </c>
      <c r="G704" s="2" t="s">
        <v>18</v>
      </c>
      <c r="H704" t="str">
        <f t="shared" si="20"/>
        <v>Chevrolet</v>
      </c>
      <c r="I704" t="str">
        <f t="shared" si="21"/>
        <v>Minivan</v>
      </c>
    </row>
    <row r="705" spans="1:9">
      <c r="A705" s="2">
        <v>704</v>
      </c>
      <c r="B705" s="2" t="s">
        <v>93</v>
      </c>
      <c r="C705" s="2" t="s">
        <v>8</v>
      </c>
      <c r="D705" s="2">
        <v>16</v>
      </c>
      <c r="E705" s="3">
        <v>47510</v>
      </c>
      <c r="F705" s="2" t="s">
        <v>28</v>
      </c>
      <c r="G705" s="2" t="s">
        <v>14</v>
      </c>
      <c r="H705" t="str">
        <f t="shared" si="20"/>
        <v>Volkswagen</v>
      </c>
      <c r="I705" t="str">
        <f t="shared" si="21"/>
        <v>Hatchback</v>
      </c>
    </row>
    <row r="706" spans="1:9">
      <c r="A706" s="2">
        <v>705</v>
      </c>
      <c r="B706" s="2" t="s">
        <v>61</v>
      </c>
      <c r="C706" s="2" t="s">
        <v>12</v>
      </c>
      <c r="D706" s="2">
        <v>23</v>
      </c>
      <c r="E706" s="3">
        <v>60667</v>
      </c>
      <c r="F706" s="2" t="s">
        <v>38</v>
      </c>
      <c r="G706" s="2" t="s">
        <v>14</v>
      </c>
      <c r="H706" t="str">
        <f t="shared" si="20"/>
        <v>Nissan</v>
      </c>
      <c r="I706" t="str">
        <f t="shared" si="21"/>
        <v>Truck</v>
      </c>
    </row>
    <row r="707" spans="1:9">
      <c r="A707" s="2">
        <v>706</v>
      </c>
      <c r="B707" s="2" t="s">
        <v>94</v>
      </c>
      <c r="C707" s="2" t="s">
        <v>22</v>
      </c>
      <c r="D707" s="2">
        <v>26</v>
      </c>
      <c r="E707" s="3">
        <v>25142</v>
      </c>
      <c r="F707" s="2" t="s">
        <v>17</v>
      </c>
      <c r="G707" s="2" t="s">
        <v>14</v>
      </c>
      <c r="H707" t="str">
        <f t="shared" ref="H707:H770" si="22">LEFT(B707,FIND(",",B707)-1)</f>
        <v>Hyundai</v>
      </c>
      <c r="I707" t="str">
        <f t="shared" ref="I707:I770" si="23">TRIM(MID(B707,FIND(",",B707)+1,LEN(B707)))</f>
        <v>Sedan</v>
      </c>
    </row>
    <row r="708" spans="1:9">
      <c r="A708" s="2">
        <v>707</v>
      </c>
      <c r="B708" s="2" t="s">
        <v>56</v>
      </c>
      <c r="C708" s="2" t="s">
        <v>16</v>
      </c>
      <c r="D708" s="2">
        <v>33</v>
      </c>
      <c r="E708" s="3">
        <v>86382</v>
      </c>
      <c r="F708" s="2" t="s">
        <v>20</v>
      </c>
      <c r="G708" s="2" t="s">
        <v>14</v>
      </c>
      <c r="H708" t="str">
        <f t="shared" si="22"/>
        <v>Hyundai</v>
      </c>
      <c r="I708" t="str">
        <f t="shared" si="23"/>
        <v>Coupe</v>
      </c>
    </row>
    <row r="709" spans="1:9">
      <c r="A709" s="2">
        <v>708</v>
      </c>
      <c r="B709" s="2" t="s">
        <v>47</v>
      </c>
      <c r="C709" s="2" t="s">
        <v>16</v>
      </c>
      <c r="D709" s="2">
        <v>4</v>
      </c>
      <c r="E709" s="3">
        <v>39574</v>
      </c>
      <c r="F709" s="2" t="s">
        <v>28</v>
      </c>
      <c r="G709" s="2" t="s">
        <v>23</v>
      </c>
      <c r="H709" t="str">
        <f t="shared" si="22"/>
        <v>Audi</v>
      </c>
      <c r="I709" t="str">
        <f t="shared" si="23"/>
        <v>Minivan</v>
      </c>
    </row>
    <row r="710" spans="1:9">
      <c r="A710" s="2">
        <v>709</v>
      </c>
      <c r="B710" s="2" t="s">
        <v>63</v>
      </c>
      <c r="C710" s="2" t="s">
        <v>22</v>
      </c>
      <c r="D710" s="2">
        <v>44</v>
      </c>
      <c r="E710" s="3">
        <v>35981</v>
      </c>
      <c r="F710" s="2" t="s">
        <v>9</v>
      </c>
      <c r="G710" s="2" t="s">
        <v>26</v>
      </c>
      <c r="H710" t="str">
        <f t="shared" si="22"/>
        <v>Volkswagen</v>
      </c>
      <c r="I710" t="str">
        <f t="shared" si="23"/>
        <v>Sedan</v>
      </c>
    </row>
    <row r="711" spans="1:9">
      <c r="A711" s="2">
        <v>710</v>
      </c>
      <c r="B711" s="2" t="s">
        <v>86</v>
      </c>
      <c r="C711" s="2" t="s">
        <v>8</v>
      </c>
      <c r="D711" s="2">
        <v>20</v>
      </c>
      <c r="E711" s="3">
        <v>60846</v>
      </c>
      <c r="F711" s="2" t="s">
        <v>9</v>
      </c>
      <c r="G711" s="2" t="s">
        <v>18</v>
      </c>
      <c r="H711" t="str">
        <f t="shared" si="22"/>
        <v>Chevrolet</v>
      </c>
      <c r="I711" t="str">
        <f t="shared" si="23"/>
        <v>SUV</v>
      </c>
    </row>
    <row r="712" spans="1:9">
      <c r="A712" s="2">
        <v>711</v>
      </c>
      <c r="B712" s="2" t="s">
        <v>48</v>
      </c>
      <c r="C712" s="2" t="s">
        <v>12</v>
      </c>
      <c r="D712" s="2">
        <v>17</v>
      </c>
      <c r="E712" s="3">
        <v>97067</v>
      </c>
      <c r="F712" s="2" t="s">
        <v>38</v>
      </c>
      <c r="G712" s="2" t="s">
        <v>10</v>
      </c>
      <c r="H712" t="str">
        <f t="shared" si="22"/>
        <v>BMW</v>
      </c>
      <c r="I712" t="str">
        <f t="shared" si="23"/>
        <v>Coupe</v>
      </c>
    </row>
    <row r="713" spans="1:9">
      <c r="A713" s="2">
        <v>712</v>
      </c>
      <c r="B713" s="2" t="s">
        <v>21</v>
      </c>
      <c r="C713" s="2" t="s">
        <v>8</v>
      </c>
      <c r="D713" s="2">
        <v>12</v>
      </c>
      <c r="E713" s="3">
        <v>72575</v>
      </c>
      <c r="F713" s="2" t="s">
        <v>17</v>
      </c>
      <c r="G713" s="2" t="s">
        <v>14</v>
      </c>
      <c r="H713" t="str">
        <f t="shared" si="22"/>
        <v>Tesla</v>
      </c>
      <c r="I713" t="str">
        <f t="shared" si="23"/>
        <v>Convertible</v>
      </c>
    </row>
    <row r="714" spans="1:9">
      <c r="A714" s="2">
        <v>713</v>
      </c>
      <c r="B714" s="2" t="s">
        <v>51</v>
      </c>
      <c r="C714" s="2" t="s">
        <v>16</v>
      </c>
      <c r="D714" s="2">
        <v>2</v>
      </c>
      <c r="E714" s="3">
        <v>53446</v>
      </c>
      <c r="F714" s="2" t="s">
        <v>32</v>
      </c>
      <c r="G714" s="2" t="s">
        <v>10</v>
      </c>
      <c r="H714" t="str">
        <f t="shared" si="22"/>
        <v>Ford</v>
      </c>
      <c r="I714" t="str">
        <f t="shared" si="23"/>
        <v>Coupe</v>
      </c>
    </row>
    <row r="715" spans="1:9">
      <c r="A715" s="2">
        <v>714</v>
      </c>
      <c r="B715" s="2" t="s">
        <v>70</v>
      </c>
      <c r="C715" s="2" t="s">
        <v>16</v>
      </c>
      <c r="D715" s="2">
        <v>26</v>
      </c>
      <c r="E715" s="3">
        <v>73658</v>
      </c>
      <c r="F715" s="2" t="s">
        <v>32</v>
      </c>
      <c r="G715" s="2" t="s">
        <v>29</v>
      </c>
      <c r="H715" t="str">
        <f t="shared" si="22"/>
        <v>Chevrolet</v>
      </c>
      <c r="I715" t="str">
        <f t="shared" si="23"/>
        <v>Convertible</v>
      </c>
    </row>
    <row r="716" spans="1:9">
      <c r="A716" s="2">
        <v>715</v>
      </c>
      <c r="B716" s="2" t="s">
        <v>94</v>
      </c>
      <c r="C716" s="2" t="s">
        <v>8</v>
      </c>
      <c r="D716" s="2">
        <v>29</v>
      </c>
      <c r="E716" s="3">
        <v>67188</v>
      </c>
      <c r="F716" s="2" t="s">
        <v>32</v>
      </c>
      <c r="G716" s="2" t="s">
        <v>26</v>
      </c>
      <c r="H716" t="str">
        <f t="shared" si="22"/>
        <v>Hyundai</v>
      </c>
      <c r="I716" t="str">
        <f t="shared" si="23"/>
        <v>Sedan</v>
      </c>
    </row>
    <row r="717" spans="1:9">
      <c r="A717" s="2">
        <v>716</v>
      </c>
      <c r="B717" s="2" t="s">
        <v>64</v>
      </c>
      <c r="C717" s="2" t="s">
        <v>16</v>
      </c>
      <c r="D717" s="2">
        <v>36</v>
      </c>
      <c r="E717" s="3">
        <v>52939</v>
      </c>
      <c r="F717" s="2" t="s">
        <v>28</v>
      </c>
      <c r="G717" s="2" t="s">
        <v>26</v>
      </c>
      <c r="H717" t="str">
        <f t="shared" si="22"/>
        <v>Tesla</v>
      </c>
      <c r="I717" t="str">
        <f t="shared" si="23"/>
        <v>Coupe</v>
      </c>
    </row>
    <row r="718" spans="1:9">
      <c r="A718" s="2">
        <v>717</v>
      </c>
      <c r="B718" s="2" t="s">
        <v>73</v>
      </c>
      <c r="C718" s="2" t="s">
        <v>12</v>
      </c>
      <c r="D718" s="2">
        <v>48</v>
      </c>
      <c r="E718" s="3">
        <v>45150</v>
      </c>
      <c r="F718" s="2" t="s">
        <v>9</v>
      </c>
      <c r="G718" s="2" t="s">
        <v>14</v>
      </c>
      <c r="H718" t="str">
        <f t="shared" si="22"/>
        <v>Hyundai</v>
      </c>
      <c r="I718" t="str">
        <f t="shared" si="23"/>
        <v>Minivan</v>
      </c>
    </row>
    <row r="719" spans="1:9">
      <c r="A719" s="2">
        <v>718</v>
      </c>
      <c r="B719" s="2" t="s">
        <v>90</v>
      </c>
      <c r="C719" s="2" t="s">
        <v>16</v>
      </c>
      <c r="D719" s="2">
        <v>36</v>
      </c>
      <c r="E719" s="3">
        <v>99948</v>
      </c>
      <c r="F719" s="2" t="s">
        <v>25</v>
      </c>
      <c r="G719" s="2" t="s">
        <v>14</v>
      </c>
      <c r="H719" t="str">
        <f t="shared" si="22"/>
        <v>Volkswagen</v>
      </c>
      <c r="I719" t="str">
        <f t="shared" si="23"/>
        <v>Truck</v>
      </c>
    </row>
    <row r="720" spans="1:9">
      <c r="A720" s="2">
        <v>719</v>
      </c>
      <c r="B720" s="2" t="s">
        <v>93</v>
      </c>
      <c r="C720" s="2" t="s">
        <v>12</v>
      </c>
      <c r="D720" s="2">
        <v>16</v>
      </c>
      <c r="E720" s="3">
        <v>29467</v>
      </c>
      <c r="F720" s="2" t="s">
        <v>38</v>
      </c>
      <c r="G720" s="2" t="s">
        <v>26</v>
      </c>
      <c r="H720" t="str">
        <f t="shared" si="22"/>
        <v>Volkswagen</v>
      </c>
      <c r="I720" t="str">
        <f t="shared" si="23"/>
        <v>Hatchback</v>
      </c>
    </row>
    <row r="721" spans="1:9">
      <c r="A721" s="2">
        <v>720</v>
      </c>
      <c r="B721" s="2" t="s">
        <v>79</v>
      </c>
      <c r="C721" s="2" t="s">
        <v>8</v>
      </c>
      <c r="D721" s="2">
        <v>7</v>
      </c>
      <c r="E721" s="3">
        <v>45959</v>
      </c>
      <c r="F721" s="2" t="s">
        <v>13</v>
      </c>
      <c r="G721" s="2" t="s">
        <v>10</v>
      </c>
      <c r="H721" t="str">
        <f t="shared" si="22"/>
        <v>Audi</v>
      </c>
      <c r="I721" t="str">
        <f t="shared" si="23"/>
        <v>Truck</v>
      </c>
    </row>
    <row r="722" spans="1:9">
      <c r="A722" s="2">
        <v>721</v>
      </c>
      <c r="B722" s="2" t="s">
        <v>77</v>
      </c>
      <c r="C722" s="2" t="s">
        <v>8</v>
      </c>
      <c r="D722" s="2">
        <v>30</v>
      </c>
      <c r="E722" s="3">
        <v>91618</v>
      </c>
      <c r="F722" s="2" t="s">
        <v>38</v>
      </c>
      <c r="G722" s="2" t="s">
        <v>18</v>
      </c>
      <c r="H722" t="str">
        <f t="shared" si="22"/>
        <v>BMW</v>
      </c>
      <c r="I722" t="str">
        <f t="shared" si="23"/>
        <v>SUV</v>
      </c>
    </row>
    <row r="723" spans="1:9">
      <c r="A723" s="2">
        <v>722</v>
      </c>
      <c r="B723" s="2" t="s">
        <v>89</v>
      </c>
      <c r="C723" s="2" t="s">
        <v>12</v>
      </c>
      <c r="D723" s="2">
        <v>7</v>
      </c>
      <c r="E723" s="3">
        <v>75196</v>
      </c>
      <c r="F723" s="2" t="s">
        <v>28</v>
      </c>
      <c r="G723" s="2" t="s">
        <v>29</v>
      </c>
      <c r="H723" t="str">
        <f t="shared" si="22"/>
        <v>Toyota</v>
      </c>
      <c r="I723" t="str">
        <f t="shared" si="23"/>
        <v>Truck</v>
      </c>
    </row>
    <row r="724" spans="1:9">
      <c r="A724" s="2">
        <v>723</v>
      </c>
      <c r="B724" s="2" t="s">
        <v>73</v>
      </c>
      <c r="C724" s="2" t="s">
        <v>12</v>
      </c>
      <c r="D724" s="2">
        <v>9</v>
      </c>
      <c r="E724" s="3">
        <v>88321</v>
      </c>
      <c r="F724" s="2" t="s">
        <v>25</v>
      </c>
      <c r="G724" s="2" t="s">
        <v>26</v>
      </c>
      <c r="H724" t="str">
        <f t="shared" si="22"/>
        <v>Hyundai</v>
      </c>
      <c r="I724" t="str">
        <f t="shared" si="23"/>
        <v>Minivan</v>
      </c>
    </row>
    <row r="725" spans="1:9">
      <c r="A725" s="2">
        <v>724</v>
      </c>
      <c r="B725" s="2" t="s">
        <v>77</v>
      </c>
      <c r="C725" s="2" t="s">
        <v>12</v>
      </c>
      <c r="D725" s="2">
        <v>8</v>
      </c>
      <c r="E725" s="3">
        <v>44166</v>
      </c>
      <c r="F725" s="2" t="s">
        <v>38</v>
      </c>
      <c r="G725" s="2" t="s">
        <v>18</v>
      </c>
      <c r="H725" t="str">
        <f t="shared" si="22"/>
        <v>BMW</v>
      </c>
      <c r="I725" t="str">
        <f t="shared" si="23"/>
        <v>SUV</v>
      </c>
    </row>
    <row r="726" spans="1:9">
      <c r="A726" s="2">
        <v>725</v>
      </c>
      <c r="B726" s="2" t="s">
        <v>83</v>
      </c>
      <c r="C726" s="2" t="s">
        <v>16</v>
      </c>
      <c r="D726" s="2">
        <v>1</v>
      </c>
      <c r="E726" s="3">
        <v>33462</v>
      </c>
      <c r="F726" s="2" t="s">
        <v>28</v>
      </c>
      <c r="G726" s="2" t="s">
        <v>10</v>
      </c>
      <c r="H726" t="str">
        <f t="shared" si="22"/>
        <v>Honda</v>
      </c>
      <c r="I726" t="str">
        <f t="shared" si="23"/>
        <v>Sedan</v>
      </c>
    </row>
    <row r="727" spans="1:9">
      <c r="A727" s="2">
        <v>726</v>
      </c>
      <c r="B727" s="2" t="s">
        <v>88</v>
      </c>
      <c r="C727" s="2" t="s">
        <v>8</v>
      </c>
      <c r="D727" s="2">
        <v>4</v>
      </c>
      <c r="E727" s="3">
        <v>37436</v>
      </c>
      <c r="F727" s="2" t="s">
        <v>32</v>
      </c>
      <c r="G727" s="2" t="s">
        <v>23</v>
      </c>
      <c r="H727" t="str">
        <f t="shared" si="22"/>
        <v>Hyundai</v>
      </c>
      <c r="I727" t="str">
        <f t="shared" si="23"/>
        <v>Convertible</v>
      </c>
    </row>
    <row r="728" spans="1:9">
      <c r="A728" s="2">
        <v>727</v>
      </c>
      <c r="B728" s="2" t="s">
        <v>42</v>
      </c>
      <c r="C728" s="2" t="s">
        <v>16</v>
      </c>
      <c r="D728" s="2">
        <v>50</v>
      </c>
      <c r="E728" s="3">
        <v>57618</v>
      </c>
      <c r="F728" s="2" t="s">
        <v>28</v>
      </c>
      <c r="G728" s="2" t="s">
        <v>14</v>
      </c>
      <c r="H728" t="str">
        <f t="shared" si="22"/>
        <v>Tesla</v>
      </c>
      <c r="I728" t="str">
        <f t="shared" si="23"/>
        <v>Hatchback</v>
      </c>
    </row>
    <row r="729" spans="1:9">
      <c r="A729" s="2">
        <v>728</v>
      </c>
      <c r="B729" s="2" t="s">
        <v>67</v>
      </c>
      <c r="C729" s="2" t="s">
        <v>16</v>
      </c>
      <c r="D729" s="2">
        <v>15</v>
      </c>
      <c r="E729" s="3">
        <v>71659</v>
      </c>
      <c r="F729" s="2" t="s">
        <v>38</v>
      </c>
      <c r="G729" s="2" t="s">
        <v>23</v>
      </c>
      <c r="H729" t="str">
        <f t="shared" si="22"/>
        <v>BMW</v>
      </c>
      <c r="I729" t="str">
        <f t="shared" si="23"/>
        <v>Sedan</v>
      </c>
    </row>
    <row r="730" spans="1:9">
      <c r="A730" s="2">
        <v>729</v>
      </c>
      <c r="B730" s="2" t="s">
        <v>70</v>
      </c>
      <c r="C730" s="2" t="s">
        <v>12</v>
      </c>
      <c r="D730" s="2">
        <v>9</v>
      </c>
      <c r="E730" s="3">
        <v>28355</v>
      </c>
      <c r="F730" s="2" t="s">
        <v>9</v>
      </c>
      <c r="G730" s="2" t="s">
        <v>26</v>
      </c>
      <c r="H730" t="str">
        <f t="shared" si="22"/>
        <v>Chevrolet</v>
      </c>
      <c r="I730" t="str">
        <f t="shared" si="23"/>
        <v>Convertible</v>
      </c>
    </row>
    <row r="731" spans="1:9">
      <c r="A731" s="2">
        <v>730</v>
      </c>
      <c r="B731" s="2" t="s">
        <v>92</v>
      </c>
      <c r="C731" s="2" t="s">
        <v>16</v>
      </c>
      <c r="D731" s="2">
        <v>13</v>
      </c>
      <c r="E731" s="3">
        <v>26655</v>
      </c>
      <c r="F731" s="2" t="s">
        <v>38</v>
      </c>
      <c r="G731" s="2" t="s">
        <v>10</v>
      </c>
      <c r="H731" t="str">
        <f t="shared" si="22"/>
        <v>BMW</v>
      </c>
      <c r="I731" t="str">
        <f t="shared" si="23"/>
        <v>Convertible</v>
      </c>
    </row>
    <row r="732" spans="1:9">
      <c r="A732" s="2">
        <v>731</v>
      </c>
      <c r="B732" s="2" t="s">
        <v>86</v>
      </c>
      <c r="C732" s="2" t="s">
        <v>22</v>
      </c>
      <c r="D732" s="2">
        <v>26</v>
      </c>
      <c r="E732" s="3">
        <v>75072</v>
      </c>
      <c r="F732" s="2" t="s">
        <v>20</v>
      </c>
      <c r="G732" s="2" t="s">
        <v>10</v>
      </c>
      <c r="H732" t="str">
        <f t="shared" si="22"/>
        <v>Chevrolet</v>
      </c>
      <c r="I732" t="str">
        <f t="shared" si="23"/>
        <v>SUV</v>
      </c>
    </row>
    <row r="733" spans="1:9">
      <c r="A733" s="2">
        <v>732</v>
      </c>
      <c r="B733" s="2" t="s">
        <v>54</v>
      </c>
      <c r="C733" s="2" t="s">
        <v>22</v>
      </c>
      <c r="D733" s="2">
        <v>24</v>
      </c>
      <c r="E733" s="3">
        <v>80603</v>
      </c>
      <c r="F733" s="2" t="s">
        <v>13</v>
      </c>
      <c r="G733" s="2" t="s">
        <v>10</v>
      </c>
      <c r="H733" t="str">
        <f t="shared" si="22"/>
        <v>Volkswagen</v>
      </c>
      <c r="I733" t="str">
        <f t="shared" si="23"/>
        <v>Minivan</v>
      </c>
    </row>
    <row r="734" spans="1:9">
      <c r="A734" s="2">
        <v>733</v>
      </c>
      <c r="B734" s="2" t="s">
        <v>15</v>
      </c>
      <c r="C734" s="2" t="s">
        <v>22</v>
      </c>
      <c r="D734" s="2">
        <v>44</v>
      </c>
      <c r="E734" s="3">
        <v>87206</v>
      </c>
      <c r="F734" s="2" t="s">
        <v>28</v>
      </c>
      <c r="G734" s="2" t="s">
        <v>10</v>
      </c>
      <c r="H734" t="str">
        <f t="shared" si="22"/>
        <v>Chevrolet</v>
      </c>
      <c r="I734" t="str">
        <f t="shared" si="23"/>
        <v>Truck</v>
      </c>
    </row>
    <row r="735" spans="1:9">
      <c r="A735" s="2">
        <v>734</v>
      </c>
      <c r="B735" s="2" t="s">
        <v>61</v>
      </c>
      <c r="C735" s="2" t="s">
        <v>22</v>
      </c>
      <c r="D735" s="2">
        <v>41</v>
      </c>
      <c r="E735" s="3">
        <v>33067</v>
      </c>
      <c r="F735" s="2" t="s">
        <v>17</v>
      </c>
      <c r="G735" s="2" t="s">
        <v>26</v>
      </c>
      <c r="H735" t="str">
        <f t="shared" si="22"/>
        <v>Nissan</v>
      </c>
      <c r="I735" t="str">
        <f t="shared" si="23"/>
        <v>Truck</v>
      </c>
    </row>
    <row r="736" spans="1:9">
      <c r="A736" s="2">
        <v>735</v>
      </c>
      <c r="B736" s="2" t="s">
        <v>11</v>
      </c>
      <c r="C736" s="2" t="s">
        <v>22</v>
      </c>
      <c r="D736" s="2">
        <v>42</v>
      </c>
      <c r="E736" s="3">
        <v>39973</v>
      </c>
      <c r="F736" s="2" t="s">
        <v>20</v>
      </c>
      <c r="G736" s="2" t="s">
        <v>14</v>
      </c>
      <c r="H736" t="str">
        <f t="shared" si="22"/>
        <v>Toyota</v>
      </c>
      <c r="I736" t="str">
        <f t="shared" si="23"/>
        <v>Hatchback</v>
      </c>
    </row>
    <row r="737" spans="1:9">
      <c r="A737" s="2">
        <v>736</v>
      </c>
      <c r="B737" s="2" t="s">
        <v>39</v>
      </c>
      <c r="C737" s="2" t="s">
        <v>12</v>
      </c>
      <c r="D737" s="2">
        <v>6</v>
      </c>
      <c r="E737" s="3">
        <v>56984</v>
      </c>
      <c r="F737" s="2" t="s">
        <v>38</v>
      </c>
      <c r="G737" s="2" t="s">
        <v>23</v>
      </c>
      <c r="H737" t="str">
        <f t="shared" si="22"/>
        <v>Nissan</v>
      </c>
      <c r="I737" t="str">
        <f t="shared" si="23"/>
        <v>Minivan</v>
      </c>
    </row>
    <row r="738" spans="1:9">
      <c r="A738" s="2">
        <v>737</v>
      </c>
      <c r="B738" s="2" t="s">
        <v>42</v>
      </c>
      <c r="C738" s="2" t="s">
        <v>16</v>
      </c>
      <c r="D738" s="2">
        <v>38</v>
      </c>
      <c r="E738" s="3">
        <v>55043</v>
      </c>
      <c r="F738" s="2" t="s">
        <v>28</v>
      </c>
      <c r="G738" s="2" t="s">
        <v>29</v>
      </c>
      <c r="H738" t="str">
        <f t="shared" si="22"/>
        <v>Tesla</v>
      </c>
      <c r="I738" t="str">
        <f t="shared" si="23"/>
        <v>Hatchback</v>
      </c>
    </row>
    <row r="739" spans="1:9">
      <c r="A739" s="2">
        <v>738</v>
      </c>
      <c r="B739" s="2" t="s">
        <v>31</v>
      </c>
      <c r="C739" s="2" t="s">
        <v>16</v>
      </c>
      <c r="D739" s="2">
        <v>38</v>
      </c>
      <c r="E739" s="3">
        <v>92323</v>
      </c>
      <c r="F739" s="2" t="s">
        <v>13</v>
      </c>
      <c r="G739" s="2" t="s">
        <v>14</v>
      </c>
      <c r="H739" t="str">
        <f t="shared" si="22"/>
        <v>Ford</v>
      </c>
      <c r="I739" t="str">
        <f t="shared" si="23"/>
        <v>Minivan</v>
      </c>
    </row>
    <row r="740" spans="1:9">
      <c r="A740" s="2">
        <v>739</v>
      </c>
      <c r="B740" s="2" t="s">
        <v>66</v>
      </c>
      <c r="C740" s="2" t="s">
        <v>22</v>
      </c>
      <c r="D740" s="2">
        <v>17</v>
      </c>
      <c r="E740" s="3">
        <v>50443</v>
      </c>
      <c r="F740" s="2" t="s">
        <v>32</v>
      </c>
      <c r="G740" s="2" t="s">
        <v>10</v>
      </c>
      <c r="H740" t="str">
        <f t="shared" si="22"/>
        <v>Tesla</v>
      </c>
      <c r="I740" t="str">
        <f t="shared" si="23"/>
        <v>SUV</v>
      </c>
    </row>
    <row r="741" spans="1:9">
      <c r="A741" s="2">
        <v>740</v>
      </c>
      <c r="B741" s="2" t="s">
        <v>41</v>
      </c>
      <c r="C741" s="2" t="s">
        <v>16</v>
      </c>
      <c r="D741" s="2">
        <v>5</v>
      </c>
      <c r="E741" s="3">
        <v>36790</v>
      </c>
      <c r="F741" s="2" t="s">
        <v>13</v>
      </c>
      <c r="G741" s="2" t="s">
        <v>26</v>
      </c>
      <c r="H741" t="str">
        <f t="shared" si="22"/>
        <v>Audi</v>
      </c>
      <c r="I741" t="str">
        <f t="shared" si="23"/>
        <v>SUV</v>
      </c>
    </row>
    <row r="742" spans="1:9">
      <c r="A742" s="2">
        <v>741</v>
      </c>
      <c r="B742" s="2" t="s">
        <v>94</v>
      </c>
      <c r="C742" s="2" t="s">
        <v>22</v>
      </c>
      <c r="D742" s="2">
        <v>2</v>
      </c>
      <c r="E742" s="3">
        <v>53377</v>
      </c>
      <c r="F742" s="2" t="s">
        <v>20</v>
      </c>
      <c r="G742" s="2" t="s">
        <v>10</v>
      </c>
      <c r="H742" t="str">
        <f t="shared" si="22"/>
        <v>Hyundai</v>
      </c>
      <c r="I742" t="str">
        <f t="shared" si="23"/>
        <v>Sedan</v>
      </c>
    </row>
    <row r="743" spans="1:9">
      <c r="A743" s="2">
        <v>742</v>
      </c>
      <c r="B743" s="2" t="s">
        <v>87</v>
      </c>
      <c r="C743" s="2" t="s">
        <v>16</v>
      </c>
      <c r="D743" s="2">
        <v>5</v>
      </c>
      <c r="E743" s="3">
        <v>79403</v>
      </c>
      <c r="F743" s="2" t="s">
        <v>17</v>
      </c>
      <c r="G743" s="2" t="s">
        <v>14</v>
      </c>
      <c r="H743" t="str">
        <f t="shared" si="22"/>
        <v>Nissan</v>
      </c>
      <c r="I743" t="str">
        <f t="shared" si="23"/>
        <v>SUV</v>
      </c>
    </row>
    <row r="744" spans="1:9">
      <c r="A744" s="2">
        <v>743</v>
      </c>
      <c r="B744" s="2" t="s">
        <v>37</v>
      </c>
      <c r="C744" s="2" t="s">
        <v>12</v>
      </c>
      <c r="D744" s="2">
        <v>13</v>
      </c>
      <c r="E744" s="3">
        <v>75684</v>
      </c>
      <c r="F744" s="2" t="s">
        <v>9</v>
      </c>
      <c r="G744" s="2" t="s">
        <v>23</v>
      </c>
      <c r="H744" t="str">
        <f t="shared" si="22"/>
        <v>Tesla</v>
      </c>
      <c r="I744" t="str">
        <f t="shared" si="23"/>
        <v>Truck</v>
      </c>
    </row>
    <row r="745" spans="1:9">
      <c r="A745" s="2">
        <v>744</v>
      </c>
      <c r="B745" s="2" t="s">
        <v>43</v>
      </c>
      <c r="C745" s="2" t="s">
        <v>8</v>
      </c>
      <c r="D745" s="2">
        <v>42</v>
      </c>
      <c r="E745" s="3">
        <v>49608</v>
      </c>
      <c r="F745" s="2" t="s">
        <v>20</v>
      </c>
      <c r="G745" s="2" t="s">
        <v>23</v>
      </c>
      <c r="H745" t="str">
        <f t="shared" si="22"/>
        <v>Hyundai</v>
      </c>
      <c r="I745" t="str">
        <f t="shared" si="23"/>
        <v>SUV</v>
      </c>
    </row>
    <row r="746" spans="1:9">
      <c r="A746" s="2">
        <v>745</v>
      </c>
      <c r="B746" s="2" t="s">
        <v>43</v>
      </c>
      <c r="C746" s="2" t="s">
        <v>22</v>
      </c>
      <c r="D746" s="2">
        <v>29</v>
      </c>
      <c r="E746" s="3">
        <v>31609</v>
      </c>
      <c r="F746" s="2" t="s">
        <v>25</v>
      </c>
      <c r="G746" s="2" t="s">
        <v>18</v>
      </c>
      <c r="H746" t="str">
        <f t="shared" si="22"/>
        <v>Hyundai</v>
      </c>
      <c r="I746" t="str">
        <f t="shared" si="23"/>
        <v>SUV</v>
      </c>
    </row>
    <row r="747" spans="1:9">
      <c r="A747" s="2">
        <v>746</v>
      </c>
      <c r="B747" s="2" t="s">
        <v>88</v>
      </c>
      <c r="C747" s="2" t="s">
        <v>12</v>
      </c>
      <c r="D747" s="2">
        <v>9</v>
      </c>
      <c r="E747" s="3">
        <v>77229</v>
      </c>
      <c r="F747" s="2" t="s">
        <v>32</v>
      </c>
      <c r="G747" s="2" t="s">
        <v>18</v>
      </c>
      <c r="H747" t="str">
        <f t="shared" si="22"/>
        <v>Hyundai</v>
      </c>
      <c r="I747" t="str">
        <f t="shared" si="23"/>
        <v>Convertible</v>
      </c>
    </row>
    <row r="748" spans="1:9">
      <c r="A748" s="2">
        <v>747</v>
      </c>
      <c r="B748" s="2" t="s">
        <v>45</v>
      </c>
      <c r="C748" s="2" t="s">
        <v>12</v>
      </c>
      <c r="D748" s="2">
        <v>6</v>
      </c>
      <c r="E748" s="3">
        <v>78859</v>
      </c>
      <c r="F748" s="2" t="s">
        <v>9</v>
      </c>
      <c r="G748" s="2" t="s">
        <v>26</v>
      </c>
      <c r="H748" t="str">
        <f t="shared" si="22"/>
        <v>Toyota</v>
      </c>
      <c r="I748" t="str">
        <f t="shared" si="23"/>
        <v>SUV</v>
      </c>
    </row>
    <row r="749" spans="1:9">
      <c r="A749" s="2">
        <v>748</v>
      </c>
      <c r="B749" s="2" t="s">
        <v>31</v>
      </c>
      <c r="C749" s="2" t="s">
        <v>22</v>
      </c>
      <c r="D749" s="2">
        <v>22</v>
      </c>
      <c r="E749" s="3">
        <v>30846</v>
      </c>
      <c r="F749" s="2" t="s">
        <v>38</v>
      </c>
      <c r="G749" s="2" t="s">
        <v>18</v>
      </c>
      <c r="H749" t="str">
        <f t="shared" si="22"/>
        <v>Ford</v>
      </c>
      <c r="I749" t="str">
        <f t="shared" si="23"/>
        <v>Minivan</v>
      </c>
    </row>
    <row r="750" spans="1:9">
      <c r="A750" s="2">
        <v>749</v>
      </c>
      <c r="B750" s="2" t="s">
        <v>62</v>
      </c>
      <c r="C750" s="2" t="s">
        <v>22</v>
      </c>
      <c r="D750" s="2">
        <v>8</v>
      </c>
      <c r="E750" s="3">
        <v>44187</v>
      </c>
      <c r="F750" s="2" t="s">
        <v>38</v>
      </c>
      <c r="G750" s="2" t="s">
        <v>10</v>
      </c>
      <c r="H750" t="str">
        <f t="shared" si="22"/>
        <v>Chevrolet</v>
      </c>
      <c r="I750" t="str">
        <f t="shared" si="23"/>
        <v>Minivan</v>
      </c>
    </row>
    <row r="751" spans="1:9">
      <c r="A751" s="2">
        <v>750</v>
      </c>
      <c r="B751" s="2" t="s">
        <v>42</v>
      </c>
      <c r="C751" s="2" t="s">
        <v>12</v>
      </c>
      <c r="D751" s="2">
        <v>3</v>
      </c>
      <c r="E751" s="3">
        <v>34896</v>
      </c>
      <c r="F751" s="2" t="s">
        <v>32</v>
      </c>
      <c r="G751" s="2" t="s">
        <v>14</v>
      </c>
      <c r="H751" t="str">
        <f t="shared" si="22"/>
        <v>Tesla</v>
      </c>
      <c r="I751" t="str">
        <f t="shared" si="23"/>
        <v>Hatchback</v>
      </c>
    </row>
    <row r="752" spans="1:9">
      <c r="A752" s="2">
        <v>751</v>
      </c>
      <c r="B752" s="2" t="s">
        <v>82</v>
      </c>
      <c r="C752" s="2" t="s">
        <v>22</v>
      </c>
      <c r="D752" s="2">
        <v>30</v>
      </c>
      <c r="E752" s="3">
        <v>80209</v>
      </c>
      <c r="F752" s="2" t="s">
        <v>28</v>
      </c>
      <c r="G752" s="2" t="s">
        <v>26</v>
      </c>
      <c r="H752" t="str">
        <f t="shared" si="22"/>
        <v>Audi</v>
      </c>
      <c r="I752" t="str">
        <f t="shared" si="23"/>
        <v>Sedan</v>
      </c>
    </row>
    <row r="753" spans="1:9">
      <c r="A753" s="2">
        <v>752</v>
      </c>
      <c r="B753" s="2" t="s">
        <v>66</v>
      </c>
      <c r="C753" s="2" t="s">
        <v>22</v>
      </c>
      <c r="D753" s="2">
        <v>4</v>
      </c>
      <c r="E753" s="3">
        <v>84582</v>
      </c>
      <c r="F753" s="2" t="s">
        <v>17</v>
      </c>
      <c r="G753" s="2" t="s">
        <v>26</v>
      </c>
      <c r="H753" t="str">
        <f t="shared" si="22"/>
        <v>Tesla</v>
      </c>
      <c r="I753" t="str">
        <f t="shared" si="23"/>
        <v>SUV</v>
      </c>
    </row>
    <row r="754" spans="1:9">
      <c r="A754" s="2">
        <v>753</v>
      </c>
      <c r="B754" s="2" t="s">
        <v>62</v>
      </c>
      <c r="C754" s="2" t="s">
        <v>8</v>
      </c>
      <c r="D754" s="2">
        <v>11</v>
      </c>
      <c r="E754" s="3">
        <v>87310</v>
      </c>
      <c r="F754" s="2" t="s">
        <v>9</v>
      </c>
      <c r="G754" s="2" t="s">
        <v>14</v>
      </c>
      <c r="H754" t="str">
        <f t="shared" si="22"/>
        <v>Chevrolet</v>
      </c>
      <c r="I754" t="str">
        <f t="shared" si="23"/>
        <v>Minivan</v>
      </c>
    </row>
    <row r="755" spans="1:9">
      <c r="A755" s="2">
        <v>754</v>
      </c>
      <c r="B755" s="2" t="s">
        <v>93</v>
      </c>
      <c r="C755" s="2" t="s">
        <v>8</v>
      </c>
      <c r="D755" s="2">
        <v>37</v>
      </c>
      <c r="E755" s="3">
        <v>92277</v>
      </c>
      <c r="F755" s="2" t="s">
        <v>13</v>
      </c>
      <c r="G755" s="2" t="s">
        <v>18</v>
      </c>
      <c r="H755" t="str">
        <f t="shared" si="22"/>
        <v>Volkswagen</v>
      </c>
      <c r="I755" t="str">
        <f t="shared" si="23"/>
        <v>Hatchback</v>
      </c>
    </row>
    <row r="756" spans="1:9">
      <c r="A756" s="2">
        <v>755</v>
      </c>
      <c r="B756" s="2" t="s">
        <v>48</v>
      </c>
      <c r="C756" s="2" t="s">
        <v>22</v>
      </c>
      <c r="D756" s="2">
        <v>28</v>
      </c>
      <c r="E756" s="3">
        <v>85145</v>
      </c>
      <c r="F756" s="2" t="s">
        <v>25</v>
      </c>
      <c r="G756" s="2" t="s">
        <v>23</v>
      </c>
      <c r="H756" t="str">
        <f t="shared" si="22"/>
        <v>BMW</v>
      </c>
      <c r="I756" t="str">
        <f t="shared" si="23"/>
        <v>Coupe</v>
      </c>
    </row>
    <row r="757" spans="1:9">
      <c r="A757" s="2">
        <v>756</v>
      </c>
      <c r="B757" s="2" t="s">
        <v>56</v>
      </c>
      <c r="C757" s="2" t="s">
        <v>12</v>
      </c>
      <c r="D757" s="2">
        <v>47</v>
      </c>
      <c r="E757" s="3">
        <v>25410</v>
      </c>
      <c r="F757" s="2" t="s">
        <v>38</v>
      </c>
      <c r="G757" s="2" t="s">
        <v>18</v>
      </c>
      <c r="H757" t="str">
        <f t="shared" si="22"/>
        <v>Hyundai</v>
      </c>
      <c r="I757" t="str">
        <f t="shared" si="23"/>
        <v>Coupe</v>
      </c>
    </row>
    <row r="758" spans="1:9">
      <c r="A758" s="2">
        <v>757</v>
      </c>
      <c r="B758" s="2" t="s">
        <v>39</v>
      </c>
      <c r="C758" s="2" t="s">
        <v>16</v>
      </c>
      <c r="D758" s="2">
        <v>26</v>
      </c>
      <c r="E758" s="3">
        <v>99518</v>
      </c>
      <c r="F758" s="2" t="s">
        <v>17</v>
      </c>
      <c r="G758" s="2" t="s">
        <v>14</v>
      </c>
      <c r="H758" t="str">
        <f t="shared" si="22"/>
        <v>Nissan</v>
      </c>
      <c r="I758" t="str">
        <f t="shared" si="23"/>
        <v>Minivan</v>
      </c>
    </row>
    <row r="759" spans="1:9">
      <c r="A759" s="2">
        <v>758</v>
      </c>
      <c r="B759" s="2" t="s">
        <v>75</v>
      </c>
      <c r="C759" s="2" t="s">
        <v>22</v>
      </c>
      <c r="D759" s="2">
        <v>32</v>
      </c>
      <c r="E759" s="3">
        <v>98532</v>
      </c>
      <c r="F759" s="2" t="s">
        <v>17</v>
      </c>
      <c r="G759" s="2" t="s">
        <v>10</v>
      </c>
      <c r="H759" t="str">
        <f t="shared" si="22"/>
        <v>Nissan</v>
      </c>
      <c r="I759" t="str">
        <f t="shared" si="23"/>
        <v>Convertible</v>
      </c>
    </row>
    <row r="760" spans="1:9">
      <c r="A760" s="2">
        <v>759</v>
      </c>
      <c r="B760" s="2" t="s">
        <v>53</v>
      </c>
      <c r="C760" s="2" t="s">
        <v>22</v>
      </c>
      <c r="D760" s="2">
        <v>2</v>
      </c>
      <c r="E760" s="3">
        <v>35731</v>
      </c>
      <c r="F760" s="2" t="s">
        <v>17</v>
      </c>
      <c r="G760" s="2" t="s">
        <v>18</v>
      </c>
      <c r="H760" t="str">
        <f t="shared" si="22"/>
        <v>BMW</v>
      </c>
      <c r="I760" t="str">
        <f t="shared" si="23"/>
        <v>Minivan</v>
      </c>
    </row>
    <row r="761" spans="1:9">
      <c r="A761" s="2">
        <v>760</v>
      </c>
      <c r="B761" s="2" t="s">
        <v>59</v>
      </c>
      <c r="C761" s="2" t="s">
        <v>16</v>
      </c>
      <c r="D761" s="2">
        <v>25</v>
      </c>
      <c r="E761" s="3">
        <v>56729</v>
      </c>
      <c r="F761" s="2" t="s">
        <v>28</v>
      </c>
      <c r="G761" s="2" t="s">
        <v>26</v>
      </c>
      <c r="H761" t="str">
        <f t="shared" si="22"/>
        <v>Audi</v>
      </c>
      <c r="I761" t="str">
        <f t="shared" si="23"/>
        <v>Convertible</v>
      </c>
    </row>
    <row r="762" spans="1:9">
      <c r="A762" s="2">
        <v>761</v>
      </c>
      <c r="B762" s="2" t="s">
        <v>30</v>
      </c>
      <c r="C762" s="2" t="s">
        <v>16</v>
      </c>
      <c r="D762" s="2">
        <v>44</v>
      </c>
      <c r="E762" s="3">
        <v>41642</v>
      </c>
      <c r="F762" s="2" t="s">
        <v>32</v>
      </c>
      <c r="G762" s="2" t="s">
        <v>29</v>
      </c>
      <c r="H762" t="str">
        <f t="shared" si="22"/>
        <v>Nissan</v>
      </c>
      <c r="I762" t="str">
        <f t="shared" si="23"/>
        <v>Coupe</v>
      </c>
    </row>
    <row r="763" spans="1:9">
      <c r="A763" s="2">
        <v>762</v>
      </c>
      <c r="B763" s="2" t="s">
        <v>52</v>
      </c>
      <c r="C763" s="2" t="s">
        <v>16</v>
      </c>
      <c r="D763" s="2">
        <v>28</v>
      </c>
      <c r="E763" s="3">
        <v>32277</v>
      </c>
      <c r="F763" s="2" t="s">
        <v>28</v>
      </c>
      <c r="G763" s="2" t="s">
        <v>29</v>
      </c>
      <c r="H763" t="str">
        <f t="shared" si="22"/>
        <v>BMW</v>
      </c>
      <c r="I763" t="str">
        <f t="shared" si="23"/>
        <v>Hatchback</v>
      </c>
    </row>
    <row r="764" spans="1:9">
      <c r="A764" s="2">
        <v>763</v>
      </c>
      <c r="B764" s="2" t="s">
        <v>92</v>
      </c>
      <c r="C764" s="2" t="s">
        <v>8</v>
      </c>
      <c r="D764" s="2">
        <v>12</v>
      </c>
      <c r="E764" s="3">
        <v>54389</v>
      </c>
      <c r="F764" s="2" t="s">
        <v>38</v>
      </c>
      <c r="G764" s="2" t="s">
        <v>23</v>
      </c>
      <c r="H764" t="str">
        <f t="shared" si="22"/>
        <v>BMW</v>
      </c>
      <c r="I764" t="str">
        <f t="shared" si="23"/>
        <v>Convertible</v>
      </c>
    </row>
    <row r="765" spans="1:9">
      <c r="A765" s="2">
        <v>764</v>
      </c>
      <c r="B765" s="2" t="s">
        <v>78</v>
      </c>
      <c r="C765" s="2" t="s">
        <v>8</v>
      </c>
      <c r="D765" s="2">
        <v>23</v>
      </c>
      <c r="E765" s="3">
        <v>50704</v>
      </c>
      <c r="F765" s="2" t="s">
        <v>28</v>
      </c>
      <c r="G765" s="2" t="s">
        <v>14</v>
      </c>
      <c r="H765" t="str">
        <f t="shared" si="22"/>
        <v>Hyundai</v>
      </c>
      <c r="I765" t="str">
        <f t="shared" si="23"/>
        <v>Hatchback</v>
      </c>
    </row>
    <row r="766" spans="1:9">
      <c r="A766" s="2">
        <v>765</v>
      </c>
      <c r="B766" s="2" t="s">
        <v>55</v>
      </c>
      <c r="C766" s="2" t="s">
        <v>8</v>
      </c>
      <c r="D766" s="2">
        <v>14</v>
      </c>
      <c r="E766" s="3">
        <v>59903</v>
      </c>
      <c r="F766" s="2" t="s">
        <v>13</v>
      </c>
      <c r="G766" s="2" t="s">
        <v>10</v>
      </c>
      <c r="H766" t="str">
        <f t="shared" si="22"/>
        <v>Chevrolet</v>
      </c>
      <c r="I766" t="str">
        <f t="shared" si="23"/>
        <v>Hatchback</v>
      </c>
    </row>
    <row r="767" spans="1:9">
      <c r="A767" s="2">
        <v>766</v>
      </c>
      <c r="B767" s="2" t="s">
        <v>70</v>
      </c>
      <c r="C767" s="2" t="s">
        <v>12</v>
      </c>
      <c r="D767" s="2">
        <v>12</v>
      </c>
      <c r="E767" s="3">
        <v>67192</v>
      </c>
      <c r="F767" s="2" t="s">
        <v>38</v>
      </c>
      <c r="G767" s="2" t="s">
        <v>26</v>
      </c>
      <c r="H767" t="str">
        <f t="shared" si="22"/>
        <v>Chevrolet</v>
      </c>
      <c r="I767" t="str">
        <f t="shared" si="23"/>
        <v>Convertible</v>
      </c>
    </row>
    <row r="768" spans="1:9">
      <c r="A768" s="2">
        <v>767</v>
      </c>
      <c r="B768" s="2" t="s">
        <v>15</v>
      </c>
      <c r="C768" s="2" t="s">
        <v>22</v>
      </c>
      <c r="D768" s="2">
        <v>18</v>
      </c>
      <c r="E768" s="3">
        <v>87999</v>
      </c>
      <c r="F768" s="2" t="s">
        <v>28</v>
      </c>
      <c r="G768" s="2" t="s">
        <v>29</v>
      </c>
      <c r="H768" t="str">
        <f t="shared" si="22"/>
        <v>Chevrolet</v>
      </c>
      <c r="I768" t="str">
        <f t="shared" si="23"/>
        <v>Truck</v>
      </c>
    </row>
    <row r="769" spans="1:9">
      <c r="A769" s="2">
        <v>768</v>
      </c>
      <c r="B769" s="2" t="s">
        <v>19</v>
      </c>
      <c r="C769" s="2" t="s">
        <v>8</v>
      </c>
      <c r="D769" s="2">
        <v>18</v>
      </c>
      <c r="E769" s="3">
        <v>96123</v>
      </c>
      <c r="F769" s="2" t="s">
        <v>32</v>
      </c>
      <c r="G769" s="2" t="s">
        <v>18</v>
      </c>
      <c r="H769" t="str">
        <f t="shared" si="22"/>
        <v>Tesla</v>
      </c>
      <c r="I769" t="str">
        <f t="shared" si="23"/>
        <v>Minivan</v>
      </c>
    </row>
    <row r="770" spans="1:9">
      <c r="A770" s="2">
        <v>769</v>
      </c>
      <c r="B770" s="2" t="s">
        <v>27</v>
      </c>
      <c r="C770" s="2" t="s">
        <v>12</v>
      </c>
      <c r="D770" s="2">
        <v>29</v>
      </c>
      <c r="E770" s="3">
        <v>99164</v>
      </c>
      <c r="F770" s="2" t="s">
        <v>25</v>
      </c>
      <c r="G770" s="2" t="s">
        <v>26</v>
      </c>
      <c r="H770" t="str">
        <f t="shared" si="22"/>
        <v>Ford</v>
      </c>
      <c r="I770" t="str">
        <f t="shared" si="23"/>
        <v>Hatchback</v>
      </c>
    </row>
    <row r="771" spans="1:9">
      <c r="A771" s="2">
        <v>770</v>
      </c>
      <c r="B771" s="2" t="s">
        <v>37</v>
      </c>
      <c r="C771" s="2" t="s">
        <v>12</v>
      </c>
      <c r="D771" s="2">
        <v>10</v>
      </c>
      <c r="E771" s="3">
        <v>50200</v>
      </c>
      <c r="F771" s="2" t="s">
        <v>17</v>
      </c>
      <c r="G771" s="2" t="s">
        <v>10</v>
      </c>
      <c r="H771" t="str">
        <f t="shared" ref="H771:H834" si="24">LEFT(B771,FIND(",",B771)-1)</f>
        <v>Tesla</v>
      </c>
      <c r="I771" t="str">
        <f t="shared" ref="I771:I834" si="25">TRIM(MID(B771,FIND(",",B771)+1,LEN(B771)))</f>
        <v>Truck</v>
      </c>
    </row>
    <row r="772" spans="1:9">
      <c r="A772" s="2">
        <v>771</v>
      </c>
      <c r="B772" s="2" t="s">
        <v>77</v>
      </c>
      <c r="C772" s="2" t="s">
        <v>16</v>
      </c>
      <c r="D772" s="2">
        <v>3</v>
      </c>
      <c r="E772" s="3">
        <v>88511</v>
      </c>
      <c r="F772" s="2" t="s">
        <v>13</v>
      </c>
      <c r="G772" s="2" t="s">
        <v>14</v>
      </c>
      <c r="H772" t="str">
        <f t="shared" si="24"/>
        <v>BMW</v>
      </c>
      <c r="I772" t="str">
        <f t="shared" si="25"/>
        <v>SUV</v>
      </c>
    </row>
    <row r="773" spans="1:9">
      <c r="A773" s="2">
        <v>772</v>
      </c>
      <c r="B773" s="2" t="s">
        <v>51</v>
      </c>
      <c r="C773" s="2" t="s">
        <v>16</v>
      </c>
      <c r="D773" s="2">
        <v>40</v>
      </c>
      <c r="E773" s="3">
        <v>90910</v>
      </c>
      <c r="F773" s="2" t="s">
        <v>25</v>
      </c>
      <c r="G773" s="2" t="s">
        <v>26</v>
      </c>
      <c r="H773" t="str">
        <f t="shared" si="24"/>
        <v>Ford</v>
      </c>
      <c r="I773" t="str">
        <f t="shared" si="25"/>
        <v>Coupe</v>
      </c>
    </row>
    <row r="774" spans="1:9">
      <c r="A774" s="2">
        <v>773</v>
      </c>
      <c r="B774" s="2" t="s">
        <v>57</v>
      </c>
      <c r="C774" s="2" t="s">
        <v>8</v>
      </c>
      <c r="D774" s="2">
        <v>40</v>
      </c>
      <c r="E774" s="3">
        <v>46021</v>
      </c>
      <c r="F774" s="2" t="s">
        <v>20</v>
      </c>
      <c r="G774" s="2" t="s">
        <v>26</v>
      </c>
      <c r="H774" t="str">
        <f t="shared" si="24"/>
        <v>Nissan</v>
      </c>
      <c r="I774" t="str">
        <f t="shared" si="25"/>
        <v>Sedan</v>
      </c>
    </row>
    <row r="775" spans="1:9">
      <c r="A775" s="2">
        <v>774</v>
      </c>
      <c r="B775" s="2" t="s">
        <v>68</v>
      </c>
      <c r="C775" s="2" t="s">
        <v>22</v>
      </c>
      <c r="D775" s="2">
        <v>40</v>
      </c>
      <c r="E775" s="3">
        <v>84997</v>
      </c>
      <c r="F775" s="2" t="s">
        <v>13</v>
      </c>
      <c r="G775" s="2" t="s">
        <v>18</v>
      </c>
      <c r="H775" t="str">
        <f t="shared" si="24"/>
        <v>Honda</v>
      </c>
      <c r="I775" t="str">
        <f t="shared" si="25"/>
        <v>Coupe</v>
      </c>
    </row>
    <row r="776" spans="1:9">
      <c r="A776" s="2">
        <v>775</v>
      </c>
      <c r="B776" s="2" t="s">
        <v>64</v>
      </c>
      <c r="C776" s="2" t="s">
        <v>22</v>
      </c>
      <c r="D776" s="2">
        <v>16</v>
      </c>
      <c r="E776" s="3">
        <v>86754</v>
      </c>
      <c r="F776" s="2" t="s">
        <v>32</v>
      </c>
      <c r="G776" s="2" t="s">
        <v>10</v>
      </c>
      <c r="H776" t="str">
        <f t="shared" si="24"/>
        <v>Tesla</v>
      </c>
      <c r="I776" t="str">
        <f t="shared" si="25"/>
        <v>Coupe</v>
      </c>
    </row>
    <row r="777" spans="1:9">
      <c r="A777" s="2">
        <v>776</v>
      </c>
      <c r="B777" s="2" t="s">
        <v>42</v>
      </c>
      <c r="C777" s="2" t="s">
        <v>22</v>
      </c>
      <c r="D777" s="2">
        <v>42</v>
      </c>
      <c r="E777" s="3">
        <v>44478</v>
      </c>
      <c r="F777" s="2" t="s">
        <v>13</v>
      </c>
      <c r="G777" s="2" t="s">
        <v>14</v>
      </c>
      <c r="H777" t="str">
        <f t="shared" si="24"/>
        <v>Tesla</v>
      </c>
      <c r="I777" t="str">
        <f t="shared" si="25"/>
        <v>Hatchback</v>
      </c>
    </row>
    <row r="778" spans="1:9">
      <c r="A778" s="2">
        <v>777</v>
      </c>
      <c r="B778" s="2" t="s">
        <v>84</v>
      </c>
      <c r="C778" s="2" t="s">
        <v>12</v>
      </c>
      <c r="D778" s="2">
        <v>19</v>
      </c>
      <c r="E778" s="3">
        <v>35609</v>
      </c>
      <c r="F778" s="2" t="s">
        <v>32</v>
      </c>
      <c r="G778" s="2" t="s">
        <v>26</v>
      </c>
      <c r="H778" t="str">
        <f t="shared" si="24"/>
        <v>Hyundai</v>
      </c>
      <c r="I778" t="str">
        <f t="shared" si="25"/>
        <v>Truck</v>
      </c>
    </row>
    <row r="779" spans="1:9">
      <c r="A779" s="2">
        <v>778</v>
      </c>
      <c r="B779" s="2" t="s">
        <v>62</v>
      </c>
      <c r="C779" s="2" t="s">
        <v>12</v>
      </c>
      <c r="D779" s="2">
        <v>32</v>
      </c>
      <c r="E779" s="3">
        <v>96930</v>
      </c>
      <c r="F779" s="2" t="s">
        <v>25</v>
      </c>
      <c r="G779" s="2" t="s">
        <v>10</v>
      </c>
      <c r="H779" t="str">
        <f t="shared" si="24"/>
        <v>Chevrolet</v>
      </c>
      <c r="I779" t="str">
        <f t="shared" si="25"/>
        <v>Minivan</v>
      </c>
    </row>
    <row r="780" spans="1:9">
      <c r="A780" s="2">
        <v>779</v>
      </c>
      <c r="B780" s="2" t="s">
        <v>90</v>
      </c>
      <c r="C780" s="2" t="s">
        <v>12</v>
      </c>
      <c r="D780" s="2">
        <v>27</v>
      </c>
      <c r="E780" s="3">
        <v>61213</v>
      </c>
      <c r="F780" s="2" t="s">
        <v>13</v>
      </c>
      <c r="G780" s="2" t="s">
        <v>26</v>
      </c>
      <c r="H780" t="str">
        <f t="shared" si="24"/>
        <v>Volkswagen</v>
      </c>
      <c r="I780" t="str">
        <f t="shared" si="25"/>
        <v>Truck</v>
      </c>
    </row>
    <row r="781" spans="1:9">
      <c r="A781" s="2">
        <v>780</v>
      </c>
      <c r="B781" s="2" t="s">
        <v>75</v>
      </c>
      <c r="C781" s="2" t="s">
        <v>12</v>
      </c>
      <c r="D781" s="2">
        <v>36</v>
      </c>
      <c r="E781" s="3">
        <v>65961</v>
      </c>
      <c r="F781" s="2" t="s">
        <v>28</v>
      </c>
      <c r="G781" s="2" t="s">
        <v>29</v>
      </c>
      <c r="H781" t="str">
        <f t="shared" si="24"/>
        <v>Nissan</v>
      </c>
      <c r="I781" t="str">
        <f t="shared" si="25"/>
        <v>Convertible</v>
      </c>
    </row>
    <row r="782" spans="1:9">
      <c r="A782" s="2">
        <v>781</v>
      </c>
      <c r="B782" s="2" t="s">
        <v>63</v>
      </c>
      <c r="C782" s="2" t="s">
        <v>22</v>
      </c>
      <c r="D782" s="2">
        <v>31</v>
      </c>
      <c r="E782" s="3">
        <v>77289</v>
      </c>
      <c r="F782" s="2" t="s">
        <v>17</v>
      </c>
      <c r="G782" s="2" t="s">
        <v>29</v>
      </c>
      <c r="H782" t="str">
        <f t="shared" si="24"/>
        <v>Volkswagen</v>
      </c>
      <c r="I782" t="str">
        <f t="shared" si="25"/>
        <v>Sedan</v>
      </c>
    </row>
    <row r="783" spans="1:9">
      <c r="A783" s="2">
        <v>782</v>
      </c>
      <c r="B783" s="2" t="s">
        <v>15</v>
      </c>
      <c r="C783" s="2" t="s">
        <v>22</v>
      </c>
      <c r="D783" s="2">
        <v>4</v>
      </c>
      <c r="E783" s="3">
        <v>68813</v>
      </c>
      <c r="F783" s="2" t="s">
        <v>9</v>
      </c>
      <c r="G783" s="2" t="s">
        <v>14</v>
      </c>
      <c r="H783" t="str">
        <f t="shared" si="24"/>
        <v>Chevrolet</v>
      </c>
      <c r="I783" t="str">
        <f t="shared" si="25"/>
        <v>Truck</v>
      </c>
    </row>
    <row r="784" spans="1:9">
      <c r="A784" s="2">
        <v>783</v>
      </c>
      <c r="B784" s="2" t="s">
        <v>60</v>
      </c>
      <c r="C784" s="2" t="s">
        <v>16</v>
      </c>
      <c r="D784" s="2">
        <v>6</v>
      </c>
      <c r="E784" s="3">
        <v>38907</v>
      </c>
      <c r="F784" s="2" t="s">
        <v>25</v>
      </c>
      <c r="G784" s="2" t="s">
        <v>29</v>
      </c>
      <c r="H784" t="str">
        <f t="shared" si="24"/>
        <v>Ford</v>
      </c>
      <c r="I784" t="str">
        <f t="shared" si="25"/>
        <v>Convertible</v>
      </c>
    </row>
    <row r="785" spans="1:9">
      <c r="A785" s="2">
        <v>784</v>
      </c>
      <c r="B785" s="2" t="s">
        <v>80</v>
      </c>
      <c r="C785" s="2" t="s">
        <v>22</v>
      </c>
      <c r="D785" s="2">
        <v>18</v>
      </c>
      <c r="E785" s="3">
        <v>90778</v>
      </c>
      <c r="F785" s="2" t="s">
        <v>32</v>
      </c>
      <c r="G785" s="2" t="s">
        <v>14</v>
      </c>
      <c r="H785" t="str">
        <f t="shared" si="24"/>
        <v>Tesla</v>
      </c>
      <c r="I785" t="str">
        <f t="shared" si="25"/>
        <v>Sedan</v>
      </c>
    </row>
    <row r="786" spans="1:9">
      <c r="A786" s="2">
        <v>785</v>
      </c>
      <c r="B786" s="2" t="s">
        <v>15</v>
      </c>
      <c r="C786" s="2" t="s">
        <v>12</v>
      </c>
      <c r="D786" s="2">
        <v>25</v>
      </c>
      <c r="E786" s="3">
        <v>59575</v>
      </c>
      <c r="F786" s="2" t="s">
        <v>25</v>
      </c>
      <c r="G786" s="2" t="s">
        <v>26</v>
      </c>
      <c r="H786" t="str">
        <f t="shared" si="24"/>
        <v>Chevrolet</v>
      </c>
      <c r="I786" t="str">
        <f t="shared" si="25"/>
        <v>Truck</v>
      </c>
    </row>
    <row r="787" spans="1:9">
      <c r="A787" s="2">
        <v>786</v>
      </c>
      <c r="B787" s="2" t="s">
        <v>64</v>
      </c>
      <c r="C787" s="2" t="s">
        <v>12</v>
      </c>
      <c r="D787" s="2">
        <v>9</v>
      </c>
      <c r="E787" s="3">
        <v>35052</v>
      </c>
      <c r="F787" s="2" t="s">
        <v>32</v>
      </c>
      <c r="G787" s="2" t="s">
        <v>23</v>
      </c>
      <c r="H787" t="str">
        <f t="shared" si="24"/>
        <v>Tesla</v>
      </c>
      <c r="I787" t="str">
        <f t="shared" si="25"/>
        <v>Coupe</v>
      </c>
    </row>
    <row r="788" spans="1:9">
      <c r="A788" s="2">
        <v>787</v>
      </c>
      <c r="B788" s="2" t="s">
        <v>48</v>
      </c>
      <c r="C788" s="2" t="s">
        <v>8</v>
      </c>
      <c r="D788" s="2">
        <v>27</v>
      </c>
      <c r="E788" s="3">
        <v>75899</v>
      </c>
      <c r="F788" s="2" t="s">
        <v>25</v>
      </c>
      <c r="G788" s="2" t="s">
        <v>29</v>
      </c>
      <c r="H788" t="str">
        <f t="shared" si="24"/>
        <v>BMW</v>
      </c>
      <c r="I788" t="str">
        <f t="shared" si="25"/>
        <v>Coupe</v>
      </c>
    </row>
    <row r="789" spans="1:9">
      <c r="A789" s="2">
        <v>788</v>
      </c>
      <c r="B789" s="2" t="s">
        <v>83</v>
      </c>
      <c r="C789" s="2" t="s">
        <v>22</v>
      </c>
      <c r="D789" s="2">
        <v>13</v>
      </c>
      <c r="E789" s="3">
        <v>72061</v>
      </c>
      <c r="F789" s="2" t="s">
        <v>28</v>
      </c>
      <c r="G789" s="2" t="s">
        <v>10</v>
      </c>
      <c r="H789" t="str">
        <f t="shared" si="24"/>
        <v>Honda</v>
      </c>
      <c r="I789" t="str">
        <f t="shared" si="25"/>
        <v>Sedan</v>
      </c>
    </row>
    <row r="790" spans="1:9">
      <c r="A790" s="2">
        <v>789</v>
      </c>
      <c r="B790" s="2" t="s">
        <v>49</v>
      </c>
      <c r="C790" s="2" t="s">
        <v>22</v>
      </c>
      <c r="D790" s="2">
        <v>42</v>
      </c>
      <c r="E790" s="3">
        <v>82701</v>
      </c>
      <c r="F790" s="2" t="s">
        <v>25</v>
      </c>
      <c r="G790" s="2" t="s">
        <v>10</v>
      </c>
      <c r="H790" t="str">
        <f t="shared" si="24"/>
        <v>Chevrolet</v>
      </c>
      <c r="I790" t="str">
        <f t="shared" si="25"/>
        <v>Sedan</v>
      </c>
    </row>
    <row r="791" spans="1:9">
      <c r="A791" s="2">
        <v>790</v>
      </c>
      <c r="B791" s="2" t="s">
        <v>89</v>
      </c>
      <c r="C791" s="2" t="s">
        <v>16</v>
      </c>
      <c r="D791" s="2">
        <v>34</v>
      </c>
      <c r="E791" s="3">
        <v>55374</v>
      </c>
      <c r="F791" s="2" t="s">
        <v>13</v>
      </c>
      <c r="G791" s="2" t="s">
        <v>14</v>
      </c>
      <c r="H791" t="str">
        <f t="shared" si="24"/>
        <v>Toyota</v>
      </c>
      <c r="I791" t="str">
        <f t="shared" si="25"/>
        <v>Truck</v>
      </c>
    </row>
    <row r="792" spans="1:9">
      <c r="A792" s="2">
        <v>791</v>
      </c>
      <c r="B792" s="2" t="s">
        <v>39</v>
      </c>
      <c r="C792" s="2" t="s">
        <v>16</v>
      </c>
      <c r="D792" s="2">
        <v>16</v>
      </c>
      <c r="E792" s="3">
        <v>63101</v>
      </c>
      <c r="F792" s="2" t="s">
        <v>25</v>
      </c>
      <c r="G792" s="2" t="s">
        <v>23</v>
      </c>
      <c r="H792" t="str">
        <f t="shared" si="24"/>
        <v>Nissan</v>
      </c>
      <c r="I792" t="str">
        <f t="shared" si="25"/>
        <v>Minivan</v>
      </c>
    </row>
    <row r="793" spans="1:9">
      <c r="A793" s="2">
        <v>792</v>
      </c>
      <c r="B793" s="2" t="s">
        <v>50</v>
      </c>
      <c r="C793" s="2" t="s">
        <v>12</v>
      </c>
      <c r="D793" s="2">
        <v>41</v>
      </c>
      <c r="E793" s="3">
        <v>65929</v>
      </c>
      <c r="F793" s="2" t="s">
        <v>25</v>
      </c>
      <c r="G793" s="2" t="s">
        <v>26</v>
      </c>
      <c r="H793" t="str">
        <f t="shared" si="24"/>
        <v>Honda</v>
      </c>
      <c r="I793" t="str">
        <f t="shared" si="25"/>
        <v>Truck</v>
      </c>
    </row>
    <row r="794" spans="1:9">
      <c r="A794" s="2">
        <v>793</v>
      </c>
      <c r="B794" s="2" t="s">
        <v>49</v>
      </c>
      <c r="C794" s="2" t="s">
        <v>8</v>
      </c>
      <c r="D794" s="2">
        <v>35</v>
      </c>
      <c r="E794" s="3">
        <v>31619</v>
      </c>
      <c r="F794" s="2" t="s">
        <v>17</v>
      </c>
      <c r="G794" s="2" t="s">
        <v>18</v>
      </c>
      <c r="H794" t="str">
        <f t="shared" si="24"/>
        <v>Chevrolet</v>
      </c>
      <c r="I794" t="str">
        <f t="shared" si="25"/>
        <v>Sedan</v>
      </c>
    </row>
    <row r="795" spans="1:9">
      <c r="A795" s="2">
        <v>794</v>
      </c>
      <c r="B795" s="2" t="s">
        <v>11</v>
      </c>
      <c r="C795" s="2" t="s">
        <v>22</v>
      </c>
      <c r="D795" s="2">
        <v>2</v>
      </c>
      <c r="E795" s="3">
        <v>49425</v>
      </c>
      <c r="F795" s="2" t="s">
        <v>20</v>
      </c>
      <c r="G795" s="2" t="s">
        <v>10</v>
      </c>
      <c r="H795" t="str">
        <f t="shared" si="24"/>
        <v>Toyota</v>
      </c>
      <c r="I795" t="str">
        <f t="shared" si="25"/>
        <v>Hatchback</v>
      </c>
    </row>
    <row r="796" spans="1:9">
      <c r="A796" s="2">
        <v>795</v>
      </c>
      <c r="B796" s="2" t="s">
        <v>76</v>
      </c>
      <c r="C796" s="2" t="s">
        <v>22</v>
      </c>
      <c r="D796" s="2">
        <v>25</v>
      </c>
      <c r="E796" s="3">
        <v>49290</v>
      </c>
      <c r="F796" s="2" t="s">
        <v>20</v>
      </c>
      <c r="G796" s="2" t="s">
        <v>23</v>
      </c>
      <c r="H796" t="str">
        <f t="shared" si="24"/>
        <v>Toyota</v>
      </c>
      <c r="I796" t="str">
        <f t="shared" si="25"/>
        <v>Minivan</v>
      </c>
    </row>
    <row r="797" spans="1:9">
      <c r="A797" s="2">
        <v>796</v>
      </c>
      <c r="B797" s="2" t="s">
        <v>39</v>
      </c>
      <c r="C797" s="2" t="s">
        <v>8</v>
      </c>
      <c r="D797" s="2">
        <v>46</v>
      </c>
      <c r="E797" s="3">
        <v>86096</v>
      </c>
      <c r="F797" s="2" t="s">
        <v>25</v>
      </c>
      <c r="G797" s="2" t="s">
        <v>10</v>
      </c>
      <c r="H797" t="str">
        <f t="shared" si="24"/>
        <v>Nissan</v>
      </c>
      <c r="I797" t="str">
        <f t="shared" si="25"/>
        <v>Minivan</v>
      </c>
    </row>
    <row r="798" spans="1:9">
      <c r="A798" s="2">
        <v>797</v>
      </c>
      <c r="B798" s="2" t="s">
        <v>49</v>
      </c>
      <c r="C798" s="2" t="s">
        <v>22</v>
      </c>
      <c r="D798" s="2">
        <v>23</v>
      </c>
      <c r="E798" s="3">
        <v>62268</v>
      </c>
      <c r="F798" s="2" t="s">
        <v>17</v>
      </c>
      <c r="G798" s="2" t="s">
        <v>14</v>
      </c>
      <c r="H798" t="str">
        <f t="shared" si="24"/>
        <v>Chevrolet</v>
      </c>
      <c r="I798" t="str">
        <f t="shared" si="25"/>
        <v>Sedan</v>
      </c>
    </row>
    <row r="799" spans="1:9">
      <c r="A799" s="2">
        <v>798</v>
      </c>
      <c r="B799" s="2" t="s">
        <v>24</v>
      </c>
      <c r="C799" s="2" t="s">
        <v>16</v>
      </c>
      <c r="D799" s="2">
        <v>31</v>
      </c>
      <c r="E799" s="3">
        <v>74197</v>
      </c>
      <c r="F799" s="2" t="s">
        <v>25</v>
      </c>
      <c r="G799" s="2" t="s">
        <v>14</v>
      </c>
      <c r="H799" t="str">
        <f t="shared" si="24"/>
        <v>Honda</v>
      </c>
      <c r="I799" t="str">
        <f t="shared" si="25"/>
        <v>Convertible</v>
      </c>
    </row>
    <row r="800" spans="1:9">
      <c r="A800" s="2">
        <v>799</v>
      </c>
      <c r="B800" s="2" t="s">
        <v>88</v>
      </c>
      <c r="C800" s="2" t="s">
        <v>8</v>
      </c>
      <c r="D800" s="2">
        <v>35</v>
      </c>
      <c r="E800" s="3">
        <v>30403</v>
      </c>
      <c r="F800" s="2" t="s">
        <v>38</v>
      </c>
      <c r="G800" s="2" t="s">
        <v>18</v>
      </c>
      <c r="H800" t="str">
        <f t="shared" si="24"/>
        <v>Hyundai</v>
      </c>
      <c r="I800" t="str">
        <f t="shared" si="25"/>
        <v>Convertible</v>
      </c>
    </row>
    <row r="801" spans="1:9">
      <c r="A801" s="2">
        <v>800</v>
      </c>
      <c r="B801" s="2" t="s">
        <v>60</v>
      </c>
      <c r="C801" s="2" t="s">
        <v>22</v>
      </c>
      <c r="D801" s="2">
        <v>32</v>
      </c>
      <c r="E801" s="3">
        <v>29073</v>
      </c>
      <c r="F801" s="2" t="s">
        <v>17</v>
      </c>
      <c r="G801" s="2" t="s">
        <v>14</v>
      </c>
      <c r="H801" t="str">
        <f t="shared" si="24"/>
        <v>Ford</v>
      </c>
      <c r="I801" t="str">
        <f t="shared" si="25"/>
        <v>Convertible</v>
      </c>
    </row>
    <row r="802" spans="1:9">
      <c r="A802" s="2">
        <v>801</v>
      </c>
      <c r="B802" s="2" t="s">
        <v>36</v>
      </c>
      <c r="C802" s="2" t="s">
        <v>16</v>
      </c>
      <c r="D802" s="2">
        <v>23</v>
      </c>
      <c r="E802" s="3">
        <v>44905</v>
      </c>
      <c r="F802" s="2" t="s">
        <v>13</v>
      </c>
      <c r="G802" s="2" t="s">
        <v>18</v>
      </c>
      <c r="H802" t="str">
        <f t="shared" si="24"/>
        <v>Toyota</v>
      </c>
      <c r="I802" t="str">
        <f t="shared" si="25"/>
        <v>Coupe</v>
      </c>
    </row>
    <row r="803" spans="1:9">
      <c r="A803" s="2">
        <v>802</v>
      </c>
      <c r="B803" s="2" t="s">
        <v>71</v>
      </c>
      <c r="C803" s="2" t="s">
        <v>16</v>
      </c>
      <c r="D803" s="2">
        <v>37</v>
      </c>
      <c r="E803" s="3">
        <v>28832</v>
      </c>
      <c r="F803" s="2" t="s">
        <v>13</v>
      </c>
      <c r="G803" s="2" t="s">
        <v>26</v>
      </c>
      <c r="H803" t="str">
        <f t="shared" si="24"/>
        <v>Volkswagen</v>
      </c>
      <c r="I803" t="str">
        <f t="shared" si="25"/>
        <v>Coupe</v>
      </c>
    </row>
    <row r="804" spans="1:9">
      <c r="A804" s="2">
        <v>803</v>
      </c>
      <c r="B804" s="2" t="s">
        <v>70</v>
      </c>
      <c r="C804" s="2" t="s">
        <v>12</v>
      </c>
      <c r="D804" s="2">
        <v>33</v>
      </c>
      <c r="E804" s="3">
        <v>40615</v>
      </c>
      <c r="F804" s="2" t="s">
        <v>28</v>
      </c>
      <c r="G804" s="2" t="s">
        <v>14</v>
      </c>
      <c r="H804" t="str">
        <f t="shared" si="24"/>
        <v>Chevrolet</v>
      </c>
      <c r="I804" t="str">
        <f t="shared" si="25"/>
        <v>Convertible</v>
      </c>
    </row>
    <row r="805" spans="1:9">
      <c r="A805" s="2">
        <v>804</v>
      </c>
      <c r="B805" s="2" t="s">
        <v>88</v>
      </c>
      <c r="C805" s="2" t="s">
        <v>22</v>
      </c>
      <c r="D805" s="2">
        <v>21</v>
      </c>
      <c r="E805" s="3">
        <v>63664</v>
      </c>
      <c r="F805" s="2" t="s">
        <v>9</v>
      </c>
      <c r="G805" s="2" t="s">
        <v>10</v>
      </c>
      <c r="H805" t="str">
        <f t="shared" si="24"/>
        <v>Hyundai</v>
      </c>
      <c r="I805" t="str">
        <f t="shared" si="25"/>
        <v>Convertible</v>
      </c>
    </row>
    <row r="806" spans="1:9">
      <c r="A806" s="2">
        <v>805</v>
      </c>
      <c r="B806" s="2" t="s">
        <v>73</v>
      </c>
      <c r="C806" s="2" t="s">
        <v>8</v>
      </c>
      <c r="D806" s="2">
        <v>25</v>
      </c>
      <c r="E806" s="3">
        <v>78287</v>
      </c>
      <c r="F806" s="2" t="s">
        <v>28</v>
      </c>
      <c r="G806" s="2" t="s">
        <v>14</v>
      </c>
      <c r="H806" t="str">
        <f t="shared" si="24"/>
        <v>Hyundai</v>
      </c>
      <c r="I806" t="str">
        <f t="shared" si="25"/>
        <v>Minivan</v>
      </c>
    </row>
    <row r="807" spans="1:9">
      <c r="A807" s="2">
        <v>806</v>
      </c>
      <c r="B807" s="2" t="s">
        <v>78</v>
      </c>
      <c r="C807" s="2" t="s">
        <v>16</v>
      </c>
      <c r="D807" s="2">
        <v>18</v>
      </c>
      <c r="E807" s="3">
        <v>43613</v>
      </c>
      <c r="F807" s="2" t="s">
        <v>25</v>
      </c>
      <c r="G807" s="2" t="s">
        <v>29</v>
      </c>
      <c r="H807" t="str">
        <f t="shared" si="24"/>
        <v>Hyundai</v>
      </c>
      <c r="I807" t="str">
        <f t="shared" si="25"/>
        <v>Hatchback</v>
      </c>
    </row>
    <row r="808" spans="1:9">
      <c r="A808" s="2">
        <v>807</v>
      </c>
      <c r="B808" s="2" t="s">
        <v>67</v>
      </c>
      <c r="C808" s="2" t="s">
        <v>16</v>
      </c>
      <c r="D808" s="2">
        <v>12</v>
      </c>
      <c r="E808" s="3">
        <v>82035</v>
      </c>
      <c r="F808" s="2" t="s">
        <v>32</v>
      </c>
      <c r="G808" s="2" t="s">
        <v>26</v>
      </c>
      <c r="H808" t="str">
        <f t="shared" si="24"/>
        <v>BMW</v>
      </c>
      <c r="I808" t="str">
        <f t="shared" si="25"/>
        <v>Sedan</v>
      </c>
    </row>
    <row r="809" spans="1:9">
      <c r="A809" s="2">
        <v>808</v>
      </c>
      <c r="B809" s="2" t="s">
        <v>68</v>
      </c>
      <c r="C809" s="2" t="s">
        <v>12</v>
      </c>
      <c r="D809" s="2">
        <v>2</v>
      </c>
      <c r="E809" s="3">
        <v>82337</v>
      </c>
      <c r="F809" s="2" t="s">
        <v>20</v>
      </c>
      <c r="G809" s="2" t="s">
        <v>26</v>
      </c>
      <c r="H809" t="str">
        <f t="shared" si="24"/>
        <v>Honda</v>
      </c>
      <c r="I809" t="str">
        <f t="shared" si="25"/>
        <v>Coupe</v>
      </c>
    </row>
    <row r="810" spans="1:9">
      <c r="A810" s="2">
        <v>809</v>
      </c>
      <c r="B810" s="2" t="s">
        <v>76</v>
      </c>
      <c r="C810" s="2" t="s">
        <v>8</v>
      </c>
      <c r="D810" s="2">
        <v>21</v>
      </c>
      <c r="E810" s="3">
        <v>46921</v>
      </c>
      <c r="F810" s="2" t="s">
        <v>25</v>
      </c>
      <c r="G810" s="2" t="s">
        <v>23</v>
      </c>
      <c r="H810" t="str">
        <f t="shared" si="24"/>
        <v>Toyota</v>
      </c>
      <c r="I810" t="str">
        <f t="shared" si="25"/>
        <v>Minivan</v>
      </c>
    </row>
    <row r="811" spans="1:9">
      <c r="A811" s="2">
        <v>810</v>
      </c>
      <c r="B811" s="2" t="s">
        <v>70</v>
      </c>
      <c r="C811" s="2" t="s">
        <v>12</v>
      </c>
      <c r="D811" s="2">
        <v>39</v>
      </c>
      <c r="E811" s="3">
        <v>49551</v>
      </c>
      <c r="F811" s="2" t="s">
        <v>25</v>
      </c>
      <c r="G811" s="2" t="s">
        <v>10</v>
      </c>
      <c r="H811" t="str">
        <f t="shared" si="24"/>
        <v>Chevrolet</v>
      </c>
      <c r="I811" t="str">
        <f t="shared" si="25"/>
        <v>Convertible</v>
      </c>
    </row>
    <row r="812" spans="1:9">
      <c r="A812" s="2">
        <v>811</v>
      </c>
      <c r="B812" s="2" t="s">
        <v>78</v>
      </c>
      <c r="C812" s="2" t="s">
        <v>16</v>
      </c>
      <c r="D812" s="2">
        <v>15</v>
      </c>
      <c r="E812" s="3">
        <v>90782</v>
      </c>
      <c r="F812" s="2" t="s">
        <v>38</v>
      </c>
      <c r="G812" s="2" t="s">
        <v>26</v>
      </c>
      <c r="H812" t="str">
        <f t="shared" si="24"/>
        <v>Hyundai</v>
      </c>
      <c r="I812" t="str">
        <f t="shared" si="25"/>
        <v>Hatchback</v>
      </c>
    </row>
    <row r="813" spans="1:9">
      <c r="A813" s="2">
        <v>812</v>
      </c>
      <c r="B813" s="2" t="s">
        <v>58</v>
      </c>
      <c r="C813" s="2" t="s">
        <v>22</v>
      </c>
      <c r="D813" s="2">
        <v>2</v>
      </c>
      <c r="E813" s="3">
        <v>78256</v>
      </c>
      <c r="F813" s="2" t="s">
        <v>28</v>
      </c>
      <c r="G813" s="2" t="s">
        <v>23</v>
      </c>
      <c r="H813" t="str">
        <f t="shared" si="24"/>
        <v>Ford</v>
      </c>
      <c r="I813" t="str">
        <f t="shared" si="25"/>
        <v>SUV</v>
      </c>
    </row>
    <row r="814" spans="1:9">
      <c r="A814" s="2">
        <v>813</v>
      </c>
      <c r="B814" s="2" t="s">
        <v>7</v>
      </c>
      <c r="C814" s="2" t="s">
        <v>8</v>
      </c>
      <c r="D814" s="2">
        <v>50</v>
      </c>
      <c r="E814" s="3">
        <v>52545</v>
      </c>
      <c r="F814" s="2" t="s">
        <v>32</v>
      </c>
      <c r="G814" s="2" t="s">
        <v>29</v>
      </c>
      <c r="H814" t="str">
        <f t="shared" si="24"/>
        <v>Ford</v>
      </c>
      <c r="I814" t="str">
        <f t="shared" si="25"/>
        <v>Truck</v>
      </c>
    </row>
    <row r="815" spans="1:9">
      <c r="A815" s="2">
        <v>814</v>
      </c>
      <c r="B815" s="2" t="s">
        <v>59</v>
      </c>
      <c r="C815" s="2" t="s">
        <v>22</v>
      </c>
      <c r="D815" s="2">
        <v>18</v>
      </c>
      <c r="E815" s="3">
        <v>39124</v>
      </c>
      <c r="F815" s="2" t="s">
        <v>32</v>
      </c>
      <c r="G815" s="2" t="s">
        <v>26</v>
      </c>
      <c r="H815" t="str">
        <f t="shared" si="24"/>
        <v>Audi</v>
      </c>
      <c r="I815" t="str">
        <f t="shared" si="25"/>
        <v>Convertible</v>
      </c>
    </row>
    <row r="816" spans="1:9">
      <c r="A816" s="2">
        <v>815</v>
      </c>
      <c r="B816" s="2" t="s">
        <v>56</v>
      </c>
      <c r="C816" s="2" t="s">
        <v>22</v>
      </c>
      <c r="D816" s="2">
        <v>4</v>
      </c>
      <c r="E816" s="3">
        <v>61756</v>
      </c>
      <c r="F816" s="2" t="s">
        <v>32</v>
      </c>
      <c r="G816" s="2" t="s">
        <v>23</v>
      </c>
      <c r="H816" t="str">
        <f t="shared" si="24"/>
        <v>Hyundai</v>
      </c>
      <c r="I816" t="str">
        <f t="shared" si="25"/>
        <v>Coupe</v>
      </c>
    </row>
    <row r="817" spans="1:9">
      <c r="A817" s="2">
        <v>816</v>
      </c>
      <c r="B817" s="2" t="s">
        <v>60</v>
      </c>
      <c r="C817" s="2" t="s">
        <v>12</v>
      </c>
      <c r="D817" s="2">
        <v>31</v>
      </c>
      <c r="E817" s="3">
        <v>91466</v>
      </c>
      <c r="F817" s="2" t="s">
        <v>38</v>
      </c>
      <c r="G817" s="2" t="s">
        <v>29</v>
      </c>
      <c r="H817" t="str">
        <f t="shared" si="24"/>
        <v>Ford</v>
      </c>
      <c r="I817" t="str">
        <f t="shared" si="25"/>
        <v>Convertible</v>
      </c>
    </row>
    <row r="818" spans="1:9">
      <c r="A818" s="2">
        <v>817</v>
      </c>
      <c r="B818" s="2" t="s">
        <v>33</v>
      </c>
      <c r="C818" s="2" t="s">
        <v>16</v>
      </c>
      <c r="D818" s="2">
        <v>34</v>
      </c>
      <c r="E818" s="3">
        <v>45030</v>
      </c>
      <c r="F818" s="2" t="s">
        <v>17</v>
      </c>
      <c r="G818" s="2" t="s">
        <v>14</v>
      </c>
      <c r="H818" t="str">
        <f t="shared" si="24"/>
        <v>Volkswagen</v>
      </c>
      <c r="I818" t="str">
        <f t="shared" si="25"/>
        <v>SUV</v>
      </c>
    </row>
    <row r="819" spans="1:9">
      <c r="A819" s="2">
        <v>818</v>
      </c>
      <c r="B819" s="2" t="s">
        <v>85</v>
      </c>
      <c r="C819" s="2" t="s">
        <v>22</v>
      </c>
      <c r="D819" s="2">
        <v>23</v>
      </c>
      <c r="E819" s="3">
        <v>71010</v>
      </c>
      <c r="F819" s="2" t="s">
        <v>20</v>
      </c>
      <c r="G819" s="2" t="s">
        <v>14</v>
      </c>
      <c r="H819" t="str">
        <f t="shared" si="24"/>
        <v>Toyota</v>
      </c>
      <c r="I819" t="str">
        <f t="shared" si="25"/>
        <v>Sedan</v>
      </c>
    </row>
    <row r="820" spans="1:9">
      <c r="A820" s="2">
        <v>819</v>
      </c>
      <c r="B820" s="2" t="s">
        <v>68</v>
      </c>
      <c r="C820" s="2" t="s">
        <v>8</v>
      </c>
      <c r="D820" s="2">
        <v>50</v>
      </c>
      <c r="E820" s="3">
        <v>83941</v>
      </c>
      <c r="F820" s="2" t="s">
        <v>9</v>
      </c>
      <c r="G820" s="2" t="s">
        <v>26</v>
      </c>
      <c r="H820" t="str">
        <f t="shared" si="24"/>
        <v>Honda</v>
      </c>
      <c r="I820" t="str">
        <f t="shared" si="25"/>
        <v>Coupe</v>
      </c>
    </row>
    <row r="821" spans="1:9">
      <c r="A821" s="2">
        <v>820</v>
      </c>
      <c r="B821" s="2" t="s">
        <v>83</v>
      </c>
      <c r="C821" s="2" t="s">
        <v>12</v>
      </c>
      <c r="D821" s="2">
        <v>38</v>
      </c>
      <c r="E821" s="3">
        <v>51857</v>
      </c>
      <c r="F821" s="2" t="s">
        <v>25</v>
      </c>
      <c r="G821" s="2" t="s">
        <v>29</v>
      </c>
      <c r="H821" t="str">
        <f t="shared" si="24"/>
        <v>Honda</v>
      </c>
      <c r="I821" t="str">
        <f t="shared" si="25"/>
        <v>Sedan</v>
      </c>
    </row>
    <row r="822" spans="1:9">
      <c r="A822" s="2">
        <v>821</v>
      </c>
      <c r="B822" s="2" t="s">
        <v>54</v>
      </c>
      <c r="C822" s="2" t="s">
        <v>8</v>
      </c>
      <c r="D822" s="2">
        <v>15</v>
      </c>
      <c r="E822" s="3">
        <v>61464</v>
      </c>
      <c r="F822" s="2" t="s">
        <v>9</v>
      </c>
      <c r="G822" s="2" t="s">
        <v>10</v>
      </c>
      <c r="H822" t="str">
        <f t="shared" si="24"/>
        <v>Volkswagen</v>
      </c>
      <c r="I822" t="str">
        <f t="shared" si="25"/>
        <v>Minivan</v>
      </c>
    </row>
    <row r="823" spans="1:9">
      <c r="A823" s="2">
        <v>822</v>
      </c>
      <c r="B823" s="2" t="s">
        <v>62</v>
      </c>
      <c r="C823" s="2" t="s">
        <v>22</v>
      </c>
      <c r="D823" s="2">
        <v>11</v>
      </c>
      <c r="E823" s="3">
        <v>70215</v>
      </c>
      <c r="F823" s="2" t="s">
        <v>17</v>
      </c>
      <c r="G823" s="2" t="s">
        <v>26</v>
      </c>
      <c r="H823" t="str">
        <f t="shared" si="24"/>
        <v>Chevrolet</v>
      </c>
      <c r="I823" t="str">
        <f t="shared" si="25"/>
        <v>Minivan</v>
      </c>
    </row>
    <row r="824" spans="1:9">
      <c r="A824" s="2">
        <v>823</v>
      </c>
      <c r="B824" s="2" t="s">
        <v>7</v>
      </c>
      <c r="C824" s="2" t="s">
        <v>8</v>
      </c>
      <c r="D824" s="2">
        <v>7</v>
      </c>
      <c r="E824" s="3">
        <v>64931</v>
      </c>
      <c r="F824" s="2" t="s">
        <v>25</v>
      </c>
      <c r="G824" s="2" t="s">
        <v>14</v>
      </c>
      <c r="H824" t="str">
        <f t="shared" si="24"/>
        <v>Ford</v>
      </c>
      <c r="I824" t="str">
        <f t="shared" si="25"/>
        <v>Truck</v>
      </c>
    </row>
    <row r="825" spans="1:9">
      <c r="A825" s="2">
        <v>824</v>
      </c>
      <c r="B825" s="2" t="s">
        <v>42</v>
      </c>
      <c r="C825" s="2" t="s">
        <v>12</v>
      </c>
      <c r="D825" s="2">
        <v>16</v>
      </c>
      <c r="E825" s="3">
        <v>55840</v>
      </c>
      <c r="F825" s="2" t="s">
        <v>13</v>
      </c>
      <c r="G825" s="2" t="s">
        <v>10</v>
      </c>
      <c r="H825" t="str">
        <f t="shared" si="24"/>
        <v>Tesla</v>
      </c>
      <c r="I825" t="str">
        <f t="shared" si="25"/>
        <v>Hatchback</v>
      </c>
    </row>
    <row r="826" spans="1:9">
      <c r="A826" s="2">
        <v>825</v>
      </c>
      <c r="B826" s="2" t="s">
        <v>65</v>
      </c>
      <c r="C826" s="2" t="s">
        <v>12</v>
      </c>
      <c r="D826" s="2">
        <v>43</v>
      </c>
      <c r="E826" s="3">
        <v>35956</v>
      </c>
      <c r="F826" s="2" t="s">
        <v>9</v>
      </c>
      <c r="G826" s="2" t="s">
        <v>23</v>
      </c>
      <c r="H826" t="str">
        <f t="shared" si="24"/>
        <v>Ford</v>
      </c>
      <c r="I826" t="str">
        <f t="shared" si="25"/>
        <v>Sedan</v>
      </c>
    </row>
    <row r="827" spans="1:9">
      <c r="A827" s="2">
        <v>826</v>
      </c>
      <c r="B827" s="2" t="s">
        <v>75</v>
      </c>
      <c r="C827" s="2" t="s">
        <v>16</v>
      </c>
      <c r="D827" s="2">
        <v>16</v>
      </c>
      <c r="E827" s="3">
        <v>71884</v>
      </c>
      <c r="F827" s="2" t="s">
        <v>9</v>
      </c>
      <c r="G827" s="2" t="s">
        <v>14</v>
      </c>
      <c r="H827" t="str">
        <f t="shared" si="24"/>
        <v>Nissan</v>
      </c>
      <c r="I827" t="str">
        <f t="shared" si="25"/>
        <v>Convertible</v>
      </c>
    </row>
    <row r="828" spans="1:9">
      <c r="A828" s="2">
        <v>827</v>
      </c>
      <c r="B828" s="2" t="s">
        <v>74</v>
      </c>
      <c r="C828" s="2" t="s">
        <v>8</v>
      </c>
      <c r="D828" s="2">
        <v>18</v>
      </c>
      <c r="E828" s="3">
        <v>42087</v>
      </c>
      <c r="F828" s="2" t="s">
        <v>25</v>
      </c>
      <c r="G828" s="2" t="s">
        <v>29</v>
      </c>
      <c r="H828" t="str">
        <f t="shared" si="24"/>
        <v>Audi</v>
      </c>
      <c r="I828" t="str">
        <f t="shared" si="25"/>
        <v>Hatchback</v>
      </c>
    </row>
    <row r="829" spans="1:9">
      <c r="A829" s="2">
        <v>828</v>
      </c>
      <c r="B829" s="2" t="s">
        <v>33</v>
      </c>
      <c r="C829" s="2" t="s">
        <v>12</v>
      </c>
      <c r="D829" s="2">
        <v>35</v>
      </c>
      <c r="E829" s="3">
        <v>34601</v>
      </c>
      <c r="F829" s="2" t="s">
        <v>25</v>
      </c>
      <c r="G829" s="2" t="s">
        <v>26</v>
      </c>
      <c r="H829" t="str">
        <f t="shared" si="24"/>
        <v>Volkswagen</v>
      </c>
      <c r="I829" t="str">
        <f t="shared" si="25"/>
        <v>SUV</v>
      </c>
    </row>
    <row r="830" spans="1:9">
      <c r="A830" s="2">
        <v>829</v>
      </c>
      <c r="B830" s="2" t="s">
        <v>63</v>
      </c>
      <c r="C830" s="2" t="s">
        <v>12</v>
      </c>
      <c r="D830" s="2">
        <v>48</v>
      </c>
      <c r="E830" s="3">
        <v>33400</v>
      </c>
      <c r="F830" s="2" t="s">
        <v>32</v>
      </c>
      <c r="G830" s="2" t="s">
        <v>26</v>
      </c>
      <c r="H830" t="str">
        <f t="shared" si="24"/>
        <v>Volkswagen</v>
      </c>
      <c r="I830" t="str">
        <f t="shared" si="25"/>
        <v>Sedan</v>
      </c>
    </row>
    <row r="831" spans="1:9">
      <c r="A831" s="2">
        <v>830</v>
      </c>
      <c r="B831" s="2" t="s">
        <v>33</v>
      </c>
      <c r="C831" s="2" t="s">
        <v>16</v>
      </c>
      <c r="D831" s="2">
        <v>4</v>
      </c>
      <c r="E831" s="3">
        <v>76499</v>
      </c>
      <c r="F831" s="2" t="s">
        <v>32</v>
      </c>
      <c r="G831" s="2" t="s">
        <v>29</v>
      </c>
      <c r="H831" t="str">
        <f t="shared" si="24"/>
        <v>Volkswagen</v>
      </c>
      <c r="I831" t="str">
        <f t="shared" si="25"/>
        <v>SUV</v>
      </c>
    </row>
    <row r="832" spans="1:9">
      <c r="A832" s="2">
        <v>831</v>
      </c>
      <c r="B832" s="2" t="s">
        <v>42</v>
      </c>
      <c r="C832" s="2" t="s">
        <v>12</v>
      </c>
      <c r="D832" s="2">
        <v>49</v>
      </c>
      <c r="E832" s="3">
        <v>40602</v>
      </c>
      <c r="F832" s="2" t="s">
        <v>38</v>
      </c>
      <c r="G832" s="2" t="s">
        <v>14</v>
      </c>
      <c r="H832" t="str">
        <f t="shared" si="24"/>
        <v>Tesla</v>
      </c>
      <c r="I832" t="str">
        <f t="shared" si="25"/>
        <v>Hatchback</v>
      </c>
    </row>
    <row r="833" spans="1:9">
      <c r="A833" s="2">
        <v>832</v>
      </c>
      <c r="B833" s="2" t="s">
        <v>30</v>
      </c>
      <c r="C833" s="2" t="s">
        <v>22</v>
      </c>
      <c r="D833" s="2">
        <v>15</v>
      </c>
      <c r="E833" s="3">
        <v>72557</v>
      </c>
      <c r="F833" s="2" t="s">
        <v>13</v>
      </c>
      <c r="G833" s="2" t="s">
        <v>29</v>
      </c>
      <c r="H833" t="str">
        <f t="shared" si="24"/>
        <v>Nissan</v>
      </c>
      <c r="I833" t="str">
        <f t="shared" si="25"/>
        <v>Coupe</v>
      </c>
    </row>
    <row r="834" spans="1:9">
      <c r="A834" s="2">
        <v>833</v>
      </c>
      <c r="B834" s="2" t="s">
        <v>34</v>
      </c>
      <c r="C834" s="2" t="s">
        <v>8</v>
      </c>
      <c r="D834" s="2">
        <v>37</v>
      </c>
      <c r="E834" s="3">
        <v>56658</v>
      </c>
      <c r="F834" s="2" t="s">
        <v>38</v>
      </c>
      <c r="G834" s="2" t="s">
        <v>26</v>
      </c>
      <c r="H834" t="str">
        <f t="shared" si="24"/>
        <v>Audi</v>
      </c>
      <c r="I834" t="str">
        <f t="shared" si="25"/>
        <v>Coupe</v>
      </c>
    </row>
    <row r="835" spans="1:9">
      <c r="A835" s="2">
        <v>834</v>
      </c>
      <c r="B835" s="2" t="s">
        <v>88</v>
      </c>
      <c r="C835" s="2" t="s">
        <v>16</v>
      </c>
      <c r="D835" s="2">
        <v>25</v>
      </c>
      <c r="E835" s="3">
        <v>82009</v>
      </c>
      <c r="F835" s="2" t="s">
        <v>28</v>
      </c>
      <c r="G835" s="2" t="s">
        <v>14</v>
      </c>
      <c r="H835" t="str">
        <f t="shared" ref="H835:H898" si="26">LEFT(B835,FIND(",",B835)-1)</f>
        <v>Hyundai</v>
      </c>
      <c r="I835" t="str">
        <f t="shared" ref="I835:I898" si="27">TRIM(MID(B835,FIND(",",B835)+1,LEN(B835)))</f>
        <v>Convertible</v>
      </c>
    </row>
    <row r="836" spans="1:9">
      <c r="A836" s="2">
        <v>835</v>
      </c>
      <c r="B836" s="2" t="s">
        <v>88</v>
      </c>
      <c r="C836" s="2" t="s">
        <v>22</v>
      </c>
      <c r="D836" s="2">
        <v>23</v>
      </c>
      <c r="E836" s="3">
        <v>41515</v>
      </c>
      <c r="F836" s="2" t="s">
        <v>13</v>
      </c>
      <c r="G836" s="2" t="s">
        <v>18</v>
      </c>
      <c r="H836" t="str">
        <f t="shared" si="26"/>
        <v>Hyundai</v>
      </c>
      <c r="I836" t="str">
        <f t="shared" si="27"/>
        <v>Convertible</v>
      </c>
    </row>
    <row r="837" spans="1:9">
      <c r="A837" s="2">
        <v>836</v>
      </c>
      <c r="B837" s="2" t="s">
        <v>70</v>
      </c>
      <c r="C837" s="2" t="s">
        <v>22</v>
      </c>
      <c r="D837" s="2">
        <v>12</v>
      </c>
      <c r="E837" s="3">
        <v>61309</v>
      </c>
      <c r="F837" s="2" t="s">
        <v>32</v>
      </c>
      <c r="G837" s="2" t="s">
        <v>14</v>
      </c>
      <c r="H837" t="str">
        <f t="shared" si="26"/>
        <v>Chevrolet</v>
      </c>
      <c r="I837" t="str">
        <f t="shared" si="27"/>
        <v>Convertible</v>
      </c>
    </row>
    <row r="838" spans="1:9">
      <c r="A838" s="2">
        <v>837</v>
      </c>
      <c r="B838" s="2" t="s">
        <v>33</v>
      </c>
      <c r="C838" s="2" t="s">
        <v>8</v>
      </c>
      <c r="D838" s="2">
        <v>12</v>
      </c>
      <c r="E838" s="3">
        <v>69282</v>
      </c>
      <c r="F838" s="2" t="s">
        <v>32</v>
      </c>
      <c r="G838" s="2" t="s">
        <v>10</v>
      </c>
      <c r="H838" t="str">
        <f t="shared" si="26"/>
        <v>Volkswagen</v>
      </c>
      <c r="I838" t="str">
        <f t="shared" si="27"/>
        <v>SUV</v>
      </c>
    </row>
    <row r="839" spans="1:9">
      <c r="A839" s="2">
        <v>838</v>
      </c>
      <c r="B839" s="2" t="s">
        <v>79</v>
      </c>
      <c r="C839" s="2" t="s">
        <v>16</v>
      </c>
      <c r="D839" s="2">
        <v>16</v>
      </c>
      <c r="E839" s="3">
        <v>94534</v>
      </c>
      <c r="F839" s="2" t="s">
        <v>32</v>
      </c>
      <c r="G839" s="2" t="s">
        <v>23</v>
      </c>
      <c r="H839" t="str">
        <f t="shared" si="26"/>
        <v>Audi</v>
      </c>
      <c r="I839" t="str">
        <f t="shared" si="27"/>
        <v>Truck</v>
      </c>
    </row>
    <row r="840" spans="1:9">
      <c r="A840" s="2">
        <v>839</v>
      </c>
      <c r="B840" s="2" t="s">
        <v>15</v>
      </c>
      <c r="C840" s="2" t="s">
        <v>12</v>
      </c>
      <c r="D840" s="2">
        <v>38</v>
      </c>
      <c r="E840" s="3">
        <v>97526</v>
      </c>
      <c r="F840" s="2" t="s">
        <v>20</v>
      </c>
      <c r="G840" s="2" t="s">
        <v>29</v>
      </c>
      <c r="H840" t="str">
        <f t="shared" si="26"/>
        <v>Chevrolet</v>
      </c>
      <c r="I840" t="str">
        <f t="shared" si="27"/>
        <v>Truck</v>
      </c>
    </row>
    <row r="841" spans="1:9">
      <c r="A841" s="2">
        <v>840</v>
      </c>
      <c r="B841" s="2" t="s">
        <v>90</v>
      </c>
      <c r="C841" s="2" t="s">
        <v>16</v>
      </c>
      <c r="D841" s="2">
        <v>21</v>
      </c>
      <c r="E841" s="3">
        <v>36028</v>
      </c>
      <c r="F841" s="2" t="s">
        <v>25</v>
      </c>
      <c r="G841" s="2" t="s">
        <v>23</v>
      </c>
      <c r="H841" t="str">
        <f t="shared" si="26"/>
        <v>Volkswagen</v>
      </c>
      <c r="I841" t="str">
        <f t="shared" si="27"/>
        <v>Truck</v>
      </c>
    </row>
    <row r="842" spans="1:9">
      <c r="A842" s="2">
        <v>841</v>
      </c>
      <c r="B842" s="2" t="s">
        <v>71</v>
      </c>
      <c r="C842" s="2" t="s">
        <v>12</v>
      </c>
      <c r="D842" s="2">
        <v>48</v>
      </c>
      <c r="E842" s="3">
        <v>84645</v>
      </c>
      <c r="F842" s="2" t="s">
        <v>9</v>
      </c>
      <c r="G842" s="2" t="s">
        <v>14</v>
      </c>
      <c r="H842" t="str">
        <f t="shared" si="26"/>
        <v>Volkswagen</v>
      </c>
      <c r="I842" t="str">
        <f t="shared" si="27"/>
        <v>Coupe</v>
      </c>
    </row>
    <row r="843" spans="1:9">
      <c r="A843" s="2">
        <v>842</v>
      </c>
      <c r="B843" s="2" t="s">
        <v>36</v>
      </c>
      <c r="C843" s="2" t="s">
        <v>8</v>
      </c>
      <c r="D843" s="2">
        <v>45</v>
      </c>
      <c r="E843" s="3">
        <v>27846</v>
      </c>
      <c r="F843" s="2" t="s">
        <v>9</v>
      </c>
      <c r="G843" s="2" t="s">
        <v>14</v>
      </c>
      <c r="H843" t="str">
        <f t="shared" si="26"/>
        <v>Toyota</v>
      </c>
      <c r="I843" t="str">
        <f t="shared" si="27"/>
        <v>Coupe</v>
      </c>
    </row>
    <row r="844" spans="1:9">
      <c r="A844" s="2">
        <v>843</v>
      </c>
      <c r="B844" s="2" t="s">
        <v>54</v>
      </c>
      <c r="C844" s="2" t="s">
        <v>8</v>
      </c>
      <c r="D844" s="2">
        <v>23</v>
      </c>
      <c r="E844" s="3">
        <v>33076</v>
      </c>
      <c r="F844" s="2" t="s">
        <v>17</v>
      </c>
      <c r="G844" s="2" t="s">
        <v>14</v>
      </c>
      <c r="H844" t="str">
        <f t="shared" si="26"/>
        <v>Volkswagen</v>
      </c>
      <c r="I844" t="str">
        <f t="shared" si="27"/>
        <v>Minivan</v>
      </c>
    </row>
    <row r="845" spans="1:9">
      <c r="A845" s="2">
        <v>844</v>
      </c>
      <c r="B845" s="2" t="s">
        <v>7</v>
      </c>
      <c r="C845" s="2" t="s">
        <v>22</v>
      </c>
      <c r="D845" s="2">
        <v>38</v>
      </c>
      <c r="E845" s="3">
        <v>87993</v>
      </c>
      <c r="F845" s="2" t="s">
        <v>9</v>
      </c>
      <c r="G845" s="2" t="s">
        <v>10</v>
      </c>
      <c r="H845" t="str">
        <f t="shared" si="26"/>
        <v>Ford</v>
      </c>
      <c r="I845" t="str">
        <f t="shared" si="27"/>
        <v>Truck</v>
      </c>
    </row>
    <row r="846" spans="1:9">
      <c r="A846" s="2">
        <v>845</v>
      </c>
      <c r="B846" s="2" t="s">
        <v>42</v>
      </c>
      <c r="C846" s="2" t="s">
        <v>22</v>
      </c>
      <c r="D846" s="2">
        <v>2</v>
      </c>
      <c r="E846" s="3">
        <v>65998</v>
      </c>
      <c r="F846" s="2" t="s">
        <v>32</v>
      </c>
      <c r="G846" s="2" t="s">
        <v>23</v>
      </c>
      <c r="H846" t="str">
        <f t="shared" si="26"/>
        <v>Tesla</v>
      </c>
      <c r="I846" t="str">
        <f t="shared" si="27"/>
        <v>Hatchback</v>
      </c>
    </row>
    <row r="847" spans="1:9">
      <c r="A847" s="2">
        <v>846</v>
      </c>
      <c r="B847" s="2" t="s">
        <v>21</v>
      </c>
      <c r="C847" s="2" t="s">
        <v>22</v>
      </c>
      <c r="D847" s="2">
        <v>46</v>
      </c>
      <c r="E847" s="3">
        <v>31641</v>
      </c>
      <c r="F847" s="2" t="s">
        <v>13</v>
      </c>
      <c r="G847" s="2" t="s">
        <v>23</v>
      </c>
      <c r="H847" t="str">
        <f t="shared" si="26"/>
        <v>Tesla</v>
      </c>
      <c r="I847" t="str">
        <f t="shared" si="27"/>
        <v>Convertible</v>
      </c>
    </row>
    <row r="848" spans="1:9">
      <c r="A848" s="2">
        <v>847</v>
      </c>
      <c r="B848" s="2" t="s">
        <v>49</v>
      </c>
      <c r="C848" s="2" t="s">
        <v>8</v>
      </c>
      <c r="D848" s="2">
        <v>45</v>
      </c>
      <c r="E848" s="3">
        <v>50629</v>
      </c>
      <c r="F848" s="2" t="s">
        <v>13</v>
      </c>
      <c r="G848" s="2" t="s">
        <v>29</v>
      </c>
      <c r="H848" t="str">
        <f t="shared" si="26"/>
        <v>Chevrolet</v>
      </c>
      <c r="I848" t="str">
        <f t="shared" si="27"/>
        <v>Sedan</v>
      </c>
    </row>
    <row r="849" spans="1:9">
      <c r="A849" s="2">
        <v>848</v>
      </c>
      <c r="B849" s="2" t="s">
        <v>31</v>
      </c>
      <c r="C849" s="2" t="s">
        <v>12</v>
      </c>
      <c r="D849" s="2">
        <v>23</v>
      </c>
      <c r="E849" s="3">
        <v>97702</v>
      </c>
      <c r="F849" s="2" t="s">
        <v>38</v>
      </c>
      <c r="G849" s="2" t="s">
        <v>14</v>
      </c>
      <c r="H849" t="str">
        <f t="shared" si="26"/>
        <v>Ford</v>
      </c>
      <c r="I849" t="str">
        <f t="shared" si="27"/>
        <v>Minivan</v>
      </c>
    </row>
    <row r="850" spans="1:9">
      <c r="A850" s="2">
        <v>849</v>
      </c>
      <c r="B850" s="2" t="s">
        <v>72</v>
      </c>
      <c r="C850" s="2" t="s">
        <v>8</v>
      </c>
      <c r="D850" s="2">
        <v>37</v>
      </c>
      <c r="E850" s="3">
        <v>30605</v>
      </c>
      <c r="F850" s="2" t="s">
        <v>13</v>
      </c>
      <c r="G850" s="2" t="s">
        <v>29</v>
      </c>
      <c r="H850" t="str">
        <f t="shared" si="26"/>
        <v>Honda</v>
      </c>
      <c r="I850" t="str">
        <f t="shared" si="27"/>
        <v>Hatchback</v>
      </c>
    </row>
    <row r="851" spans="1:9">
      <c r="A851" s="2">
        <v>850</v>
      </c>
      <c r="B851" s="2" t="s">
        <v>42</v>
      </c>
      <c r="C851" s="2" t="s">
        <v>8</v>
      </c>
      <c r="D851" s="2">
        <v>37</v>
      </c>
      <c r="E851" s="3">
        <v>71706</v>
      </c>
      <c r="F851" s="2" t="s">
        <v>17</v>
      </c>
      <c r="G851" s="2" t="s">
        <v>10</v>
      </c>
      <c r="H851" t="str">
        <f t="shared" si="26"/>
        <v>Tesla</v>
      </c>
      <c r="I851" t="str">
        <f t="shared" si="27"/>
        <v>Hatchback</v>
      </c>
    </row>
    <row r="852" spans="1:9">
      <c r="A852" s="2">
        <v>851</v>
      </c>
      <c r="B852" s="2" t="s">
        <v>50</v>
      </c>
      <c r="C852" s="2" t="s">
        <v>22</v>
      </c>
      <c r="D852" s="2">
        <v>10</v>
      </c>
      <c r="E852" s="3">
        <v>86134</v>
      </c>
      <c r="F852" s="2" t="s">
        <v>13</v>
      </c>
      <c r="G852" s="2" t="s">
        <v>18</v>
      </c>
      <c r="H852" t="str">
        <f t="shared" si="26"/>
        <v>Honda</v>
      </c>
      <c r="I852" t="str">
        <f t="shared" si="27"/>
        <v>Truck</v>
      </c>
    </row>
    <row r="853" spans="1:9">
      <c r="A853" s="2">
        <v>852</v>
      </c>
      <c r="B853" s="2" t="s">
        <v>57</v>
      </c>
      <c r="C853" s="2" t="s">
        <v>16</v>
      </c>
      <c r="D853" s="2">
        <v>37</v>
      </c>
      <c r="E853" s="3">
        <v>42692</v>
      </c>
      <c r="F853" s="2" t="s">
        <v>38</v>
      </c>
      <c r="G853" s="2" t="s">
        <v>26</v>
      </c>
      <c r="H853" t="str">
        <f t="shared" si="26"/>
        <v>Nissan</v>
      </c>
      <c r="I853" t="str">
        <f t="shared" si="27"/>
        <v>Sedan</v>
      </c>
    </row>
    <row r="854" spans="1:9">
      <c r="A854" s="2">
        <v>853</v>
      </c>
      <c r="B854" s="2" t="s">
        <v>7</v>
      </c>
      <c r="C854" s="2" t="s">
        <v>22</v>
      </c>
      <c r="D854" s="2">
        <v>13</v>
      </c>
      <c r="E854" s="3">
        <v>95613</v>
      </c>
      <c r="F854" s="2" t="s">
        <v>20</v>
      </c>
      <c r="G854" s="2" t="s">
        <v>26</v>
      </c>
      <c r="H854" t="str">
        <f t="shared" si="26"/>
        <v>Ford</v>
      </c>
      <c r="I854" t="str">
        <f t="shared" si="27"/>
        <v>Truck</v>
      </c>
    </row>
    <row r="855" spans="1:9">
      <c r="A855" s="2">
        <v>854</v>
      </c>
      <c r="B855" s="2" t="s">
        <v>83</v>
      </c>
      <c r="C855" s="2" t="s">
        <v>16</v>
      </c>
      <c r="D855" s="2">
        <v>32</v>
      </c>
      <c r="E855" s="3">
        <v>26167</v>
      </c>
      <c r="F855" s="2" t="s">
        <v>9</v>
      </c>
      <c r="G855" s="2" t="s">
        <v>10</v>
      </c>
      <c r="H855" t="str">
        <f t="shared" si="26"/>
        <v>Honda</v>
      </c>
      <c r="I855" t="str">
        <f t="shared" si="27"/>
        <v>Sedan</v>
      </c>
    </row>
    <row r="856" spans="1:9">
      <c r="A856" s="2">
        <v>855</v>
      </c>
      <c r="B856" s="2" t="s">
        <v>35</v>
      </c>
      <c r="C856" s="2" t="s">
        <v>12</v>
      </c>
      <c r="D856" s="2">
        <v>35</v>
      </c>
      <c r="E856" s="3">
        <v>43670</v>
      </c>
      <c r="F856" s="2" t="s">
        <v>9</v>
      </c>
      <c r="G856" s="2" t="s">
        <v>18</v>
      </c>
      <c r="H856" t="str">
        <f t="shared" si="26"/>
        <v>Toyota</v>
      </c>
      <c r="I856" t="str">
        <f t="shared" si="27"/>
        <v>Convertible</v>
      </c>
    </row>
    <row r="857" spans="1:9">
      <c r="A857" s="2">
        <v>856</v>
      </c>
      <c r="B857" s="2" t="s">
        <v>74</v>
      </c>
      <c r="C857" s="2" t="s">
        <v>12</v>
      </c>
      <c r="D857" s="2">
        <v>20</v>
      </c>
      <c r="E857" s="3">
        <v>96717</v>
      </c>
      <c r="F857" s="2" t="s">
        <v>38</v>
      </c>
      <c r="G857" s="2" t="s">
        <v>14</v>
      </c>
      <c r="H857" t="str">
        <f t="shared" si="26"/>
        <v>Audi</v>
      </c>
      <c r="I857" t="str">
        <f t="shared" si="27"/>
        <v>Hatchback</v>
      </c>
    </row>
    <row r="858" spans="1:9">
      <c r="A858" s="2">
        <v>857</v>
      </c>
      <c r="B858" s="2" t="s">
        <v>56</v>
      </c>
      <c r="C858" s="2" t="s">
        <v>12</v>
      </c>
      <c r="D858" s="2">
        <v>12</v>
      </c>
      <c r="E858" s="3">
        <v>52258</v>
      </c>
      <c r="F858" s="2" t="s">
        <v>32</v>
      </c>
      <c r="G858" s="2" t="s">
        <v>26</v>
      </c>
      <c r="H858" t="str">
        <f t="shared" si="26"/>
        <v>Hyundai</v>
      </c>
      <c r="I858" t="str">
        <f t="shared" si="27"/>
        <v>Coupe</v>
      </c>
    </row>
    <row r="859" spans="1:9">
      <c r="A859" s="2">
        <v>858</v>
      </c>
      <c r="B859" s="2" t="s">
        <v>90</v>
      </c>
      <c r="C859" s="2" t="s">
        <v>22</v>
      </c>
      <c r="D859" s="2">
        <v>32</v>
      </c>
      <c r="E859" s="3">
        <v>83772</v>
      </c>
      <c r="F859" s="2" t="s">
        <v>13</v>
      </c>
      <c r="G859" s="2" t="s">
        <v>23</v>
      </c>
      <c r="H859" t="str">
        <f t="shared" si="26"/>
        <v>Volkswagen</v>
      </c>
      <c r="I859" t="str">
        <f t="shared" si="27"/>
        <v>Truck</v>
      </c>
    </row>
    <row r="860" spans="1:9">
      <c r="A860" s="2">
        <v>859</v>
      </c>
      <c r="B860" s="2" t="s">
        <v>84</v>
      </c>
      <c r="C860" s="2" t="s">
        <v>22</v>
      </c>
      <c r="D860" s="2">
        <v>3</v>
      </c>
      <c r="E860" s="3">
        <v>27710</v>
      </c>
      <c r="F860" s="2" t="s">
        <v>38</v>
      </c>
      <c r="G860" s="2" t="s">
        <v>23</v>
      </c>
      <c r="H860" t="str">
        <f t="shared" si="26"/>
        <v>Hyundai</v>
      </c>
      <c r="I860" t="str">
        <f t="shared" si="27"/>
        <v>Truck</v>
      </c>
    </row>
    <row r="861" spans="1:9">
      <c r="A861" s="2">
        <v>860</v>
      </c>
      <c r="B861" s="2" t="s">
        <v>55</v>
      </c>
      <c r="C861" s="2" t="s">
        <v>22</v>
      </c>
      <c r="D861" s="2">
        <v>6</v>
      </c>
      <c r="E861" s="3">
        <v>65375</v>
      </c>
      <c r="F861" s="2" t="s">
        <v>13</v>
      </c>
      <c r="G861" s="2" t="s">
        <v>29</v>
      </c>
      <c r="H861" t="str">
        <f t="shared" si="26"/>
        <v>Chevrolet</v>
      </c>
      <c r="I861" t="str">
        <f t="shared" si="27"/>
        <v>Hatchback</v>
      </c>
    </row>
    <row r="862" spans="1:9">
      <c r="A862" s="2">
        <v>861</v>
      </c>
      <c r="B862" s="2" t="s">
        <v>76</v>
      </c>
      <c r="C862" s="2" t="s">
        <v>8</v>
      </c>
      <c r="D862" s="2">
        <v>4</v>
      </c>
      <c r="E862" s="3">
        <v>79634</v>
      </c>
      <c r="F862" s="2" t="s">
        <v>38</v>
      </c>
      <c r="G862" s="2" t="s">
        <v>18</v>
      </c>
      <c r="H862" t="str">
        <f t="shared" si="26"/>
        <v>Toyota</v>
      </c>
      <c r="I862" t="str">
        <f t="shared" si="27"/>
        <v>Minivan</v>
      </c>
    </row>
    <row r="863" spans="1:9">
      <c r="A863" s="2">
        <v>862</v>
      </c>
      <c r="B863" s="2" t="s">
        <v>42</v>
      </c>
      <c r="C863" s="2" t="s">
        <v>22</v>
      </c>
      <c r="D863" s="2">
        <v>15</v>
      </c>
      <c r="E863" s="3">
        <v>57786</v>
      </c>
      <c r="F863" s="2" t="s">
        <v>32</v>
      </c>
      <c r="G863" s="2" t="s">
        <v>29</v>
      </c>
      <c r="H863" t="str">
        <f t="shared" si="26"/>
        <v>Tesla</v>
      </c>
      <c r="I863" t="str">
        <f t="shared" si="27"/>
        <v>Hatchback</v>
      </c>
    </row>
    <row r="864" spans="1:9">
      <c r="A864" s="2">
        <v>863</v>
      </c>
      <c r="B864" s="2" t="s">
        <v>70</v>
      </c>
      <c r="C864" s="2" t="s">
        <v>8</v>
      </c>
      <c r="D864" s="2">
        <v>39</v>
      </c>
      <c r="E864" s="3">
        <v>82534</v>
      </c>
      <c r="F864" s="2" t="s">
        <v>28</v>
      </c>
      <c r="G864" s="2" t="s">
        <v>14</v>
      </c>
      <c r="H864" t="str">
        <f t="shared" si="26"/>
        <v>Chevrolet</v>
      </c>
      <c r="I864" t="str">
        <f t="shared" si="27"/>
        <v>Convertible</v>
      </c>
    </row>
    <row r="865" spans="1:9">
      <c r="A865" s="2">
        <v>864</v>
      </c>
      <c r="B865" s="2" t="s">
        <v>62</v>
      </c>
      <c r="C865" s="2" t="s">
        <v>12</v>
      </c>
      <c r="D865" s="2">
        <v>15</v>
      </c>
      <c r="E865" s="3">
        <v>77575</v>
      </c>
      <c r="F865" s="2" t="s">
        <v>9</v>
      </c>
      <c r="G865" s="2" t="s">
        <v>23</v>
      </c>
      <c r="H865" t="str">
        <f t="shared" si="26"/>
        <v>Chevrolet</v>
      </c>
      <c r="I865" t="str">
        <f t="shared" si="27"/>
        <v>Minivan</v>
      </c>
    </row>
    <row r="866" spans="1:9">
      <c r="A866" s="2">
        <v>865</v>
      </c>
      <c r="B866" s="2" t="s">
        <v>43</v>
      </c>
      <c r="C866" s="2" t="s">
        <v>22</v>
      </c>
      <c r="D866" s="2">
        <v>2</v>
      </c>
      <c r="E866" s="3">
        <v>94671</v>
      </c>
      <c r="F866" s="2" t="s">
        <v>13</v>
      </c>
      <c r="G866" s="2" t="s">
        <v>29</v>
      </c>
      <c r="H866" t="str">
        <f t="shared" si="26"/>
        <v>Hyundai</v>
      </c>
      <c r="I866" t="str">
        <f t="shared" si="27"/>
        <v>SUV</v>
      </c>
    </row>
    <row r="867" spans="1:9">
      <c r="A867" s="2">
        <v>866</v>
      </c>
      <c r="B867" s="2" t="s">
        <v>7</v>
      </c>
      <c r="C867" s="2" t="s">
        <v>8</v>
      </c>
      <c r="D867" s="2">
        <v>34</v>
      </c>
      <c r="E867" s="3">
        <v>48137</v>
      </c>
      <c r="F867" s="2" t="s">
        <v>28</v>
      </c>
      <c r="G867" s="2" t="s">
        <v>18</v>
      </c>
      <c r="H867" t="str">
        <f t="shared" si="26"/>
        <v>Ford</v>
      </c>
      <c r="I867" t="str">
        <f t="shared" si="27"/>
        <v>Truck</v>
      </c>
    </row>
    <row r="868" spans="1:9">
      <c r="A868" s="2">
        <v>867</v>
      </c>
      <c r="B868" s="2" t="s">
        <v>80</v>
      </c>
      <c r="C868" s="2" t="s">
        <v>12</v>
      </c>
      <c r="D868" s="2">
        <v>31</v>
      </c>
      <c r="E868" s="3">
        <v>28199</v>
      </c>
      <c r="F868" s="2" t="s">
        <v>28</v>
      </c>
      <c r="G868" s="2" t="s">
        <v>14</v>
      </c>
      <c r="H868" t="str">
        <f t="shared" si="26"/>
        <v>Tesla</v>
      </c>
      <c r="I868" t="str">
        <f t="shared" si="27"/>
        <v>Sedan</v>
      </c>
    </row>
    <row r="869" spans="1:9">
      <c r="A869" s="2">
        <v>868</v>
      </c>
      <c r="B869" s="2" t="s">
        <v>70</v>
      </c>
      <c r="C869" s="2" t="s">
        <v>12</v>
      </c>
      <c r="D869" s="2">
        <v>1</v>
      </c>
      <c r="E869" s="3">
        <v>65557</v>
      </c>
      <c r="F869" s="2" t="s">
        <v>9</v>
      </c>
      <c r="G869" s="2" t="s">
        <v>14</v>
      </c>
      <c r="H869" t="str">
        <f t="shared" si="26"/>
        <v>Chevrolet</v>
      </c>
      <c r="I869" t="str">
        <f t="shared" si="27"/>
        <v>Convertible</v>
      </c>
    </row>
    <row r="870" spans="1:9">
      <c r="A870" s="2">
        <v>869</v>
      </c>
      <c r="B870" s="2" t="s">
        <v>93</v>
      </c>
      <c r="C870" s="2" t="s">
        <v>22</v>
      </c>
      <c r="D870" s="2">
        <v>22</v>
      </c>
      <c r="E870" s="3">
        <v>84528</v>
      </c>
      <c r="F870" s="2" t="s">
        <v>25</v>
      </c>
      <c r="G870" s="2" t="s">
        <v>18</v>
      </c>
      <c r="H870" t="str">
        <f t="shared" si="26"/>
        <v>Volkswagen</v>
      </c>
      <c r="I870" t="str">
        <f t="shared" si="27"/>
        <v>Hatchback</v>
      </c>
    </row>
    <row r="871" spans="1:9">
      <c r="A871" s="2">
        <v>870</v>
      </c>
      <c r="B871" s="2" t="s">
        <v>66</v>
      </c>
      <c r="C871" s="2" t="s">
        <v>16</v>
      </c>
      <c r="D871" s="2">
        <v>40</v>
      </c>
      <c r="E871" s="3">
        <v>72159</v>
      </c>
      <c r="F871" s="2" t="s">
        <v>13</v>
      </c>
      <c r="G871" s="2" t="s">
        <v>29</v>
      </c>
      <c r="H871" t="str">
        <f t="shared" si="26"/>
        <v>Tesla</v>
      </c>
      <c r="I871" t="str">
        <f t="shared" si="27"/>
        <v>SUV</v>
      </c>
    </row>
    <row r="872" spans="1:9">
      <c r="A872" s="2">
        <v>871</v>
      </c>
      <c r="B872" s="2" t="s">
        <v>79</v>
      </c>
      <c r="C872" s="2" t="s">
        <v>16</v>
      </c>
      <c r="D872" s="2">
        <v>13</v>
      </c>
      <c r="E872" s="3">
        <v>77908</v>
      </c>
      <c r="F872" s="2" t="s">
        <v>28</v>
      </c>
      <c r="G872" s="2" t="s">
        <v>10</v>
      </c>
      <c r="H872" t="str">
        <f t="shared" si="26"/>
        <v>Audi</v>
      </c>
      <c r="I872" t="str">
        <f t="shared" si="27"/>
        <v>Truck</v>
      </c>
    </row>
    <row r="873" spans="1:9">
      <c r="A873" s="2">
        <v>872</v>
      </c>
      <c r="B873" s="2" t="s">
        <v>7</v>
      </c>
      <c r="C873" s="2" t="s">
        <v>12</v>
      </c>
      <c r="D873" s="2">
        <v>9</v>
      </c>
      <c r="E873" s="3">
        <v>93756</v>
      </c>
      <c r="F873" s="2" t="s">
        <v>38</v>
      </c>
      <c r="G873" s="2" t="s">
        <v>29</v>
      </c>
      <c r="H873" t="str">
        <f t="shared" si="26"/>
        <v>Ford</v>
      </c>
      <c r="I873" t="str">
        <f t="shared" si="27"/>
        <v>Truck</v>
      </c>
    </row>
    <row r="874" spans="1:9">
      <c r="A874" s="2">
        <v>873</v>
      </c>
      <c r="B874" s="2" t="s">
        <v>81</v>
      </c>
      <c r="C874" s="2" t="s">
        <v>16</v>
      </c>
      <c r="D874" s="2">
        <v>22</v>
      </c>
      <c r="E874" s="3">
        <v>25260</v>
      </c>
      <c r="F874" s="2" t="s">
        <v>25</v>
      </c>
      <c r="G874" s="2" t="s">
        <v>26</v>
      </c>
      <c r="H874" t="str">
        <f t="shared" si="26"/>
        <v>Nissan</v>
      </c>
      <c r="I874" t="str">
        <f t="shared" si="27"/>
        <v>Hatchback</v>
      </c>
    </row>
    <row r="875" spans="1:9">
      <c r="A875" s="2">
        <v>874</v>
      </c>
      <c r="B875" s="2" t="s">
        <v>42</v>
      </c>
      <c r="C875" s="2" t="s">
        <v>16</v>
      </c>
      <c r="D875" s="2">
        <v>46</v>
      </c>
      <c r="E875" s="3">
        <v>89726</v>
      </c>
      <c r="F875" s="2" t="s">
        <v>9</v>
      </c>
      <c r="G875" s="2" t="s">
        <v>18</v>
      </c>
      <c r="H875" t="str">
        <f t="shared" si="26"/>
        <v>Tesla</v>
      </c>
      <c r="I875" t="str">
        <f t="shared" si="27"/>
        <v>Hatchback</v>
      </c>
    </row>
    <row r="876" spans="1:9">
      <c r="A876" s="2">
        <v>875</v>
      </c>
      <c r="B876" s="2" t="s">
        <v>72</v>
      </c>
      <c r="C876" s="2" t="s">
        <v>8</v>
      </c>
      <c r="D876" s="2">
        <v>12</v>
      </c>
      <c r="E876" s="3">
        <v>27062</v>
      </c>
      <c r="F876" s="2" t="s">
        <v>9</v>
      </c>
      <c r="G876" s="2" t="s">
        <v>23</v>
      </c>
      <c r="H876" t="str">
        <f t="shared" si="26"/>
        <v>Honda</v>
      </c>
      <c r="I876" t="str">
        <f t="shared" si="27"/>
        <v>Hatchback</v>
      </c>
    </row>
    <row r="877" spans="1:9">
      <c r="A877" s="2">
        <v>876</v>
      </c>
      <c r="B877" s="2" t="s">
        <v>44</v>
      </c>
      <c r="C877" s="2" t="s">
        <v>8</v>
      </c>
      <c r="D877" s="2">
        <v>21</v>
      </c>
      <c r="E877" s="3">
        <v>86202</v>
      </c>
      <c r="F877" s="2" t="s">
        <v>20</v>
      </c>
      <c r="G877" s="2" t="s">
        <v>29</v>
      </c>
      <c r="H877" t="str">
        <f t="shared" si="26"/>
        <v>Chevrolet</v>
      </c>
      <c r="I877" t="str">
        <f t="shared" si="27"/>
        <v>Coupe</v>
      </c>
    </row>
    <row r="878" spans="1:9">
      <c r="A878" s="2">
        <v>877</v>
      </c>
      <c r="B878" s="2" t="s">
        <v>91</v>
      </c>
      <c r="C878" s="2" t="s">
        <v>8</v>
      </c>
      <c r="D878" s="2">
        <v>4</v>
      </c>
      <c r="E878" s="3">
        <v>57244</v>
      </c>
      <c r="F878" s="2" t="s">
        <v>20</v>
      </c>
      <c r="G878" s="2" t="s">
        <v>10</v>
      </c>
      <c r="H878" t="str">
        <f t="shared" si="26"/>
        <v>Honda</v>
      </c>
      <c r="I878" t="str">
        <f t="shared" si="27"/>
        <v>SUV</v>
      </c>
    </row>
    <row r="879" spans="1:9">
      <c r="A879" s="2">
        <v>878</v>
      </c>
      <c r="B879" s="2" t="s">
        <v>60</v>
      </c>
      <c r="C879" s="2" t="s">
        <v>12</v>
      </c>
      <c r="D879" s="2">
        <v>2</v>
      </c>
      <c r="E879" s="3">
        <v>49256</v>
      </c>
      <c r="F879" s="2" t="s">
        <v>25</v>
      </c>
      <c r="G879" s="2" t="s">
        <v>29</v>
      </c>
      <c r="H879" t="str">
        <f t="shared" si="26"/>
        <v>Ford</v>
      </c>
      <c r="I879" t="str">
        <f t="shared" si="27"/>
        <v>Convertible</v>
      </c>
    </row>
    <row r="880" spans="1:9">
      <c r="A880" s="2">
        <v>879</v>
      </c>
      <c r="B880" s="2" t="s">
        <v>11</v>
      </c>
      <c r="C880" s="2" t="s">
        <v>16</v>
      </c>
      <c r="D880" s="2">
        <v>10</v>
      </c>
      <c r="E880" s="3">
        <v>99465</v>
      </c>
      <c r="F880" s="2" t="s">
        <v>25</v>
      </c>
      <c r="G880" s="2" t="s">
        <v>23</v>
      </c>
      <c r="H880" t="str">
        <f t="shared" si="26"/>
        <v>Toyota</v>
      </c>
      <c r="I880" t="str">
        <f t="shared" si="27"/>
        <v>Hatchback</v>
      </c>
    </row>
    <row r="881" spans="1:9">
      <c r="A881" s="2">
        <v>880</v>
      </c>
      <c r="B881" s="2" t="s">
        <v>83</v>
      </c>
      <c r="C881" s="2" t="s">
        <v>22</v>
      </c>
      <c r="D881" s="2">
        <v>38</v>
      </c>
      <c r="E881" s="3">
        <v>43756</v>
      </c>
      <c r="F881" s="2" t="s">
        <v>13</v>
      </c>
      <c r="G881" s="2" t="s">
        <v>14</v>
      </c>
      <c r="H881" t="str">
        <f t="shared" si="26"/>
        <v>Honda</v>
      </c>
      <c r="I881" t="str">
        <f t="shared" si="27"/>
        <v>Sedan</v>
      </c>
    </row>
    <row r="882" spans="1:9">
      <c r="A882" s="2">
        <v>881</v>
      </c>
      <c r="B882" s="2" t="s">
        <v>15</v>
      </c>
      <c r="C882" s="2" t="s">
        <v>16</v>
      </c>
      <c r="D882" s="2">
        <v>46</v>
      </c>
      <c r="E882" s="3">
        <v>83517</v>
      </c>
      <c r="F882" s="2" t="s">
        <v>13</v>
      </c>
      <c r="G882" s="2" t="s">
        <v>29</v>
      </c>
      <c r="H882" t="str">
        <f t="shared" si="26"/>
        <v>Chevrolet</v>
      </c>
      <c r="I882" t="str">
        <f t="shared" si="27"/>
        <v>Truck</v>
      </c>
    </row>
    <row r="883" spans="1:9">
      <c r="A883" s="2">
        <v>882</v>
      </c>
      <c r="B883" s="2" t="s">
        <v>40</v>
      </c>
      <c r="C883" s="2" t="s">
        <v>12</v>
      </c>
      <c r="D883" s="2">
        <v>10</v>
      </c>
      <c r="E883" s="3">
        <v>55851</v>
      </c>
      <c r="F883" s="2" t="s">
        <v>17</v>
      </c>
      <c r="G883" s="2" t="s">
        <v>14</v>
      </c>
      <c r="H883" t="str">
        <f t="shared" si="26"/>
        <v>Volkswagen</v>
      </c>
      <c r="I883" t="str">
        <f t="shared" si="27"/>
        <v>Convertible</v>
      </c>
    </row>
    <row r="884" spans="1:9">
      <c r="A884" s="2">
        <v>883</v>
      </c>
      <c r="B884" s="2" t="s">
        <v>71</v>
      </c>
      <c r="C884" s="2" t="s">
        <v>8</v>
      </c>
      <c r="D884" s="2">
        <v>50</v>
      </c>
      <c r="E884" s="3">
        <v>69731</v>
      </c>
      <c r="F884" s="2" t="s">
        <v>9</v>
      </c>
      <c r="G884" s="2" t="s">
        <v>26</v>
      </c>
      <c r="H884" t="str">
        <f t="shared" si="26"/>
        <v>Volkswagen</v>
      </c>
      <c r="I884" t="str">
        <f t="shared" si="27"/>
        <v>Coupe</v>
      </c>
    </row>
    <row r="885" spans="1:9">
      <c r="A885" s="2">
        <v>884</v>
      </c>
      <c r="B885" s="2" t="s">
        <v>55</v>
      </c>
      <c r="C885" s="2" t="s">
        <v>12</v>
      </c>
      <c r="D885" s="2">
        <v>8</v>
      </c>
      <c r="E885" s="3">
        <v>79867</v>
      </c>
      <c r="F885" s="2" t="s">
        <v>38</v>
      </c>
      <c r="G885" s="2" t="s">
        <v>23</v>
      </c>
      <c r="H885" t="str">
        <f t="shared" si="26"/>
        <v>Chevrolet</v>
      </c>
      <c r="I885" t="str">
        <f t="shared" si="27"/>
        <v>Hatchback</v>
      </c>
    </row>
    <row r="886" spans="1:9">
      <c r="A886" s="2">
        <v>885</v>
      </c>
      <c r="B886" s="2" t="s">
        <v>73</v>
      </c>
      <c r="C886" s="2" t="s">
        <v>8</v>
      </c>
      <c r="D886" s="2">
        <v>34</v>
      </c>
      <c r="E886" s="3">
        <v>68995</v>
      </c>
      <c r="F886" s="2" t="s">
        <v>25</v>
      </c>
      <c r="G886" s="2" t="s">
        <v>10</v>
      </c>
      <c r="H886" t="str">
        <f t="shared" si="26"/>
        <v>Hyundai</v>
      </c>
      <c r="I886" t="str">
        <f t="shared" si="27"/>
        <v>Minivan</v>
      </c>
    </row>
    <row r="887" spans="1:9">
      <c r="A887" s="2">
        <v>886</v>
      </c>
      <c r="B887" s="2" t="s">
        <v>7</v>
      </c>
      <c r="C887" s="2" t="s">
        <v>12</v>
      </c>
      <c r="D887" s="2">
        <v>24</v>
      </c>
      <c r="E887" s="3">
        <v>41060</v>
      </c>
      <c r="F887" s="2" t="s">
        <v>9</v>
      </c>
      <c r="G887" s="2" t="s">
        <v>29</v>
      </c>
      <c r="H887" t="str">
        <f t="shared" si="26"/>
        <v>Ford</v>
      </c>
      <c r="I887" t="str">
        <f t="shared" si="27"/>
        <v>Truck</v>
      </c>
    </row>
    <row r="888" spans="1:9">
      <c r="A888" s="2">
        <v>887</v>
      </c>
      <c r="B888" s="2" t="s">
        <v>73</v>
      </c>
      <c r="C888" s="2" t="s">
        <v>22</v>
      </c>
      <c r="D888" s="2">
        <v>5</v>
      </c>
      <c r="E888" s="3">
        <v>76300</v>
      </c>
      <c r="F888" s="2" t="s">
        <v>32</v>
      </c>
      <c r="G888" s="2" t="s">
        <v>14</v>
      </c>
      <c r="H888" t="str">
        <f t="shared" si="26"/>
        <v>Hyundai</v>
      </c>
      <c r="I888" t="str">
        <f t="shared" si="27"/>
        <v>Minivan</v>
      </c>
    </row>
    <row r="889" spans="1:9">
      <c r="A889" s="2">
        <v>888</v>
      </c>
      <c r="B889" s="2" t="s">
        <v>86</v>
      </c>
      <c r="C889" s="2" t="s">
        <v>8</v>
      </c>
      <c r="D889" s="2">
        <v>24</v>
      </c>
      <c r="E889" s="3">
        <v>98219</v>
      </c>
      <c r="F889" s="2" t="s">
        <v>9</v>
      </c>
      <c r="G889" s="2" t="s">
        <v>10</v>
      </c>
      <c r="H889" t="str">
        <f t="shared" si="26"/>
        <v>Chevrolet</v>
      </c>
      <c r="I889" t="str">
        <f t="shared" si="27"/>
        <v>SUV</v>
      </c>
    </row>
    <row r="890" spans="1:9">
      <c r="A890" s="2">
        <v>889</v>
      </c>
      <c r="B890" s="2" t="s">
        <v>74</v>
      </c>
      <c r="C890" s="2" t="s">
        <v>8</v>
      </c>
      <c r="D890" s="2">
        <v>46</v>
      </c>
      <c r="E890" s="3">
        <v>84765</v>
      </c>
      <c r="F890" s="2" t="s">
        <v>20</v>
      </c>
      <c r="G890" s="2" t="s">
        <v>14</v>
      </c>
      <c r="H890" t="str">
        <f t="shared" si="26"/>
        <v>Audi</v>
      </c>
      <c r="I890" t="str">
        <f t="shared" si="27"/>
        <v>Hatchback</v>
      </c>
    </row>
    <row r="891" spans="1:9">
      <c r="A891" s="2">
        <v>890</v>
      </c>
      <c r="B891" s="2" t="s">
        <v>55</v>
      </c>
      <c r="C891" s="2" t="s">
        <v>16</v>
      </c>
      <c r="D891" s="2">
        <v>43</v>
      </c>
      <c r="E891" s="3">
        <v>99143</v>
      </c>
      <c r="F891" s="2" t="s">
        <v>28</v>
      </c>
      <c r="G891" s="2" t="s">
        <v>14</v>
      </c>
      <c r="H891" t="str">
        <f t="shared" si="26"/>
        <v>Chevrolet</v>
      </c>
      <c r="I891" t="str">
        <f t="shared" si="27"/>
        <v>Hatchback</v>
      </c>
    </row>
    <row r="892" spans="1:9">
      <c r="A892" s="2">
        <v>891</v>
      </c>
      <c r="B892" s="2" t="s">
        <v>39</v>
      </c>
      <c r="C892" s="2" t="s">
        <v>12</v>
      </c>
      <c r="D892" s="2">
        <v>26</v>
      </c>
      <c r="E892" s="3">
        <v>58342</v>
      </c>
      <c r="F892" s="2" t="s">
        <v>17</v>
      </c>
      <c r="G892" s="2" t="s">
        <v>14</v>
      </c>
      <c r="H892" t="str">
        <f t="shared" si="26"/>
        <v>Nissan</v>
      </c>
      <c r="I892" t="str">
        <f t="shared" si="27"/>
        <v>Minivan</v>
      </c>
    </row>
    <row r="893" spans="1:9">
      <c r="A893" s="2">
        <v>892</v>
      </c>
      <c r="B893" s="2" t="s">
        <v>81</v>
      </c>
      <c r="C893" s="2" t="s">
        <v>16</v>
      </c>
      <c r="D893" s="2">
        <v>38</v>
      </c>
      <c r="E893" s="3">
        <v>65634</v>
      </c>
      <c r="F893" s="2" t="s">
        <v>25</v>
      </c>
      <c r="G893" s="2" t="s">
        <v>29</v>
      </c>
      <c r="H893" t="str">
        <f t="shared" si="26"/>
        <v>Nissan</v>
      </c>
      <c r="I893" t="str">
        <f t="shared" si="27"/>
        <v>Hatchback</v>
      </c>
    </row>
    <row r="894" spans="1:9">
      <c r="A894" s="2">
        <v>893</v>
      </c>
      <c r="B894" s="2" t="s">
        <v>78</v>
      </c>
      <c r="C894" s="2" t="s">
        <v>12</v>
      </c>
      <c r="D894" s="2">
        <v>7</v>
      </c>
      <c r="E894" s="3">
        <v>39724</v>
      </c>
      <c r="F894" s="2" t="s">
        <v>20</v>
      </c>
      <c r="G894" s="2" t="s">
        <v>14</v>
      </c>
      <c r="H894" t="str">
        <f t="shared" si="26"/>
        <v>Hyundai</v>
      </c>
      <c r="I894" t="str">
        <f t="shared" si="27"/>
        <v>Hatchback</v>
      </c>
    </row>
    <row r="895" spans="1:9">
      <c r="A895" s="2">
        <v>894</v>
      </c>
      <c r="B895" s="2" t="s">
        <v>88</v>
      </c>
      <c r="C895" s="2" t="s">
        <v>22</v>
      </c>
      <c r="D895" s="2">
        <v>22</v>
      </c>
      <c r="E895" s="3">
        <v>99854</v>
      </c>
      <c r="F895" s="2" t="s">
        <v>20</v>
      </c>
      <c r="G895" s="2" t="s">
        <v>26</v>
      </c>
      <c r="H895" t="str">
        <f t="shared" si="26"/>
        <v>Hyundai</v>
      </c>
      <c r="I895" t="str">
        <f t="shared" si="27"/>
        <v>Convertible</v>
      </c>
    </row>
    <row r="896" spans="1:9">
      <c r="A896" s="2">
        <v>895</v>
      </c>
      <c r="B896" s="2" t="s">
        <v>65</v>
      </c>
      <c r="C896" s="2" t="s">
        <v>16</v>
      </c>
      <c r="D896" s="2">
        <v>20</v>
      </c>
      <c r="E896" s="3">
        <v>93328</v>
      </c>
      <c r="F896" s="2" t="s">
        <v>20</v>
      </c>
      <c r="G896" s="2" t="s">
        <v>26</v>
      </c>
      <c r="H896" t="str">
        <f t="shared" si="26"/>
        <v>Ford</v>
      </c>
      <c r="I896" t="str">
        <f t="shared" si="27"/>
        <v>Sedan</v>
      </c>
    </row>
    <row r="897" spans="1:9">
      <c r="A897" s="2">
        <v>896</v>
      </c>
      <c r="B897" s="2" t="s">
        <v>93</v>
      </c>
      <c r="C897" s="2" t="s">
        <v>8</v>
      </c>
      <c r="D897" s="2">
        <v>21</v>
      </c>
      <c r="E897" s="3">
        <v>73221</v>
      </c>
      <c r="F897" s="2" t="s">
        <v>9</v>
      </c>
      <c r="G897" s="2" t="s">
        <v>23</v>
      </c>
      <c r="H897" t="str">
        <f t="shared" si="26"/>
        <v>Volkswagen</v>
      </c>
      <c r="I897" t="str">
        <f t="shared" si="27"/>
        <v>Hatchback</v>
      </c>
    </row>
    <row r="898" spans="1:9">
      <c r="A898" s="2">
        <v>897</v>
      </c>
      <c r="B898" s="2" t="s">
        <v>11</v>
      </c>
      <c r="C898" s="2" t="s">
        <v>22</v>
      </c>
      <c r="D898" s="2">
        <v>9</v>
      </c>
      <c r="E898" s="3">
        <v>74692</v>
      </c>
      <c r="F898" s="2" t="s">
        <v>17</v>
      </c>
      <c r="G898" s="2" t="s">
        <v>18</v>
      </c>
      <c r="H898" t="str">
        <f t="shared" si="26"/>
        <v>Toyota</v>
      </c>
      <c r="I898" t="str">
        <f t="shared" si="27"/>
        <v>Hatchback</v>
      </c>
    </row>
    <row r="899" spans="1:9">
      <c r="A899" s="2">
        <v>898</v>
      </c>
      <c r="B899" s="2" t="s">
        <v>34</v>
      </c>
      <c r="C899" s="2" t="s">
        <v>12</v>
      </c>
      <c r="D899" s="2">
        <v>11</v>
      </c>
      <c r="E899" s="3">
        <v>99155</v>
      </c>
      <c r="F899" s="2" t="s">
        <v>20</v>
      </c>
      <c r="G899" s="2" t="s">
        <v>10</v>
      </c>
      <c r="H899" t="str">
        <f t="shared" ref="H899:H962" si="28">LEFT(B899,FIND(",",B899)-1)</f>
        <v>Audi</v>
      </c>
      <c r="I899" t="str">
        <f t="shared" ref="I899:I962" si="29">TRIM(MID(B899,FIND(",",B899)+1,LEN(B899)))</f>
        <v>Coupe</v>
      </c>
    </row>
    <row r="900" spans="1:9">
      <c r="A900" s="2">
        <v>899</v>
      </c>
      <c r="B900" s="2" t="s">
        <v>92</v>
      </c>
      <c r="C900" s="2" t="s">
        <v>8</v>
      </c>
      <c r="D900" s="2">
        <v>47</v>
      </c>
      <c r="E900" s="3">
        <v>98613</v>
      </c>
      <c r="F900" s="2" t="s">
        <v>13</v>
      </c>
      <c r="G900" s="2" t="s">
        <v>26</v>
      </c>
      <c r="H900" t="str">
        <f t="shared" si="28"/>
        <v>BMW</v>
      </c>
      <c r="I900" t="str">
        <f t="shared" si="29"/>
        <v>Convertible</v>
      </c>
    </row>
    <row r="901" spans="1:9">
      <c r="A901" s="2">
        <v>900</v>
      </c>
      <c r="B901" s="2" t="s">
        <v>90</v>
      </c>
      <c r="C901" s="2" t="s">
        <v>12</v>
      </c>
      <c r="D901" s="2">
        <v>28</v>
      </c>
      <c r="E901" s="3">
        <v>41737</v>
      </c>
      <c r="F901" s="2" t="s">
        <v>25</v>
      </c>
      <c r="G901" s="2" t="s">
        <v>10</v>
      </c>
      <c r="H901" t="str">
        <f t="shared" si="28"/>
        <v>Volkswagen</v>
      </c>
      <c r="I901" t="str">
        <f t="shared" si="29"/>
        <v>Truck</v>
      </c>
    </row>
    <row r="902" spans="1:9">
      <c r="A902" s="2">
        <v>901</v>
      </c>
      <c r="B902" s="2" t="s">
        <v>49</v>
      </c>
      <c r="C902" s="2" t="s">
        <v>8</v>
      </c>
      <c r="D902" s="2">
        <v>41</v>
      </c>
      <c r="E902" s="3">
        <v>41456</v>
      </c>
      <c r="F902" s="2" t="s">
        <v>13</v>
      </c>
      <c r="G902" s="2" t="s">
        <v>26</v>
      </c>
      <c r="H902" t="str">
        <f t="shared" si="28"/>
        <v>Chevrolet</v>
      </c>
      <c r="I902" t="str">
        <f t="shared" si="29"/>
        <v>Sedan</v>
      </c>
    </row>
    <row r="903" spans="1:9">
      <c r="A903" s="2">
        <v>902</v>
      </c>
      <c r="B903" s="2" t="s">
        <v>89</v>
      </c>
      <c r="C903" s="2" t="s">
        <v>12</v>
      </c>
      <c r="D903" s="2">
        <v>32</v>
      </c>
      <c r="E903" s="3">
        <v>72003</v>
      </c>
      <c r="F903" s="2" t="s">
        <v>13</v>
      </c>
      <c r="G903" s="2" t="s">
        <v>29</v>
      </c>
      <c r="H903" t="str">
        <f t="shared" si="28"/>
        <v>Toyota</v>
      </c>
      <c r="I903" t="str">
        <f t="shared" si="29"/>
        <v>Truck</v>
      </c>
    </row>
    <row r="904" spans="1:9">
      <c r="A904" s="2">
        <v>903</v>
      </c>
      <c r="B904" s="2" t="s">
        <v>7</v>
      </c>
      <c r="C904" s="2" t="s">
        <v>8</v>
      </c>
      <c r="D904" s="2">
        <v>42</v>
      </c>
      <c r="E904" s="3">
        <v>94587</v>
      </c>
      <c r="F904" s="2" t="s">
        <v>38</v>
      </c>
      <c r="G904" s="2" t="s">
        <v>29</v>
      </c>
      <c r="H904" t="str">
        <f t="shared" si="28"/>
        <v>Ford</v>
      </c>
      <c r="I904" t="str">
        <f t="shared" si="29"/>
        <v>Truck</v>
      </c>
    </row>
    <row r="905" spans="1:9">
      <c r="A905" s="2">
        <v>904</v>
      </c>
      <c r="B905" s="2" t="s">
        <v>66</v>
      </c>
      <c r="C905" s="2" t="s">
        <v>12</v>
      </c>
      <c r="D905" s="2">
        <v>21</v>
      </c>
      <c r="E905" s="3">
        <v>45541</v>
      </c>
      <c r="F905" s="2" t="s">
        <v>25</v>
      </c>
      <c r="G905" s="2" t="s">
        <v>29</v>
      </c>
      <c r="H905" t="str">
        <f t="shared" si="28"/>
        <v>Tesla</v>
      </c>
      <c r="I905" t="str">
        <f t="shared" si="29"/>
        <v>SUV</v>
      </c>
    </row>
    <row r="906" spans="1:9">
      <c r="A906" s="2">
        <v>905</v>
      </c>
      <c r="B906" s="2" t="s">
        <v>33</v>
      </c>
      <c r="C906" s="2" t="s">
        <v>16</v>
      </c>
      <c r="D906" s="2">
        <v>12</v>
      </c>
      <c r="E906" s="3">
        <v>33279</v>
      </c>
      <c r="F906" s="2" t="s">
        <v>17</v>
      </c>
      <c r="G906" s="2" t="s">
        <v>26</v>
      </c>
      <c r="H906" t="str">
        <f t="shared" si="28"/>
        <v>Volkswagen</v>
      </c>
      <c r="I906" t="str">
        <f t="shared" si="29"/>
        <v>SUV</v>
      </c>
    </row>
    <row r="907" spans="1:9">
      <c r="A907" s="2">
        <v>906</v>
      </c>
      <c r="B907" s="2" t="s">
        <v>90</v>
      </c>
      <c r="C907" s="2" t="s">
        <v>8</v>
      </c>
      <c r="D907" s="2">
        <v>46</v>
      </c>
      <c r="E907" s="3">
        <v>49975</v>
      </c>
      <c r="F907" s="2" t="s">
        <v>25</v>
      </c>
      <c r="G907" s="2" t="s">
        <v>18</v>
      </c>
      <c r="H907" t="str">
        <f t="shared" si="28"/>
        <v>Volkswagen</v>
      </c>
      <c r="I907" t="str">
        <f t="shared" si="29"/>
        <v>Truck</v>
      </c>
    </row>
    <row r="908" spans="1:9">
      <c r="A908" s="2">
        <v>907</v>
      </c>
      <c r="B908" s="2" t="s">
        <v>76</v>
      </c>
      <c r="C908" s="2" t="s">
        <v>8</v>
      </c>
      <c r="D908" s="2">
        <v>36</v>
      </c>
      <c r="E908" s="3">
        <v>61254</v>
      </c>
      <c r="F908" s="2" t="s">
        <v>25</v>
      </c>
      <c r="G908" s="2" t="s">
        <v>23</v>
      </c>
      <c r="H908" t="str">
        <f t="shared" si="28"/>
        <v>Toyota</v>
      </c>
      <c r="I908" t="str">
        <f t="shared" si="29"/>
        <v>Minivan</v>
      </c>
    </row>
    <row r="909" spans="1:9">
      <c r="A909" s="2">
        <v>908</v>
      </c>
      <c r="B909" s="2" t="s">
        <v>44</v>
      </c>
      <c r="C909" s="2" t="s">
        <v>16</v>
      </c>
      <c r="D909" s="2">
        <v>45</v>
      </c>
      <c r="E909" s="3">
        <v>47286</v>
      </c>
      <c r="F909" s="2" t="s">
        <v>25</v>
      </c>
      <c r="G909" s="2" t="s">
        <v>10</v>
      </c>
      <c r="H909" t="str">
        <f t="shared" si="28"/>
        <v>Chevrolet</v>
      </c>
      <c r="I909" t="str">
        <f t="shared" si="29"/>
        <v>Coupe</v>
      </c>
    </row>
    <row r="910" spans="1:9">
      <c r="A910" s="2">
        <v>909</v>
      </c>
      <c r="B910" s="2" t="s">
        <v>33</v>
      </c>
      <c r="C910" s="2" t="s">
        <v>12</v>
      </c>
      <c r="D910" s="2">
        <v>40</v>
      </c>
      <c r="E910" s="3">
        <v>80513</v>
      </c>
      <c r="F910" s="2" t="s">
        <v>25</v>
      </c>
      <c r="G910" s="2" t="s">
        <v>10</v>
      </c>
      <c r="H910" t="str">
        <f t="shared" si="28"/>
        <v>Volkswagen</v>
      </c>
      <c r="I910" t="str">
        <f t="shared" si="29"/>
        <v>SUV</v>
      </c>
    </row>
    <row r="911" spans="1:9">
      <c r="A911" s="2">
        <v>910</v>
      </c>
      <c r="B911" s="2" t="s">
        <v>45</v>
      </c>
      <c r="C911" s="2" t="s">
        <v>8</v>
      </c>
      <c r="D911" s="2">
        <v>23</v>
      </c>
      <c r="E911" s="3">
        <v>55350</v>
      </c>
      <c r="F911" s="2" t="s">
        <v>38</v>
      </c>
      <c r="G911" s="2" t="s">
        <v>29</v>
      </c>
      <c r="H911" t="str">
        <f t="shared" si="28"/>
        <v>Toyota</v>
      </c>
      <c r="I911" t="str">
        <f t="shared" si="29"/>
        <v>SUV</v>
      </c>
    </row>
    <row r="912" spans="1:9">
      <c r="A912" s="2">
        <v>911</v>
      </c>
      <c r="B912" s="2" t="s">
        <v>91</v>
      </c>
      <c r="C912" s="2" t="s">
        <v>16</v>
      </c>
      <c r="D912" s="2">
        <v>15</v>
      </c>
      <c r="E912" s="3">
        <v>31143</v>
      </c>
      <c r="F912" s="2" t="s">
        <v>13</v>
      </c>
      <c r="G912" s="2" t="s">
        <v>29</v>
      </c>
      <c r="H912" t="str">
        <f t="shared" si="28"/>
        <v>Honda</v>
      </c>
      <c r="I912" t="str">
        <f t="shared" si="29"/>
        <v>SUV</v>
      </c>
    </row>
    <row r="913" spans="1:9">
      <c r="A913" s="2">
        <v>912</v>
      </c>
      <c r="B913" s="2" t="s">
        <v>43</v>
      </c>
      <c r="C913" s="2" t="s">
        <v>12</v>
      </c>
      <c r="D913" s="2">
        <v>43</v>
      </c>
      <c r="E913" s="3">
        <v>72631</v>
      </c>
      <c r="F913" s="2" t="s">
        <v>28</v>
      </c>
      <c r="G913" s="2" t="s">
        <v>23</v>
      </c>
      <c r="H913" t="str">
        <f t="shared" si="28"/>
        <v>Hyundai</v>
      </c>
      <c r="I913" t="str">
        <f t="shared" si="29"/>
        <v>SUV</v>
      </c>
    </row>
    <row r="914" spans="1:9">
      <c r="A914" s="2">
        <v>913</v>
      </c>
      <c r="B914" s="2" t="s">
        <v>57</v>
      </c>
      <c r="C914" s="2" t="s">
        <v>8</v>
      </c>
      <c r="D914" s="2">
        <v>38</v>
      </c>
      <c r="E914" s="3">
        <v>95527</v>
      </c>
      <c r="F914" s="2" t="s">
        <v>28</v>
      </c>
      <c r="G914" s="2" t="s">
        <v>26</v>
      </c>
      <c r="H914" t="str">
        <f t="shared" si="28"/>
        <v>Nissan</v>
      </c>
      <c r="I914" t="str">
        <f t="shared" si="29"/>
        <v>Sedan</v>
      </c>
    </row>
    <row r="915" spans="1:9">
      <c r="A915" s="2">
        <v>914</v>
      </c>
      <c r="B915" s="2" t="s">
        <v>84</v>
      </c>
      <c r="C915" s="2" t="s">
        <v>8</v>
      </c>
      <c r="D915" s="2">
        <v>12</v>
      </c>
      <c r="E915" s="3">
        <v>94429</v>
      </c>
      <c r="F915" s="2" t="s">
        <v>9</v>
      </c>
      <c r="G915" s="2" t="s">
        <v>14</v>
      </c>
      <c r="H915" t="str">
        <f t="shared" si="28"/>
        <v>Hyundai</v>
      </c>
      <c r="I915" t="str">
        <f t="shared" si="29"/>
        <v>Truck</v>
      </c>
    </row>
    <row r="916" spans="1:9">
      <c r="A916" s="2">
        <v>915</v>
      </c>
      <c r="B916" s="2" t="s">
        <v>62</v>
      </c>
      <c r="C916" s="2" t="s">
        <v>12</v>
      </c>
      <c r="D916" s="2">
        <v>25</v>
      </c>
      <c r="E916" s="3">
        <v>97929</v>
      </c>
      <c r="F916" s="2" t="s">
        <v>28</v>
      </c>
      <c r="G916" s="2" t="s">
        <v>23</v>
      </c>
      <c r="H916" t="str">
        <f t="shared" si="28"/>
        <v>Chevrolet</v>
      </c>
      <c r="I916" t="str">
        <f t="shared" si="29"/>
        <v>Minivan</v>
      </c>
    </row>
    <row r="917" spans="1:9">
      <c r="A917" s="2">
        <v>916</v>
      </c>
      <c r="B917" s="2" t="s">
        <v>46</v>
      </c>
      <c r="C917" s="2" t="s">
        <v>16</v>
      </c>
      <c r="D917" s="2">
        <v>20</v>
      </c>
      <c r="E917" s="3">
        <v>25603</v>
      </c>
      <c r="F917" s="2" t="s">
        <v>25</v>
      </c>
      <c r="G917" s="2" t="s">
        <v>29</v>
      </c>
      <c r="H917" t="str">
        <f t="shared" si="28"/>
        <v>Honda</v>
      </c>
      <c r="I917" t="str">
        <f t="shared" si="29"/>
        <v>Minivan</v>
      </c>
    </row>
    <row r="918" spans="1:9">
      <c r="A918" s="2">
        <v>917</v>
      </c>
      <c r="B918" s="2" t="s">
        <v>63</v>
      </c>
      <c r="C918" s="2" t="s">
        <v>8</v>
      </c>
      <c r="D918" s="2">
        <v>47</v>
      </c>
      <c r="E918" s="3">
        <v>70467</v>
      </c>
      <c r="F918" s="2" t="s">
        <v>20</v>
      </c>
      <c r="G918" s="2" t="s">
        <v>26</v>
      </c>
      <c r="H918" t="str">
        <f t="shared" si="28"/>
        <v>Volkswagen</v>
      </c>
      <c r="I918" t="str">
        <f t="shared" si="29"/>
        <v>Sedan</v>
      </c>
    </row>
    <row r="919" spans="1:9">
      <c r="A919" s="2">
        <v>918</v>
      </c>
      <c r="B919" s="2" t="s">
        <v>59</v>
      </c>
      <c r="C919" s="2" t="s">
        <v>12</v>
      </c>
      <c r="D919" s="2">
        <v>45</v>
      </c>
      <c r="E919" s="3">
        <v>74838</v>
      </c>
      <c r="F919" s="2" t="s">
        <v>25</v>
      </c>
      <c r="G919" s="2" t="s">
        <v>10</v>
      </c>
      <c r="H919" t="str">
        <f t="shared" si="28"/>
        <v>Audi</v>
      </c>
      <c r="I919" t="str">
        <f t="shared" si="29"/>
        <v>Convertible</v>
      </c>
    </row>
    <row r="920" spans="1:9">
      <c r="A920" s="2">
        <v>919</v>
      </c>
      <c r="B920" s="2" t="s">
        <v>73</v>
      </c>
      <c r="C920" s="2" t="s">
        <v>8</v>
      </c>
      <c r="D920" s="2">
        <v>19</v>
      </c>
      <c r="E920" s="3">
        <v>29134</v>
      </c>
      <c r="F920" s="2" t="s">
        <v>32</v>
      </c>
      <c r="G920" s="2" t="s">
        <v>23</v>
      </c>
      <c r="H920" t="str">
        <f t="shared" si="28"/>
        <v>Hyundai</v>
      </c>
      <c r="I920" t="str">
        <f t="shared" si="29"/>
        <v>Minivan</v>
      </c>
    </row>
    <row r="921" spans="1:9">
      <c r="A921" s="2">
        <v>920</v>
      </c>
      <c r="B921" s="2" t="s">
        <v>60</v>
      </c>
      <c r="C921" s="2" t="s">
        <v>12</v>
      </c>
      <c r="D921" s="2">
        <v>9</v>
      </c>
      <c r="E921" s="3">
        <v>47299</v>
      </c>
      <c r="F921" s="2" t="s">
        <v>38</v>
      </c>
      <c r="G921" s="2" t="s">
        <v>14</v>
      </c>
      <c r="H921" t="str">
        <f t="shared" si="28"/>
        <v>Ford</v>
      </c>
      <c r="I921" t="str">
        <f t="shared" si="29"/>
        <v>Convertible</v>
      </c>
    </row>
    <row r="922" spans="1:9">
      <c r="A922" s="2">
        <v>921</v>
      </c>
      <c r="B922" s="2" t="s">
        <v>73</v>
      </c>
      <c r="C922" s="2" t="s">
        <v>8</v>
      </c>
      <c r="D922" s="2">
        <v>12</v>
      </c>
      <c r="E922" s="3">
        <v>58215</v>
      </c>
      <c r="F922" s="2" t="s">
        <v>28</v>
      </c>
      <c r="G922" s="2" t="s">
        <v>26</v>
      </c>
      <c r="H922" t="str">
        <f t="shared" si="28"/>
        <v>Hyundai</v>
      </c>
      <c r="I922" t="str">
        <f t="shared" si="29"/>
        <v>Minivan</v>
      </c>
    </row>
    <row r="923" spans="1:9">
      <c r="A923" s="2">
        <v>922</v>
      </c>
      <c r="B923" s="2" t="s">
        <v>52</v>
      </c>
      <c r="C923" s="2" t="s">
        <v>22</v>
      </c>
      <c r="D923" s="2">
        <v>47</v>
      </c>
      <c r="E923" s="3">
        <v>77730</v>
      </c>
      <c r="F923" s="2" t="s">
        <v>38</v>
      </c>
      <c r="G923" s="2" t="s">
        <v>18</v>
      </c>
      <c r="H923" t="str">
        <f t="shared" si="28"/>
        <v>BMW</v>
      </c>
      <c r="I923" t="str">
        <f t="shared" si="29"/>
        <v>Hatchback</v>
      </c>
    </row>
    <row r="924" spans="1:9">
      <c r="A924" s="2">
        <v>923</v>
      </c>
      <c r="B924" s="2" t="s">
        <v>59</v>
      </c>
      <c r="C924" s="2" t="s">
        <v>16</v>
      </c>
      <c r="D924" s="2">
        <v>1</v>
      </c>
      <c r="E924" s="3">
        <v>87445</v>
      </c>
      <c r="F924" s="2" t="s">
        <v>9</v>
      </c>
      <c r="G924" s="2" t="s">
        <v>18</v>
      </c>
      <c r="H924" t="str">
        <f t="shared" si="28"/>
        <v>Audi</v>
      </c>
      <c r="I924" t="str">
        <f t="shared" si="29"/>
        <v>Convertible</v>
      </c>
    </row>
    <row r="925" spans="1:9">
      <c r="A925" s="2">
        <v>924</v>
      </c>
      <c r="B925" s="2" t="s">
        <v>67</v>
      </c>
      <c r="C925" s="2" t="s">
        <v>16</v>
      </c>
      <c r="D925" s="2">
        <v>45</v>
      </c>
      <c r="E925" s="3">
        <v>34514</v>
      </c>
      <c r="F925" s="2" t="s">
        <v>9</v>
      </c>
      <c r="G925" s="2" t="s">
        <v>10</v>
      </c>
      <c r="H925" t="str">
        <f t="shared" si="28"/>
        <v>BMW</v>
      </c>
      <c r="I925" t="str">
        <f t="shared" si="29"/>
        <v>Sedan</v>
      </c>
    </row>
    <row r="926" spans="1:9">
      <c r="A926" s="2">
        <v>925</v>
      </c>
      <c r="B926" s="2" t="s">
        <v>52</v>
      </c>
      <c r="C926" s="2" t="s">
        <v>22</v>
      </c>
      <c r="D926" s="2">
        <v>37</v>
      </c>
      <c r="E926" s="3">
        <v>82148</v>
      </c>
      <c r="F926" s="2" t="s">
        <v>9</v>
      </c>
      <c r="G926" s="2" t="s">
        <v>14</v>
      </c>
      <c r="H926" t="str">
        <f t="shared" si="28"/>
        <v>BMW</v>
      </c>
      <c r="I926" t="str">
        <f t="shared" si="29"/>
        <v>Hatchback</v>
      </c>
    </row>
    <row r="927" spans="1:9">
      <c r="A927" s="2">
        <v>926</v>
      </c>
      <c r="B927" s="2" t="s">
        <v>7</v>
      </c>
      <c r="C927" s="2" t="s">
        <v>12</v>
      </c>
      <c r="D927" s="2">
        <v>26</v>
      </c>
      <c r="E927" s="3">
        <v>49495</v>
      </c>
      <c r="F927" s="2" t="s">
        <v>38</v>
      </c>
      <c r="G927" s="2" t="s">
        <v>23</v>
      </c>
      <c r="H927" t="str">
        <f t="shared" si="28"/>
        <v>Ford</v>
      </c>
      <c r="I927" t="str">
        <f t="shared" si="29"/>
        <v>Truck</v>
      </c>
    </row>
    <row r="928" spans="1:9">
      <c r="A928" s="2">
        <v>927</v>
      </c>
      <c r="B928" s="2" t="s">
        <v>46</v>
      </c>
      <c r="C928" s="2" t="s">
        <v>16</v>
      </c>
      <c r="D928" s="2">
        <v>50</v>
      </c>
      <c r="E928" s="3">
        <v>51093</v>
      </c>
      <c r="F928" s="2" t="s">
        <v>9</v>
      </c>
      <c r="G928" s="2" t="s">
        <v>29</v>
      </c>
      <c r="H928" t="str">
        <f t="shared" si="28"/>
        <v>Honda</v>
      </c>
      <c r="I928" t="str">
        <f t="shared" si="29"/>
        <v>Minivan</v>
      </c>
    </row>
    <row r="929" spans="1:9">
      <c r="A929" s="2">
        <v>928</v>
      </c>
      <c r="B929" s="2" t="s">
        <v>92</v>
      </c>
      <c r="C929" s="2" t="s">
        <v>12</v>
      </c>
      <c r="D929" s="2">
        <v>37</v>
      </c>
      <c r="E929" s="3">
        <v>90151</v>
      </c>
      <c r="F929" s="2" t="s">
        <v>32</v>
      </c>
      <c r="G929" s="2" t="s">
        <v>29</v>
      </c>
      <c r="H929" t="str">
        <f t="shared" si="28"/>
        <v>BMW</v>
      </c>
      <c r="I929" t="str">
        <f t="shared" si="29"/>
        <v>Convertible</v>
      </c>
    </row>
    <row r="930" spans="1:9">
      <c r="A930" s="2">
        <v>929</v>
      </c>
      <c r="B930" s="2" t="s">
        <v>41</v>
      </c>
      <c r="C930" s="2" t="s">
        <v>8</v>
      </c>
      <c r="D930" s="2">
        <v>3</v>
      </c>
      <c r="E930" s="3">
        <v>75511</v>
      </c>
      <c r="F930" s="2" t="s">
        <v>32</v>
      </c>
      <c r="G930" s="2" t="s">
        <v>14</v>
      </c>
      <c r="H930" t="str">
        <f t="shared" si="28"/>
        <v>Audi</v>
      </c>
      <c r="I930" t="str">
        <f t="shared" si="29"/>
        <v>SUV</v>
      </c>
    </row>
    <row r="931" spans="1:9">
      <c r="A931" s="2">
        <v>930</v>
      </c>
      <c r="B931" s="2" t="s">
        <v>88</v>
      </c>
      <c r="C931" s="2" t="s">
        <v>22</v>
      </c>
      <c r="D931" s="2">
        <v>12</v>
      </c>
      <c r="E931" s="3">
        <v>96933</v>
      </c>
      <c r="F931" s="2" t="s">
        <v>9</v>
      </c>
      <c r="G931" s="2" t="s">
        <v>23</v>
      </c>
      <c r="H931" t="str">
        <f t="shared" si="28"/>
        <v>Hyundai</v>
      </c>
      <c r="I931" t="str">
        <f t="shared" si="29"/>
        <v>Convertible</v>
      </c>
    </row>
    <row r="932" spans="1:9">
      <c r="A932" s="2">
        <v>931</v>
      </c>
      <c r="B932" s="2" t="s">
        <v>44</v>
      </c>
      <c r="C932" s="2" t="s">
        <v>12</v>
      </c>
      <c r="D932" s="2">
        <v>39</v>
      </c>
      <c r="E932" s="3">
        <v>54028</v>
      </c>
      <c r="F932" s="2" t="s">
        <v>9</v>
      </c>
      <c r="G932" s="2" t="s">
        <v>14</v>
      </c>
      <c r="H932" t="str">
        <f t="shared" si="28"/>
        <v>Chevrolet</v>
      </c>
      <c r="I932" t="str">
        <f t="shared" si="29"/>
        <v>Coupe</v>
      </c>
    </row>
    <row r="933" spans="1:9">
      <c r="A933" s="2">
        <v>932</v>
      </c>
      <c r="B933" s="2" t="s">
        <v>41</v>
      </c>
      <c r="C933" s="2" t="s">
        <v>12</v>
      </c>
      <c r="D933" s="2">
        <v>21</v>
      </c>
      <c r="E933" s="3">
        <v>61694</v>
      </c>
      <c r="F933" s="2" t="s">
        <v>13</v>
      </c>
      <c r="G933" s="2" t="s">
        <v>23</v>
      </c>
      <c r="H933" t="str">
        <f t="shared" si="28"/>
        <v>Audi</v>
      </c>
      <c r="I933" t="str">
        <f t="shared" si="29"/>
        <v>SUV</v>
      </c>
    </row>
    <row r="934" spans="1:9">
      <c r="A934" s="2">
        <v>933</v>
      </c>
      <c r="B934" s="2" t="s">
        <v>87</v>
      </c>
      <c r="C934" s="2" t="s">
        <v>16</v>
      </c>
      <c r="D934" s="2">
        <v>40</v>
      </c>
      <c r="E934" s="3">
        <v>65016</v>
      </c>
      <c r="F934" s="2" t="s">
        <v>9</v>
      </c>
      <c r="G934" s="2" t="s">
        <v>18</v>
      </c>
      <c r="H934" t="str">
        <f t="shared" si="28"/>
        <v>Nissan</v>
      </c>
      <c r="I934" t="str">
        <f t="shared" si="29"/>
        <v>SUV</v>
      </c>
    </row>
    <row r="935" spans="1:9">
      <c r="A935" s="2">
        <v>934</v>
      </c>
      <c r="B935" s="2" t="s">
        <v>45</v>
      </c>
      <c r="C935" s="2" t="s">
        <v>8</v>
      </c>
      <c r="D935" s="2">
        <v>15</v>
      </c>
      <c r="E935" s="3">
        <v>75927</v>
      </c>
      <c r="F935" s="2" t="s">
        <v>20</v>
      </c>
      <c r="G935" s="2" t="s">
        <v>23</v>
      </c>
      <c r="H935" t="str">
        <f t="shared" si="28"/>
        <v>Toyota</v>
      </c>
      <c r="I935" t="str">
        <f t="shared" si="29"/>
        <v>SUV</v>
      </c>
    </row>
    <row r="936" spans="1:9">
      <c r="A936" s="2">
        <v>935</v>
      </c>
      <c r="B936" s="2" t="s">
        <v>73</v>
      </c>
      <c r="C936" s="2" t="s">
        <v>16</v>
      </c>
      <c r="D936" s="2">
        <v>41</v>
      </c>
      <c r="E936" s="3">
        <v>31787</v>
      </c>
      <c r="F936" s="2" t="s">
        <v>38</v>
      </c>
      <c r="G936" s="2" t="s">
        <v>23</v>
      </c>
      <c r="H936" t="str">
        <f t="shared" si="28"/>
        <v>Hyundai</v>
      </c>
      <c r="I936" t="str">
        <f t="shared" si="29"/>
        <v>Minivan</v>
      </c>
    </row>
    <row r="937" spans="1:9">
      <c r="A937" s="2">
        <v>936</v>
      </c>
      <c r="B937" s="2" t="s">
        <v>27</v>
      </c>
      <c r="C937" s="2" t="s">
        <v>8</v>
      </c>
      <c r="D937" s="2">
        <v>37</v>
      </c>
      <c r="E937" s="3">
        <v>61127</v>
      </c>
      <c r="F937" s="2" t="s">
        <v>32</v>
      </c>
      <c r="G937" s="2" t="s">
        <v>29</v>
      </c>
      <c r="H937" t="str">
        <f t="shared" si="28"/>
        <v>Ford</v>
      </c>
      <c r="I937" t="str">
        <f t="shared" si="29"/>
        <v>Hatchback</v>
      </c>
    </row>
    <row r="938" spans="1:9">
      <c r="A938" s="2">
        <v>937</v>
      </c>
      <c r="B938" s="2" t="s">
        <v>53</v>
      </c>
      <c r="C938" s="2" t="s">
        <v>16</v>
      </c>
      <c r="D938" s="2">
        <v>7</v>
      </c>
      <c r="E938" s="3">
        <v>36331</v>
      </c>
      <c r="F938" s="2" t="s">
        <v>28</v>
      </c>
      <c r="G938" s="2" t="s">
        <v>10</v>
      </c>
      <c r="H938" t="str">
        <f t="shared" si="28"/>
        <v>BMW</v>
      </c>
      <c r="I938" t="str">
        <f t="shared" si="29"/>
        <v>Minivan</v>
      </c>
    </row>
    <row r="939" spans="1:9">
      <c r="A939" s="2">
        <v>938</v>
      </c>
      <c r="B939" s="2" t="s">
        <v>70</v>
      </c>
      <c r="C939" s="2" t="s">
        <v>12</v>
      </c>
      <c r="D939" s="2">
        <v>32</v>
      </c>
      <c r="E939" s="3">
        <v>36693</v>
      </c>
      <c r="F939" s="2" t="s">
        <v>32</v>
      </c>
      <c r="G939" s="2" t="s">
        <v>26</v>
      </c>
      <c r="H939" t="str">
        <f t="shared" si="28"/>
        <v>Chevrolet</v>
      </c>
      <c r="I939" t="str">
        <f t="shared" si="29"/>
        <v>Convertible</v>
      </c>
    </row>
    <row r="940" spans="1:9">
      <c r="A940" s="2">
        <v>939</v>
      </c>
      <c r="B940" s="2" t="s">
        <v>53</v>
      </c>
      <c r="C940" s="2" t="s">
        <v>12</v>
      </c>
      <c r="D940" s="2">
        <v>10</v>
      </c>
      <c r="E940" s="3">
        <v>71062</v>
      </c>
      <c r="F940" s="2" t="s">
        <v>38</v>
      </c>
      <c r="G940" s="2" t="s">
        <v>26</v>
      </c>
      <c r="H940" t="str">
        <f t="shared" si="28"/>
        <v>BMW</v>
      </c>
      <c r="I940" t="str">
        <f t="shared" si="29"/>
        <v>Minivan</v>
      </c>
    </row>
    <row r="941" spans="1:9">
      <c r="A941" s="2">
        <v>940</v>
      </c>
      <c r="B941" s="2" t="s">
        <v>58</v>
      </c>
      <c r="C941" s="2" t="s">
        <v>22</v>
      </c>
      <c r="D941" s="2">
        <v>22</v>
      </c>
      <c r="E941" s="3">
        <v>95867</v>
      </c>
      <c r="F941" s="2" t="s">
        <v>25</v>
      </c>
      <c r="G941" s="2" t="s">
        <v>29</v>
      </c>
      <c r="H941" t="str">
        <f t="shared" si="28"/>
        <v>Ford</v>
      </c>
      <c r="I941" t="str">
        <f t="shared" si="29"/>
        <v>SUV</v>
      </c>
    </row>
    <row r="942" spans="1:9">
      <c r="A942" s="2">
        <v>941</v>
      </c>
      <c r="B942" s="2" t="s">
        <v>74</v>
      </c>
      <c r="C942" s="2" t="s">
        <v>12</v>
      </c>
      <c r="D942" s="2">
        <v>48</v>
      </c>
      <c r="E942" s="3">
        <v>80425</v>
      </c>
      <c r="F942" s="2" t="s">
        <v>25</v>
      </c>
      <c r="G942" s="2" t="s">
        <v>18</v>
      </c>
      <c r="H942" t="str">
        <f t="shared" si="28"/>
        <v>Audi</v>
      </c>
      <c r="I942" t="str">
        <f t="shared" si="29"/>
        <v>Hatchback</v>
      </c>
    </row>
    <row r="943" spans="1:9">
      <c r="A943" s="2">
        <v>942</v>
      </c>
      <c r="B943" s="2" t="s">
        <v>30</v>
      </c>
      <c r="C943" s="2" t="s">
        <v>12</v>
      </c>
      <c r="D943" s="2">
        <v>5</v>
      </c>
      <c r="E943" s="3">
        <v>30573</v>
      </c>
      <c r="F943" s="2" t="s">
        <v>38</v>
      </c>
      <c r="G943" s="2" t="s">
        <v>14</v>
      </c>
      <c r="H943" t="str">
        <f t="shared" si="28"/>
        <v>Nissan</v>
      </c>
      <c r="I943" t="str">
        <f t="shared" si="29"/>
        <v>Coupe</v>
      </c>
    </row>
    <row r="944" spans="1:9">
      <c r="A944" s="2">
        <v>943</v>
      </c>
      <c r="B944" s="2" t="s">
        <v>85</v>
      </c>
      <c r="C944" s="2" t="s">
        <v>12</v>
      </c>
      <c r="D944" s="2">
        <v>16</v>
      </c>
      <c r="E944" s="3">
        <v>76158</v>
      </c>
      <c r="F944" s="2" t="s">
        <v>17</v>
      </c>
      <c r="G944" s="2" t="s">
        <v>29</v>
      </c>
      <c r="H944" t="str">
        <f t="shared" si="28"/>
        <v>Toyota</v>
      </c>
      <c r="I944" t="str">
        <f t="shared" si="29"/>
        <v>Sedan</v>
      </c>
    </row>
    <row r="945" spans="1:9">
      <c r="A945" s="2">
        <v>944</v>
      </c>
      <c r="B945" s="2" t="s">
        <v>30</v>
      </c>
      <c r="C945" s="2" t="s">
        <v>12</v>
      </c>
      <c r="D945" s="2">
        <v>23</v>
      </c>
      <c r="E945" s="3">
        <v>29322</v>
      </c>
      <c r="F945" s="2" t="s">
        <v>38</v>
      </c>
      <c r="G945" s="2" t="s">
        <v>14</v>
      </c>
      <c r="H945" t="str">
        <f t="shared" si="28"/>
        <v>Nissan</v>
      </c>
      <c r="I945" t="str">
        <f t="shared" si="29"/>
        <v>Coupe</v>
      </c>
    </row>
    <row r="946" spans="1:9">
      <c r="A946" s="2">
        <v>945</v>
      </c>
      <c r="B946" s="2" t="s">
        <v>84</v>
      </c>
      <c r="C946" s="2" t="s">
        <v>22</v>
      </c>
      <c r="D946" s="2">
        <v>21</v>
      </c>
      <c r="E946" s="3">
        <v>99228</v>
      </c>
      <c r="F946" s="2" t="s">
        <v>25</v>
      </c>
      <c r="G946" s="2" t="s">
        <v>29</v>
      </c>
      <c r="H946" t="str">
        <f t="shared" si="28"/>
        <v>Hyundai</v>
      </c>
      <c r="I946" t="str">
        <f t="shared" si="29"/>
        <v>Truck</v>
      </c>
    </row>
    <row r="947" spans="1:9">
      <c r="A947" s="2">
        <v>946</v>
      </c>
      <c r="B947" s="2" t="s">
        <v>74</v>
      </c>
      <c r="C947" s="2" t="s">
        <v>8</v>
      </c>
      <c r="D947" s="2">
        <v>11</v>
      </c>
      <c r="E947" s="3">
        <v>46835</v>
      </c>
      <c r="F947" s="2" t="s">
        <v>38</v>
      </c>
      <c r="G947" s="2" t="s">
        <v>26</v>
      </c>
      <c r="H947" t="str">
        <f t="shared" si="28"/>
        <v>Audi</v>
      </c>
      <c r="I947" t="str">
        <f t="shared" si="29"/>
        <v>Hatchback</v>
      </c>
    </row>
    <row r="948" spans="1:9">
      <c r="A948" s="2">
        <v>947</v>
      </c>
      <c r="B948" s="2" t="s">
        <v>11</v>
      </c>
      <c r="C948" s="2" t="s">
        <v>22</v>
      </c>
      <c r="D948" s="2">
        <v>41</v>
      </c>
      <c r="E948" s="3">
        <v>80653</v>
      </c>
      <c r="F948" s="2" t="s">
        <v>28</v>
      </c>
      <c r="G948" s="2" t="s">
        <v>10</v>
      </c>
      <c r="H948" t="str">
        <f t="shared" si="28"/>
        <v>Toyota</v>
      </c>
      <c r="I948" t="str">
        <f t="shared" si="29"/>
        <v>Hatchback</v>
      </c>
    </row>
    <row r="949" spans="1:9">
      <c r="A949" s="2">
        <v>948</v>
      </c>
      <c r="B949" s="2" t="s">
        <v>66</v>
      </c>
      <c r="C949" s="2" t="s">
        <v>22</v>
      </c>
      <c r="D949" s="2">
        <v>6</v>
      </c>
      <c r="E949" s="3">
        <v>91380</v>
      </c>
      <c r="F949" s="2" t="s">
        <v>17</v>
      </c>
      <c r="G949" s="2" t="s">
        <v>10</v>
      </c>
      <c r="H949" t="str">
        <f t="shared" si="28"/>
        <v>Tesla</v>
      </c>
      <c r="I949" t="str">
        <f t="shared" si="29"/>
        <v>SUV</v>
      </c>
    </row>
    <row r="950" spans="1:9">
      <c r="A950" s="2">
        <v>949</v>
      </c>
      <c r="B950" s="2" t="s">
        <v>30</v>
      </c>
      <c r="C950" s="2" t="s">
        <v>16</v>
      </c>
      <c r="D950" s="2">
        <v>46</v>
      </c>
      <c r="E950" s="3">
        <v>36673</v>
      </c>
      <c r="F950" s="2" t="s">
        <v>20</v>
      </c>
      <c r="G950" s="2" t="s">
        <v>29</v>
      </c>
      <c r="H950" t="str">
        <f t="shared" si="28"/>
        <v>Nissan</v>
      </c>
      <c r="I950" t="str">
        <f t="shared" si="29"/>
        <v>Coupe</v>
      </c>
    </row>
    <row r="951" spans="1:9">
      <c r="A951" s="2">
        <v>950</v>
      </c>
      <c r="B951" s="2" t="s">
        <v>92</v>
      </c>
      <c r="C951" s="2" t="s">
        <v>8</v>
      </c>
      <c r="D951" s="2">
        <v>43</v>
      </c>
      <c r="E951" s="3">
        <v>58485</v>
      </c>
      <c r="F951" s="2" t="s">
        <v>38</v>
      </c>
      <c r="G951" s="2" t="s">
        <v>29</v>
      </c>
      <c r="H951" t="str">
        <f t="shared" si="28"/>
        <v>BMW</v>
      </c>
      <c r="I951" t="str">
        <f t="shared" si="29"/>
        <v>Convertible</v>
      </c>
    </row>
    <row r="952" spans="1:9">
      <c r="A952" s="2">
        <v>951</v>
      </c>
      <c r="B952" s="2" t="s">
        <v>90</v>
      </c>
      <c r="C952" s="2" t="s">
        <v>16</v>
      </c>
      <c r="D952" s="2">
        <v>41</v>
      </c>
      <c r="E952" s="3">
        <v>82720</v>
      </c>
      <c r="F952" s="2" t="s">
        <v>20</v>
      </c>
      <c r="G952" s="2" t="s">
        <v>26</v>
      </c>
      <c r="H952" t="str">
        <f t="shared" si="28"/>
        <v>Volkswagen</v>
      </c>
      <c r="I952" t="str">
        <f t="shared" si="29"/>
        <v>Truck</v>
      </c>
    </row>
    <row r="953" spans="1:9">
      <c r="A953" s="2">
        <v>952</v>
      </c>
      <c r="B953" s="2" t="s">
        <v>73</v>
      </c>
      <c r="C953" s="2" t="s">
        <v>22</v>
      </c>
      <c r="D953" s="2">
        <v>47</v>
      </c>
      <c r="E953" s="3">
        <v>25616</v>
      </c>
      <c r="F953" s="2" t="s">
        <v>13</v>
      </c>
      <c r="G953" s="2" t="s">
        <v>14</v>
      </c>
      <c r="H953" t="str">
        <f t="shared" si="28"/>
        <v>Hyundai</v>
      </c>
      <c r="I953" t="str">
        <f t="shared" si="29"/>
        <v>Minivan</v>
      </c>
    </row>
    <row r="954" spans="1:9">
      <c r="A954" s="2">
        <v>953</v>
      </c>
      <c r="B954" s="2" t="s">
        <v>78</v>
      </c>
      <c r="C954" s="2" t="s">
        <v>12</v>
      </c>
      <c r="D954" s="2">
        <v>22</v>
      </c>
      <c r="E954" s="3">
        <v>72803</v>
      </c>
      <c r="F954" s="2" t="s">
        <v>25</v>
      </c>
      <c r="G954" s="2" t="s">
        <v>14</v>
      </c>
      <c r="H954" t="str">
        <f t="shared" si="28"/>
        <v>Hyundai</v>
      </c>
      <c r="I954" t="str">
        <f t="shared" si="29"/>
        <v>Hatchback</v>
      </c>
    </row>
    <row r="955" spans="1:9">
      <c r="A955" s="2">
        <v>954</v>
      </c>
      <c r="B955" s="2" t="s">
        <v>76</v>
      </c>
      <c r="C955" s="2" t="s">
        <v>8</v>
      </c>
      <c r="D955" s="2">
        <v>29</v>
      </c>
      <c r="E955" s="3">
        <v>62878</v>
      </c>
      <c r="F955" s="2" t="s">
        <v>25</v>
      </c>
      <c r="G955" s="2" t="s">
        <v>26</v>
      </c>
      <c r="H955" t="str">
        <f t="shared" si="28"/>
        <v>Toyota</v>
      </c>
      <c r="I955" t="str">
        <f t="shared" si="29"/>
        <v>Minivan</v>
      </c>
    </row>
    <row r="956" spans="1:9">
      <c r="A956" s="2">
        <v>955</v>
      </c>
      <c r="B956" s="2" t="s">
        <v>64</v>
      </c>
      <c r="C956" s="2" t="s">
        <v>12</v>
      </c>
      <c r="D956" s="2">
        <v>1</v>
      </c>
      <c r="E956" s="3">
        <v>65450</v>
      </c>
      <c r="F956" s="2" t="s">
        <v>28</v>
      </c>
      <c r="G956" s="2" t="s">
        <v>18</v>
      </c>
      <c r="H956" t="str">
        <f t="shared" si="28"/>
        <v>Tesla</v>
      </c>
      <c r="I956" t="str">
        <f t="shared" si="29"/>
        <v>Coupe</v>
      </c>
    </row>
    <row r="957" spans="1:9">
      <c r="A957" s="2">
        <v>956</v>
      </c>
      <c r="B957" s="2" t="s">
        <v>86</v>
      </c>
      <c r="C957" s="2" t="s">
        <v>22</v>
      </c>
      <c r="D957" s="2">
        <v>17</v>
      </c>
      <c r="E957" s="3">
        <v>84205</v>
      </c>
      <c r="F957" s="2" t="s">
        <v>25</v>
      </c>
      <c r="G957" s="2" t="s">
        <v>18</v>
      </c>
      <c r="H957" t="str">
        <f t="shared" si="28"/>
        <v>Chevrolet</v>
      </c>
      <c r="I957" t="str">
        <f t="shared" si="29"/>
        <v>SUV</v>
      </c>
    </row>
    <row r="958" spans="1:9">
      <c r="A958" s="2">
        <v>957</v>
      </c>
      <c r="B958" s="2" t="s">
        <v>75</v>
      </c>
      <c r="C958" s="2" t="s">
        <v>22</v>
      </c>
      <c r="D958" s="2">
        <v>14</v>
      </c>
      <c r="E958" s="3">
        <v>95995</v>
      </c>
      <c r="F958" s="2" t="s">
        <v>9</v>
      </c>
      <c r="G958" s="2" t="s">
        <v>29</v>
      </c>
      <c r="H958" t="str">
        <f t="shared" si="28"/>
        <v>Nissan</v>
      </c>
      <c r="I958" t="str">
        <f t="shared" si="29"/>
        <v>Convertible</v>
      </c>
    </row>
    <row r="959" spans="1:9">
      <c r="A959" s="2">
        <v>958</v>
      </c>
      <c r="B959" s="2" t="s">
        <v>91</v>
      </c>
      <c r="C959" s="2" t="s">
        <v>22</v>
      </c>
      <c r="D959" s="2">
        <v>16</v>
      </c>
      <c r="E959" s="3">
        <v>61841</v>
      </c>
      <c r="F959" s="2" t="s">
        <v>17</v>
      </c>
      <c r="G959" s="2" t="s">
        <v>10</v>
      </c>
      <c r="H959" t="str">
        <f t="shared" si="28"/>
        <v>Honda</v>
      </c>
      <c r="I959" t="str">
        <f t="shared" si="29"/>
        <v>SUV</v>
      </c>
    </row>
    <row r="960" spans="1:9">
      <c r="A960" s="2">
        <v>959</v>
      </c>
      <c r="B960" s="2" t="s">
        <v>15</v>
      </c>
      <c r="C960" s="2" t="s">
        <v>8</v>
      </c>
      <c r="D960" s="2">
        <v>45</v>
      </c>
      <c r="E960" s="3">
        <v>46920</v>
      </c>
      <c r="F960" s="2" t="s">
        <v>38</v>
      </c>
      <c r="G960" s="2" t="s">
        <v>18</v>
      </c>
      <c r="H960" t="str">
        <f t="shared" si="28"/>
        <v>Chevrolet</v>
      </c>
      <c r="I960" t="str">
        <f t="shared" si="29"/>
        <v>Truck</v>
      </c>
    </row>
    <row r="961" spans="1:9">
      <c r="A961" s="2">
        <v>960</v>
      </c>
      <c r="B961" s="2" t="s">
        <v>73</v>
      </c>
      <c r="C961" s="2" t="s">
        <v>16</v>
      </c>
      <c r="D961" s="2">
        <v>5</v>
      </c>
      <c r="E961" s="3">
        <v>96669</v>
      </c>
      <c r="F961" s="2" t="s">
        <v>20</v>
      </c>
      <c r="G961" s="2" t="s">
        <v>18</v>
      </c>
      <c r="H961" t="str">
        <f t="shared" si="28"/>
        <v>Hyundai</v>
      </c>
      <c r="I961" t="str">
        <f t="shared" si="29"/>
        <v>Minivan</v>
      </c>
    </row>
    <row r="962" spans="1:9">
      <c r="A962" s="2">
        <v>961</v>
      </c>
      <c r="B962" s="2" t="s">
        <v>73</v>
      </c>
      <c r="C962" s="2" t="s">
        <v>16</v>
      </c>
      <c r="D962" s="2">
        <v>23</v>
      </c>
      <c r="E962" s="3">
        <v>77711</v>
      </c>
      <c r="F962" s="2" t="s">
        <v>28</v>
      </c>
      <c r="G962" s="2" t="s">
        <v>23</v>
      </c>
      <c r="H962" t="str">
        <f t="shared" si="28"/>
        <v>Hyundai</v>
      </c>
      <c r="I962" t="str">
        <f t="shared" si="29"/>
        <v>Minivan</v>
      </c>
    </row>
    <row r="963" spans="1:9">
      <c r="A963" s="2">
        <v>962</v>
      </c>
      <c r="B963" s="2" t="s">
        <v>51</v>
      </c>
      <c r="C963" s="2" t="s">
        <v>12</v>
      </c>
      <c r="D963" s="2">
        <v>17</v>
      </c>
      <c r="E963" s="3">
        <v>94633</v>
      </c>
      <c r="F963" s="2" t="s">
        <v>17</v>
      </c>
      <c r="G963" s="2" t="s">
        <v>10</v>
      </c>
      <c r="H963" t="str">
        <f t="shared" ref="H963:H1001" si="30">LEFT(B963,FIND(",",B963)-1)</f>
        <v>Ford</v>
      </c>
      <c r="I963" t="str">
        <f t="shared" ref="I963:I1001" si="31">TRIM(MID(B963,FIND(",",B963)+1,LEN(B963)))</f>
        <v>Coupe</v>
      </c>
    </row>
    <row r="964" spans="1:9">
      <c r="A964" s="2">
        <v>963</v>
      </c>
      <c r="B964" s="2" t="s">
        <v>76</v>
      </c>
      <c r="C964" s="2" t="s">
        <v>8</v>
      </c>
      <c r="D964" s="2">
        <v>7</v>
      </c>
      <c r="E964" s="3">
        <v>75292</v>
      </c>
      <c r="F964" s="2" t="s">
        <v>17</v>
      </c>
      <c r="G964" s="2" t="s">
        <v>14</v>
      </c>
      <c r="H964" t="str">
        <f t="shared" si="30"/>
        <v>Toyota</v>
      </c>
      <c r="I964" t="str">
        <f t="shared" si="31"/>
        <v>Minivan</v>
      </c>
    </row>
    <row r="965" spans="1:9">
      <c r="A965" s="2">
        <v>964</v>
      </c>
      <c r="B965" s="2" t="s">
        <v>33</v>
      </c>
      <c r="C965" s="2" t="s">
        <v>12</v>
      </c>
      <c r="D965" s="2">
        <v>47</v>
      </c>
      <c r="E965" s="3">
        <v>62193</v>
      </c>
      <c r="F965" s="2" t="s">
        <v>13</v>
      </c>
      <c r="G965" s="2" t="s">
        <v>14</v>
      </c>
      <c r="H965" t="str">
        <f t="shared" si="30"/>
        <v>Volkswagen</v>
      </c>
      <c r="I965" t="str">
        <f t="shared" si="31"/>
        <v>SUV</v>
      </c>
    </row>
    <row r="966" spans="1:9">
      <c r="A966" s="2">
        <v>965</v>
      </c>
      <c r="B966" s="2" t="s">
        <v>37</v>
      </c>
      <c r="C966" s="2" t="s">
        <v>12</v>
      </c>
      <c r="D966" s="2">
        <v>1</v>
      </c>
      <c r="E966" s="3">
        <v>54846</v>
      </c>
      <c r="F966" s="2" t="s">
        <v>20</v>
      </c>
      <c r="G966" s="2" t="s">
        <v>26</v>
      </c>
      <c r="H966" t="str">
        <f t="shared" si="30"/>
        <v>Tesla</v>
      </c>
      <c r="I966" t="str">
        <f t="shared" si="31"/>
        <v>Truck</v>
      </c>
    </row>
    <row r="967" spans="1:9">
      <c r="A967" s="2">
        <v>966</v>
      </c>
      <c r="B967" s="2" t="s">
        <v>72</v>
      </c>
      <c r="C967" s="2" t="s">
        <v>16</v>
      </c>
      <c r="D967" s="2">
        <v>4</v>
      </c>
      <c r="E967" s="3">
        <v>33534</v>
      </c>
      <c r="F967" s="2" t="s">
        <v>13</v>
      </c>
      <c r="G967" s="2" t="s">
        <v>14</v>
      </c>
      <c r="H967" t="str">
        <f t="shared" si="30"/>
        <v>Honda</v>
      </c>
      <c r="I967" t="str">
        <f t="shared" si="31"/>
        <v>Hatchback</v>
      </c>
    </row>
    <row r="968" spans="1:9">
      <c r="A968" s="2">
        <v>967</v>
      </c>
      <c r="B968" s="2" t="s">
        <v>70</v>
      </c>
      <c r="C968" s="2" t="s">
        <v>8</v>
      </c>
      <c r="D968" s="2">
        <v>25</v>
      </c>
      <c r="E968" s="3">
        <v>80947</v>
      </c>
      <c r="F968" s="2" t="s">
        <v>20</v>
      </c>
      <c r="G968" s="2" t="s">
        <v>23</v>
      </c>
      <c r="H968" t="str">
        <f t="shared" si="30"/>
        <v>Chevrolet</v>
      </c>
      <c r="I968" t="str">
        <f t="shared" si="31"/>
        <v>Convertible</v>
      </c>
    </row>
    <row r="969" spans="1:9">
      <c r="A969" s="2">
        <v>968</v>
      </c>
      <c r="B969" s="2" t="s">
        <v>30</v>
      </c>
      <c r="C969" s="2" t="s">
        <v>22</v>
      </c>
      <c r="D969" s="2">
        <v>29</v>
      </c>
      <c r="E969" s="3">
        <v>98003</v>
      </c>
      <c r="F969" s="2" t="s">
        <v>28</v>
      </c>
      <c r="G969" s="2" t="s">
        <v>29</v>
      </c>
      <c r="H969" t="str">
        <f t="shared" si="30"/>
        <v>Nissan</v>
      </c>
      <c r="I969" t="str">
        <f t="shared" si="31"/>
        <v>Coupe</v>
      </c>
    </row>
    <row r="970" spans="1:9">
      <c r="A970" s="2">
        <v>969</v>
      </c>
      <c r="B970" s="2" t="s">
        <v>36</v>
      </c>
      <c r="C970" s="2" t="s">
        <v>12</v>
      </c>
      <c r="D970" s="2">
        <v>47</v>
      </c>
      <c r="E970" s="3">
        <v>97568</v>
      </c>
      <c r="F970" s="2" t="s">
        <v>9</v>
      </c>
      <c r="G970" s="2" t="s">
        <v>29</v>
      </c>
      <c r="H970" t="str">
        <f t="shared" si="30"/>
        <v>Toyota</v>
      </c>
      <c r="I970" t="str">
        <f t="shared" si="31"/>
        <v>Coupe</v>
      </c>
    </row>
    <row r="971" spans="1:9">
      <c r="A971" s="2">
        <v>970</v>
      </c>
      <c r="B971" s="2" t="s">
        <v>39</v>
      </c>
      <c r="C971" s="2" t="s">
        <v>22</v>
      </c>
      <c r="D971" s="2">
        <v>27</v>
      </c>
      <c r="E971" s="3">
        <v>74882</v>
      </c>
      <c r="F971" s="2" t="s">
        <v>25</v>
      </c>
      <c r="G971" s="2" t="s">
        <v>14</v>
      </c>
      <c r="H971" t="str">
        <f t="shared" si="30"/>
        <v>Nissan</v>
      </c>
      <c r="I971" t="str">
        <f t="shared" si="31"/>
        <v>Minivan</v>
      </c>
    </row>
    <row r="972" spans="1:9">
      <c r="A972" s="2">
        <v>971</v>
      </c>
      <c r="B972" s="2" t="s">
        <v>79</v>
      </c>
      <c r="C972" s="2" t="s">
        <v>8</v>
      </c>
      <c r="D972" s="2">
        <v>11</v>
      </c>
      <c r="E972" s="3">
        <v>29709</v>
      </c>
      <c r="F972" s="2" t="s">
        <v>20</v>
      </c>
      <c r="G972" s="2" t="s">
        <v>10</v>
      </c>
      <c r="H972" t="str">
        <f t="shared" si="30"/>
        <v>Audi</v>
      </c>
      <c r="I972" t="str">
        <f t="shared" si="31"/>
        <v>Truck</v>
      </c>
    </row>
    <row r="973" spans="1:9">
      <c r="A973" s="2">
        <v>972</v>
      </c>
      <c r="B973" s="2" t="s">
        <v>31</v>
      </c>
      <c r="C973" s="2" t="s">
        <v>12</v>
      </c>
      <c r="D973" s="2">
        <v>27</v>
      </c>
      <c r="E973" s="3">
        <v>42117</v>
      </c>
      <c r="F973" s="2" t="s">
        <v>28</v>
      </c>
      <c r="G973" s="2" t="s">
        <v>23</v>
      </c>
      <c r="H973" t="str">
        <f t="shared" si="30"/>
        <v>Ford</v>
      </c>
      <c r="I973" t="str">
        <f t="shared" si="31"/>
        <v>Minivan</v>
      </c>
    </row>
    <row r="974" spans="1:9">
      <c r="A974" s="2">
        <v>973</v>
      </c>
      <c r="B974" s="2" t="s">
        <v>64</v>
      </c>
      <c r="C974" s="2" t="s">
        <v>22</v>
      </c>
      <c r="D974" s="2">
        <v>32</v>
      </c>
      <c r="E974" s="3">
        <v>93180</v>
      </c>
      <c r="F974" s="2" t="s">
        <v>17</v>
      </c>
      <c r="G974" s="2" t="s">
        <v>14</v>
      </c>
      <c r="H974" t="str">
        <f t="shared" si="30"/>
        <v>Tesla</v>
      </c>
      <c r="I974" t="str">
        <f t="shared" si="31"/>
        <v>Coupe</v>
      </c>
    </row>
    <row r="975" spans="1:9">
      <c r="A975" s="2">
        <v>974</v>
      </c>
      <c r="B975" s="2" t="s">
        <v>60</v>
      </c>
      <c r="C975" s="2" t="s">
        <v>22</v>
      </c>
      <c r="D975" s="2">
        <v>25</v>
      </c>
      <c r="E975" s="3">
        <v>36197</v>
      </c>
      <c r="F975" s="2" t="s">
        <v>13</v>
      </c>
      <c r="G975" s="2" t="s">
        <v>14</v>
      </c>
      <c r="H975" t="str">
        <f t="shared" si="30"/>
        <v>Ford</v>
      </c>
      <c r="I975" t="str">
        <f t="shared" si="31"/>
        <v>Convertible</v>
      </c>
    </row>
    <row r="976" spans="1:9">
      <c r="A976" s="2">
        <v>975</v>
      </c>
      <c r="B976" s="2" t="s">
        <v>88</v>
      </c>
      <c r="C976" s="2" t="s">
        <v>16</v>
      </c>
      <c r="D976" s="2">
        <v>23</v>
      </c>
      <c r="E976" s="3">
        <v>38286</v>
      </c>
      <c r="F976" s="2" t="s">
        <v>32</v>
      </c>
      <c r="G976" s="2" t="s">
        <v>29</v>
      </c>
      <c r="H976" t="str">
        <f t="shared" si="30"/>
        <v>Hyundai</v>
      </c>
      <c r="I976" t="str">
        <f t="shared" si="31"/>
        <v>Convertible</v>
      </c>
    </row>
    <row r="977" spans="1:9">
      <c r="A977" s="2">
        <v>976</v>
      </c>
      <c r="B977" s="2" t="s">
        <v>51</v>
      </c>
      <c r="C977" s="2" t="s">
        <v>8</v>
      </c>
      <c r="D977" s="2">
        <v>35</v>
      </c>
      <c r="E977" s="3">
        <v>55747</v>
      </c>
      <c r="F977" s="2" t="s">
        <v>32</v>
      </c>
      <c r="G977" s="2" t="s">
        <v>26</v>
      </c>
      <c r="H977" t="str">
        <f t="shared" si="30"/>
        <v>Ford</v>
      </c>
      <c r="I977" t="str">
        <f t="shared" si="31"/>
        <v>Coupe</v>
      </c>
    </row>
    <row r="978" spans="1:9">
      <c r="A978" s="2">
        <v>977</v>
      </c>
      <c r="B978" s="2" t="s">
        <v>91</v>
      </c>
      <c r="C978" s="2" t="s">
        <v>8</v>
      </c>
      <c r="D978" s="2">
        <v>25</v>
      </c>
      <c r="E978" s="3">
        <v>87534</v>
      </c>
      <c r="F978" s="2" t="s">
        <v>38</v>
      </c>
      <c r="G978" s="2" t="s">
        <v>10</v>
      </c>
      <c r="H978" t="str">
        <f t="shared" si="30"/>
        <v>Honda</v>
      </c>
      <c r="I978" t="str">
        <f t="shared" si="31"/>
        <v>SUV</v>
      </c>
    </row>
    <row r="979" spans="1:9">
      <c r="A979" s="2">
        <v>978</v>
      </c>
      <c r="B979" s="2" t="s">
        <v>73</v>
      </c>
      <c r="C979" s="2" t="s">
        <v>8</v>
      </c>
      <c r="D979" s="2">
        <v>7</v>
      </c>
      <c r="E979" s="3">
        <v>69553</v>
      </c>
      <c r="F979" s="2" t="s">
        <v>20</v>
      </c>
      <c r="G979" s="2" t="s">
        <v>23</v>
      </c>
      <c r="H979" t="str">
        <f t="shared" si="30"/>
        <v>Hyundai</v>
      </c>
      <c r="I979" t="str">
        <f t="shared" si="31"/>
        <v>Minivan</v>
      </c>
    </row>
    <row r="980" spans="1:9">
      <c r="A980" s="2">
        <v>979</v>
      </c>
      <c r="B980" s="2" t="s">
        <v>86</v>
      </c>
      <c r="C980" s="2" t="s">
        <v>12</v>
      </c>
      <c r="D980" s="2">
        <v>31</v>
      </c>
      <c r="E980" s="3">
        <v>81839</v>
      </c>
      <c r="F980" s="2" t="s">
        <v>20</v>
      </c>
      <c r="G980" s="2" t="s">
        <v>23</v>
      </c>
      <c r="H980" t="str">
        <f t="shared" si="30"/>
        <v>Chevrolet</v>
      </c>
      <c r="I980" t="str">
        <f t="shared" si="31"/>
        <v>SUV</v>
      </c>
    </row>
    <row r="981" spans="1:9">
      <c r="A981" s="2">
        <v>980</v>
      </c>
      <c r="B981" s="2" t="s">
        <v>39</v>
      </c>
      <c r="C981" s="2" t="s">
        <v>16</v>
      </c>
      <c r="D981" s="2">
        <v>37</v>
      </c>
      <c r="E981" s="3">
        <v>44044</v>
      </c>
      <c r="F981" s="2" t="s">
        <v>9</v>
      </c>
      <c r="G981" s="2" t="s">
        <v>18</v>
      </c>
      <c r="H981" t="str">
        <f t="shared" si="30"/>
        <v>Nissan</v>
      </c>
      <c r="I981" t="str">
        <f t="shared" si="31"/>
        <v>Minivan</v>
      </c>
    </row>
    <row r="982" spans="1:9">
      <c r="A982" s="2">
        <v>981</v>
      </c>
      <c r="B982" s="2" t="s">
        <v>70</v>
      </c>
      <c r="C982" s="2" t="s">
        <v>12</v>
      </c>
      <c r="D982" s="2">
        <v>42</v>
      </c>
      <c r="E982" s="3">
        <v>87637</v>
      </c>
      <c r="F982" s="2" t="s">
        <v>28</v>
      </c>
      <c r="G982" s="2" t="s">
        <v>10</v>
      </c>
      <c r="H982" t="str">
        <f t="shared" si="30"/>
        <v>Chevrolet</v>
      </c>
      <c r="I982" t="str">
        <f t="shared" si="31"/>
        <v>Convertible</v>
      </c>
    </row>
    <row r="983" spans="1:9">
      <c r="A983" s="2">
        <v>982</v>
      </c>
      <c r="B983" s="2" t="s">
        <v>41</v>
      </c>
      <c r="C983" s="2" t="s">
        <v>8</v>
      </c>
      <c r="D983" s="2">
        <v>49</v>
      </c>
      <c r="E983" s="3">
        <v>32869</v>
      </c>
      <c r="F983" s="2" t="s">
        <v>13</v>
      </c>
      <c r="G983" s="2" t="s">
        <v>29</v>
      </c>
      <c r="H983" t="str">
        <f t="shared" si="30"/>
        <v>Audi</v>
      </c>
      <c r="I983" t="str">
        <f t="shared" si="31"/>
        <v>SUV</v>
      </c>
    </row>
    <row r="984" spans="1:9">
      <c r="A984" s="2">
        <v>983</v>
      </c>
      <c r="B984" s="2" t="s">
        <v>73</v>
      </c>
      <c r="C984" s="2" t="s">
        <v>12</v>
      </c>
      <c r="D984" s="2">
        <v>44</v>
      </c>
      <c r="E984" s="3">
        <v>81338</v>
      </c>
      <c r="F984" s="2" t="s">
        <v>17</v>
      </c>
      <c r="G984" s="2" t="s">
        <v>26</v>
      </c>
      <c r="H984" t="str">
        <f t="shared" si="30"/>
        <v>Hyundai</v>
      </c>
      <c r="I984" t="str">
        <f t="shared" si="31"/>
        <v>Minivan</v>
      </c>
    </row>
    <row r="985" spans="1:9">
      <c r="A985" s="2">
        <v>984</v>
      </c>
      <c r="B985" s="2" t="s">
        <v>84</v>
      </c>
      <c r="C985" s="2" t="s">
        <v>22</v>
      </c>
      <c r="D985" s="2">
        <v>15</v>
      </c>
      <c r="E985" s="3">
        <v>29603</v>
      </c>
      <c r="F985" s="2" t="s">
        <v>28</v>
      </c>
      <c r="G985" s="2" t="s">
        <v>26</v>
      </c>
      <c r="H985" t="str">
        <f t="shared" si="30"/>
        <v>Hyundai</v>
      </c>
      <c r="I985" t="str">
        <f t="shared" si="31"/>
        <v>Truck</v>
      </c>
    </row>
    <row r="986" spans="1:9">
      <c r="A986" s="2">
        <v>985</v>
      </c>
      <c r="B986" s="2" t="s">
        <v>80</v>
      </c>
      <c r="C986" s="2" t="s">
        <v>12</v>
      </c>
      <c r="D986" s="2">
        <v>11</v>
      </c>
      <c r="E986" s="3">
        <v>33914</v>
      </c>
      <c r="F986" s="2" t="s">
        <v>17</v>
      </c>
      <c r="G986" s="2" t="s">
        <v>18</v>
      </c>
      <c r="H986" t="str">
        <f t="shared" si="30"/>
        <v>Tesla</v>
      </c>
      <c r="I986" t="str">
        <f t="shared" si="31"/>
        <v>Sedan</v>
      </c>
    </row>
    <row r="987" spans="1:9">
      <c r="A987" s="2">
        <v>986</v>
      </c>
      <c r="B987" s="2" t="s">
        <v>78</v>
      </c>
      <c r="C987" s="2" t="s">
        <v>12</v>
      </c>
      <c r="D987" s="2">
        <v>29</v>
      </c>
      <c r="E987" s="3">
        <v>74697</v>
      </c>
      <c r="F987" s="2" t="s">
        <v>25</v>
      </c>
      <c r="G987" s="2" t="s">
        <v>29</v>
      </c>
      <c r="H987" t="str">
        <f t="shared" si="30"/>
        <v>Hyundai</v>
      </c>
      <c r="I987" t="str">
        <f t="shared" si="31"/>
        <v>Hatchback</v>
      </c>
    </row>
    <row r="988" spans="1:9">
      <c r="A988" s="2">
        <v>987</v>
      </c>
      <c r="B988" s="2" t="s">
        <v>30</v>
      </c>
      <c r="C988" s="2" t="s">
        <v>8</v>
      </c>
      <c r="D988" s="2">
        <v>5</v>
      </c>
      <c r="E988" s="3">
        <v>81285</v>
      </c>
      <c r="F988" s="2" t="s">
        <v>9</v>
      </c>
      <c r="G988" s="2" t="s">
        <v>14</v>
      </c>
      <c r="H988" t="str">
        <f t="shared" si="30"/>
        <v>Nissan</v>
      </c>
      <c r="I988" t="str">
        <f t="shared" si="31"/>
        <v>Coupe</v>
      </c>
    </row>
    <row r="989" spans="1:9">
      <c r="A989" s="2">
        <v>988</v>
      </c>
      <c r="B989" s="2" t="s">
        <v>46</v>
      </c>
      <c r="C989" s="2" t="s">
        <v>22</v>
      </c>
      <c r="D989" s="2">
        <v>3</v>
      </c>
      <c r="E989" s="3">
        <v>52253</v>
      </c>
      <c r="F989" s="2" t="s">
        <v>9</v>
      </c>
      <c r="G989" s="2" t="s">
        <v>18</v>
      </c>
      <c r="H989" t="str">
        <f t="shared" si="30"/>
        <v>Honda</v>
      </c>
      <c r="I989" t="str">
        <f t="shared" si="31"/>
        <v>Minivan</v>
      </c>
    </row>
    <row r="990" spans="1:9">
      <c r="A990" s="2">
        <v>989</v>
      </c>
      <c r="B990" s="2" t="s">
        <v>79</v>
      </c>
      <c r="C990" s="2" t="s">
        <v>8</v>
      </c>
      <c r="D990" s="2">
        <v>19</v>
      </c>
      <c r="E990" s="3">
        <v>54230</v>
      </c>
      <c r="F990" s="2" t="s">
        <v>9</v>
      </c>
      <c r="G990" s="2" t="s">
        <v>29</v>
      </c>
      <c r="H990" t="str">
        <f t="shared" si="30"/>
        <v>Audi</v>
      </c>
      <c r="I990" t="str">
        <f t="shared" si="31"/>
        <v>Truck</v>
      </c>
    </row>
    <row r="991" spans="1:9">
      <c r="A991" s="2">
        <v>990</v>
      </c>
      <c r="B991" s="2" t="s">
        <v>21</v>
      </c>
      <c r="C991" s="2" t="s">
        <v>22</v>
      </c>
      <c r="D991" s="2">
        <v>2</v>
      </c>
      <c r="E991" s="3">
        <v>70224</v>
      </c>
      <c r="F991" s="2" t="s">
        <v>25</v>
      </c>
      <c r="G991" s="2" t="s">
        <v>14</v>
      </c>
      <c r="H991" t="str">
        <f t="shared" si="30"/>
        <v>Tesla</v>
      </c>
      <c r="I991" t="str">
        <f t="shared" si="31"/>
        <v>Convertible</v>
      </c>
    </row>
    <row r="992" spans="1:9">
      <c r="A992" s="2">
        <v>991</v>
      </c>
      <c r="B992" s="2" t="s">
        <v>63</v>
      </c>
      <c r="C992" s="2" t="s">
        <v>22</v>
      </c>
      <c r="D992" s="2">
        <v>21</v>
      </c>
      <c r="E992" s="3">
        <v>43663</v>
      </c>
      <c r="F992" s="2" t="s">
        <v>32</v>
      </c>
      <c r="G992" s="2" t="s">
        <v>29</v>
      </c>
      <c r="H992" t="str">
        <f t="shared" si="30"/>
        <v>Volkswagen</v>
      </c>
      <c r="I992" t="str">
        <f t="shared" si="31"/>
        <v>Sedan</v>
      </c>
    </row>
    <row r="993" spans="1:9">
      <c r="A993" s="2">
        <v>992</v>
      </c>
      <c r="B993" s="2" t="s">
        <v>81</v>
      </c>
      <c r="C993" s="2" t="s">
        <v>22</v>
      </c>
      <c r="D993" s="2">
        <v>17</v>
      </c>
      <c r="E993" s="3">
        <v>81538</v>
      </c>
      <c r="F993" s="2" t="s">
        <v>28</v>
      </c>
      <c r="G993" s="2" t="s">
        <v>26</v>
      </c>
      <c r="H993" t="str">
        <f t="shared" si="30"/>
        <v>Nissan</v>
      </c>
      <c r="I993" t="str">
        <f t="shared" si="31"/>
        <v>Hatchback</v>
      </c>
    </row>
    <row r="994" spans="1:9">
      <c r="A994" s="2">
        <v>993</v>
      </c>
      <c r="B994" s="2" t="s">
        <v>46</v>
      </c>
      <c r="C994" s="2" t="s">
        <v>8</v>
      </c>
      <c r="D994" s="2">
        <v>7</v>
      </c>
      <c r="E994" s="3">
        <v>91264</v>
      </c>
      <c r="F994" s="2" t="s">
        <v>32</v>
      </c>
      <c r="G994" s="2" t="s">
        <v>10</v>
      </c>
      <c r="H994" t="str">
        <f t="shared" si="30"/>
        <v>Honda</v>
      </c>
      <c r="I994" t="str">
        <f t="shared" si="31"/>
        <v>Minivan</v>
      </c>
    </row>
    <row r="995" spans="1:9">
      <c r="A995" s="2">
        <v>994</v>
      </c>
      <c r="B995" s="2" t="s">
        <v>60</v>
      </c>
      <c r="C995" s="2" t="s">
        <v>22</v>
      </c>
      <c r="D995" s="2">
        <v>5</v>
      </c>
      <c r="E995" s="3">
        <v>37810</v>
      </c>
      <c r="F995" s="2" t="s">
        <v>38</v>
      </c>
      <c r="G995" s="2" t="s">
        <v>29</v>
      </c>
      <c r="H995" t="str">
        <f t="shared" si="30"/>
        <v>Ford</v>
      </c>
      <c r="I995" t="str">
        <f t="shared" si="31"/>
        <v>Convertible</v>
      </c>
    </row>
    <row r="996" spans="1:9">
      <c r="A996" s="2">
        <v>995</v>
      </c>
      <c r="B996" s="2" t="s">
        <v>62</v>
      </c>
      <c r="C996" s="2" t="s">
        <v>16</v>
      </c>
      <c r="D996" s="2">
        <v>22</v>
      </c>
      <c r="E996" s="3">
        <v>98131</v>
      </c>
      <c r="F996" s="2" t="s">
        <v>20</v>
      </c>
      <c r="G996" s="2" t="s">
        <v>10</v>
      </c>
      <c r="H996" t="str">
        <f t="shared" si="30"/>
        <v>Chevrolet</v>
      </c>
      <c r="I996" t="str">
        <f t="shared" si="31"/>
        <v>Minivan</v>
      </c>
    </row>
    <row r="997" spans="1:9">
      <c r="A997" s="2">
        <v>996</v>
      </c>
      <c r="B997" s="2" t="s">
        <v>82</v>
      </c>
      <c r="C997" s="2" t="s">
        <v>16</v>
      </c>
      <c r="D997" s="2">
        <v>11</v>
      </c>
      <c r="E997" s="3">
        <v>89586</v>
      </c>
      <c r="F997" s="2" t="s">
        <v>38</v>
      </c>
      <c r="G997" s="2" t="s">
        <v>29</v>
      </c>
      <c r="H997" t="str">
        <f t="shared" si="30"/>
        <v>Audi</v>
      </c>
      <c r="I997" t="str">
        <f t="shared" si="31"/>
        <v>Sedan</v>
      </c>
    </row>
    <row r="998" spans="1:9">
      <c r="A998" s="2">
        <v>997</v>
      </c>
      <c r="B998" s="2" t="s">
        <v>69</v>
      </c>
      <c r="C998" s="2" t="s">
        <v>16</v>
      </c>
      <c r="D998" s="2">
        <v>25</v>
      </c>
      <c r="E998" s="3">
        <v>38270</v>
      </c>
      <c r="F998" s="2" t="s">
        <v>9</v>
      </c>
      <c r="G998" s="2" t="s">
        <v>14</v>
      </c>
      <c r="H998" t="str">
        <f t="shared" si="30"/>
        <v>BMW</v>
      </c>
      <c r="I998" t="str">
        <f t="shared" si="31"/>
        <v>Truck</v>
      </c>
    </row>
    <row r="999" spans="1:9">
      <c r="A999" s="2">
        <v>998</v>
      </c>
      <c r="B999" s="2" t="s">
        <v>57</v>
      </c>
      <c r="C999" s="2" t="s">
        <v>16</v>
      </c>
      <c r="D999" s="2">
        <v>11</v>
      </c>
      <c r="E999" s="3">
        <v>32927</v>
      </c>
      <c r="F999" s="2" t="s">
        <v>20</v>
      </c>
      <c r="G999" s="2" t="s">
        <v>10</v>
      </c>
      <c r="H999" t="str">
        <f t="shared" si="30"/>
        <v>Nissan</v>
      </c>
      <c r="I999" t="str">
        <f t="shared" si="31"/>
        <v>Sedan</v>
      </c>
    </row>
    <row r="1000" spans="1:9">
      <c r="A1000" s="2">
        <v>999</v>
      </c>
      <c r="B1000" s="2" t="s">
        <v>62</v>
      </c>
      <c r="C1000" s="2" t="s">
        <v>8</v>
      </c>
      <c r="D1000" s="2">
        <v>47</v>
      </c>
      <c r="E1000" s="3">
        <v>41625</v>
      </c>
      <c r="F1000" s="2" t="s">
        <v>32</v>
      </c>
      <c r="G1000" s="2" t="s">
        <v>23</v>
      </c>
      <c r="H1000" t="str">
        <f t="shared" si="30"/>
        <v>Chevrolet</v>
      </c>
      <c r="I1000" t="str">
        <f t="shared" si="31"/>
        <v>Minivan</v>
      </c>
    </row>
    <row r="1001" spans="1:9">
      <c r="A1001" s="2">
        <v>1000</v>
      </c>
      <c r="B1001" s="2" t="s">
        <v>45</v>
      </c>
      <c r="C1001" s="2" t="s">
        <v>12</v>
      </c>
      <c r="D1001" s="2">
        <v>5</v>
      </c>
      <c r="E1001" s="3">
        <v>34442</v>
      </c>
      <c r="F1001" s="2" t="s">
        <v>13</v>
      </c>
      <c r="G1001" s="2" t="s">
        <v>10</v>
      </c>
      <c r="H1001" t="str">
        <f t="shared" si="30"/>
        <v>Toyota</v>
      </c>
      <c r="I1001" t="str">
        <f t="shared" si="31"/>
        <v>SUV</v>
      </c>
    </row>
  </sheetData>
  <conditionalFormatting sqref="H2:I1001">
    <cfRule type="top10" dxfId="1" priority="1" percent="1" rank="1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466FA-A5F5-49F7-BDC0-697815E1C741}">
  <sheetPr>
    <tabColor theme="3" tint="0.499984740745262"/>
  </sheetPr>
  <dimension ref="A3:C14"/>
  <sheetViews>
    <sheetView workbookViewId="0">
      <selection activeCell="F4" sqref="F4"/>
    </sheetView>
  </sheetViews>
  <sheetFormatPr defaultRowHeight="15"/>
  <cols>
    <col min="1" max="1" width="15.42578125" customWidth="1"/>
    <col min="2" max="2" width="27.7109375" customWidth="1"/>
    <col min="3" max="3" width="40" customWidth="1"/>
  </cols>
  <sheetData>
    <row r="3" spans="1:3" ht="18.75">
      <c r="A3" s="24" t="s">
        <v>101</v>
      </c>
      <c r="B3" s="6" t="s">
        <v>103</v>
      </c>
      <c r="C3" s="6" t="s">
        <v>104</v>
      </c>
    </row>
    <row r="4" spans="1:3" ht="18.75">
      <c r="A4" s="25" t="s">
        <v>105</v>
      </c>
      <c r="B4" s="26">
        <v>6408278</v>
      </c>
      <c r="C4" s="26">
        <v>125.7906328517588</v>
      </c>
    </row>
    <row r="5" spans="1:3" ht="18.75">
      <c r="A5" s="25" t="s">
        <v>106</v>
      </c>
      <c r="B5" s="26">
        <v>5233878</v>
      </c>
      <c r="C5" s="26">
        <v>133.05905681962628</v>
      </c>
    </row>
    <row r="6" spans="1:3" ht="18.75">
      <c r="A6" s="25" t="s">
        <v>107</v>
      </c>
      <c r="B6" s="26">
        <v>7702367</v>
      </c>
      <c r="C6" s="26">
        <v>126.32629731680116</v>
      </c>
    </row>
    <row r="7" spans="1:3" ht="18.75">
      <c r="A7" s="25" t="s">
        <v>108</v>
      </c>
      <c r="B7" s="26">
        <v>6792216</v>
      </c>
      <c r="C7" s="26">
        <v>134.30783832951039</v>
      </c>
    </row>
    <row r="8" spans="1:3" ht="18.75">
      <c r="A8" s="25" t="s">
        <v>109</v>
      </c>
      <c r="B8" s="26">
        <v>5327273</v>
      </c>
      <c r="C8" s="26">
        <v>128.28456185132563</v>
      </c>
    </row>
    <row r="9" spans="1:3" ht="18.75">
      <c r="A9" s="25" t="s">
        <v>110</v>
      </c>
      <c r="B9" s="26">
        <v>6366281</v>
      </c>
      <c r="C9" s="26">
        <v>104.97445833195924</v>
      </c>
    </row>
    <row r="10" spans="1:3" ht="18.75">
      <c r="A10" s="25" t="s">
        <v>111</v>
      </c>
      <c r="B10" s="26">
        <v>6543619</v>
      </c>
      <c r="C10" s="26">
        <v>132.96255130653878</v>
      </c>
    </row>
    <row r="11" spans="1:3" ht="18.75">
      <c r="A11" s="25" t="s">
        <v>112</v>
      </c>
      <c r="B11" s="26">
        <v>7347100</v>
      </c>
      <c r="C11" s="26">
        <v>137.81583538106582</v>
      </c>
    </row>
    <row r="12" spans="1:3" ht="18.75">
      <c r="A12" s="25" t="s">
        <v>113</v>
      </c>
      <c r="B12" s="26">
        <v>5870734</v>
      </c>
      <c r="C12" s="26">
        <v>132.23863047640501</v>
      </c>
    </row>
    <row r="13" spans="1:3" ht="18.75">
      <c r="A13" s="25" t="s">
        <v>114</v>
      </c>
      <c r="B13" s="26">
        <v>6153923</v>
      </c>
      <c r="C13" s="26">
        <v>124.1110640529203</v>
      </c>
    </row>
    <row r="14" spans="1:3" ht="18.75">
      <c r="A14" s="25" t="s">
        <v>115</v>
      </c>
      <c r="B14" s="26">
        <v>63745669</v>
      </c>
      <c r="C14" s="26">
        <v>127.36397402597403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77B7-2636-4C69-8565-5F58CFF5A14B}">
  <sheetPr>
    <tabColor rgb="FFFFC000"/>
  </sheetPr>
  <dimension ref="A3:K14"/>
  <sheetViews>
    <sheetView topLeftCell="F1" workbookViewId="0">
      <selection activeCell="M6" sqref="M6"/>
    </sheetView>
  </sheetViews>
  <sheetFormatPr defaultRowHeight="15"/>
  <cols>
    <col min="1" max="1" width="17" customWidth="1"/>
    <col min="2" max="2" width="20.140625" customWidth="1"/>
    <col min="3" max="3" width="24.140625" customWidth="1"/>
    <col min="4" max="4" width="18.7109375" customWidth="1"/>
    <col min="5" max="5" width="23.42578125" customWidth="1"/>
    <col min="6" max="6" width="18.7109375" customWidth="1"/>
    <col min="7" max="7" width="23.140625" customWidth="1"/>
    <col min="8" max="8" width="19.28515625" customWidth="1"/>
    <col min="9" max="9" width="20.7109375" bestFit="1" customWidth="1"/>
    <col min="10" max="10" width="26" customWidth="1"/>
    <col min="11" max="11" width="37.140625" customWidth="1"/>
  </cols>
  <sheetData>
    <row r="3" spans="1:11" ht="20.25">
      <c r="A3" s="7"/>
      <c r="B3" s="28" t="s">
        <v>116</v>
      </c>
      <c r="C3" s="7"/>
      <c r="D3" s="7"/>
      <c r="E3" s="7"/>
      <c r="F3" s="7"/>
      <c r="G3" s="7"/>
      <c r="H3" s="7"/>
      <c r="I3" s="7"/>
      <c r="J3" s="7"/>
      <c r="K3" s="7"/>
    </row>
    <row r="4" spans="1:11" ht="20.25">
      <c r="A4" s="7"/>
      <c r="B4" s="7" t="s">
        <v>16</v>
      </c>
      <c r="C4" s="7"/>
      <c r="D4" s="7" t="s">
        <v>8</v>
      </c>
      <c r="E4" s="7"/>
      <c r="F4" s="7" t="s">
        <v>22</v>
      </c>
      <c r="G4" s="7"/>
      <c r="H4" s="7" t="s">
        <v>12</v>
      </c>
      <c r="I4" s="7"/>
      <c r="J4" s="7" t="s">
        <v>117</v>
      </c>
      <c r="K4" s="7" t="s">
        <v>118</v>
      </c>
    </row>
    <row r="5" spans="1:11" ht="20.25">
      <c r="A5" s="28" t="s">
        <v>5</v>
      </c>
      <c r="B5" s="7" t="s">
        <v>119</v>
      </c>
      <c r="C5" s="7" t="s">
        <v>103</v>
      </c>
      <c r="D5" s="7" t="s">
        <v>119</v>
      </c>
      <c r="E5" s="7" t="s">
        <v>103</v>
      </c>
      <c r="F5" s="7" t="s">
        <v>119</v>
      </c>
      <c r="G5" s="7" t="s">
        <v>103</v>
      </c>
      <c r="H5" s="7" t="s">
        <v>119</v>
      </c>
      <c r="I5" s="7" t="s">
        <v>103</v>
      </c>
      <c r="J5" s="7"/>
      <c r="K5" s="7"/>
    </row>
    <row r="6" spans="1:11" ht="20.25">
      <c r="A6" s="29" t="s">
        <v>38</v>
      </c>
      <c r="B6" s="7">
        <v>12753</v>
      </c>
      <c r="C6" s="27">
        <v>1819792</v>
      </c>
      <c r="D6" s="7">
        <v>19818</v>
      </c>
      <c r="E6" s="27">
        <v>2158227</v>
      </c>
      <c r="F6" s="7">
        <v>9910</v>
      </c>
      <c r="G6" s="27">
        <v>1432024</v>
      </c>
      <c r="H6" s="7">
        <v>20880</v>
      </c>
      <c r="I6" s="27">
        <v>1822129</v>
      </c>
      <c r="J6" s="7">
        <v>63361</v>
      </c>
      <c r="K6" s="27">
        <v>7232172</v>
      </c>
    </row>
    <row r="7" spans="1:11" ht="20.25">
      <c r="A7" s="29" t="s">
        <v>20</v>
      </c>
      <c r="B7" s="7">
        <v>15837</v>
      </c>
      <c r="C7" s="27">
        <v>1951101</v>
      </c>
      <c r="D7" s="7">
        <v>16891</v>
      </c>
      <c r="E7" s="27">
        <v>1961980</v>
      </c>
      <c r="F7" s="7">
        <v>9636</v>
      </c>
      <c r="G7" s="27">
        <v>1400929</v>
      </c>
      <c r="H7" s="7">
        <v>14799</v>
      </c>
      <c r="I7" s="27">
        <v>2032792</v>
      </c>
      <c r="J7" s="7">
        <v>57163</v>
      </c>
      <c r="K7" s="27">
        <v>7346802</v>
      </c>
    </row>
    <row r="8" spans="1:11" ht="20.25">
      <c r="A8" s="29" t="s">
        <v>25</v>
      </c>
      <c r="B8" s="7">
        <v>16465</v>
      </c>
      <c r="C8" s="27">
        <v>1945393</v>
      </c>
      <c r="D8" s="7">
        <v>15821</v>
      </c>
      <c r="E8" s="27">
        <v>1701904</v>
      </c>
      <c r="F8" s="7">
        <v>15504</v>
      </c>
      <c r="G8" s="27">
        <v>1939481</v>
      </c>
      <c r="H8" s="7">
        <v>22175</v>
      </c>
      <c r="I8" s="27">
        <v>2341893</v>
      </c>
      <c r="J8" s="7">
        <v>69965</v>
      </c>
      <c r="K8" s="27">
        <v>7928671</v>
      </c>
    </row>
    <row r="9" spans="1:11" ht="20.25">
      <c r="A9" s="29" t="s">
        <v>32</v>
      </c>
      <c r="B9" s="7">
        <v>13303</v>
      </c>
      <c r="C9" s="27">
        <v>1808143</v>
      </c>
      <c r="D9" s="7">
        <v>18766</v>
      </c>
      <c r="E9" s="27">
        <v>2390614</v>
      </c>
      <c r="F9" s="7">
        <v>15839</v>
      </c>
      <c r="G9" s="27">
        <v>2025701</v>
      </c>
      <c r="H9" s="7">
        <v>15449</v>
      </c>
      <c r="I9" s="27">
        <v>2014913</v>
      </c>
      <c r="J9" s="7">
        <v>63357</v>
      </c>
      <c r="K9" s="27">
        <v>8239371</v>
      </c>
    </row>
    <row r="10" spans="1:11" ht="20.25">
      <c r="A10" s="29" t="s">
        <v>28</v>
      </c>
      <c r="B10" s="7">
        <v>19605</v>
      </c>
      <c r="C10" s="27">
        <v>2471161</v>
      </c>
      <c r="D10" s="7">
        <v>10715</v>
      </c>
      <c r="E10" s="27">
        <v>1576329</v>
      </c>
      <c r="F10" s="7">
        <v>15462</v>
      </c>
      <c r="G10" s="27">
        <v>2436366</v>
      </c>
      <c r="H10" s="7">
        <v>14365</v>
      </c>
      <c r="I10" s="27">
        <v>1780923</v>
      </c>
      <c r="J10" s="7">
        <v>60147</v>
      </c>
      <c r="K10" s="27">
        <v>8264779</v>
      </c>
    </row>
    <row r="11" spans="1:11" ht="20.25">
      <c r="A11" s="29" t="s">
        <v>17</v>
      </c>
      <c r="B11" s="7">
        <v>12849</v>
      </c>
      <c r="C11" s="27">
        <v>1997633</v>
      </c>
      <c r="D11" s="7">
        <v>9804</v>
      </c>
      <c r="E11" s="27">
        <v>1461896</v>
      </c>
      <c r="F11" s="7">
        <v>18232</v>
      </c>
      <c r="G11" s="27">
        <v>2289391</v>
      </c>
      <c r="H11" s="7">
        <v>18542</v>
      </c>
      <c r="I11" s="27">
        <v>2514259</v>
      </c>
      <c r="J11" s="7">
        <v>59427</v>
      </c>
      <c r="K11" s="27">
        <v>8263179</v>
      </c>
    </row>
    <row r="12" spans="1:11" ht="20.25">
      <c r="A12" s="29" t="s">
        <v>13</v>
      </c>
      <c r="B12" s="7">
        <v>13861</v>
      </c>
      <c r="C12" s="27">
        <v>1584235</v>
      </c>
      <c r="D12" s="7">
        <v>16120</v>
      </c>
      <c r="E12" s="27">
        <v>2313757</v>
      </c>
      <c r="F12" s="7">
        <v>17877</v>
      </c>
      <c r="G12" s="27">
        <v>2204130</v>
      </c>
      <c r="H12" s="7">
        <v>13860</v>
      </c>
      <c r="I12" s="27">
        <v>1887452</v>
      </c>
      <c r="J12" s="7">
        <v>61718</v>
      </c>
      <c r="K12" s="27">
        <v>7989574</v>
      </c>
    </row>
    <row r="13" spans="1:11" ht="20.25">
      <c r="A13" s="29" t="s">
        <v>9</v>
      </c>
      <c r="B13" s="7">
        <v>16347</v>
      </c>
      <c r="C13" s="27">
        <v>1719431</v>
      </c>
      <c r="D13" s="7">
        <v>19172</v>
      </c>
      <c r="E13" s="27">
        <v>2854850</v>
      </c>
      <c r="F13" s="7">
        <v>13942</v>
      </c>
      <c r="G13" s="27">
        <v>1767728</v>
      </c>
      <c r="H13" s="7">
        <v>15901</v>
      </c>
      <c r="I13" s="27">
        <v>2139112</v>
      </c>
      <c r="J13" s="7">
        <v>65362</v>
      </c>
      <c r="K13" s="27">
        <v>8481121</v>
      </c>
    </row>
    <row r="14" spans="1:11" ht="20.25">
      <c r="A14" s="29" t="s">
        <v>115</v>
      </c>
      <c r="B14" s="7">
        <v>121020</v>
      </c>
      <c r="C14" s="27">
        <v>15296889</v>
      </c>
      <c r="D14" s="7">
        <v>127107</v>
      </c>
      <c r="E14" s="27">
        <v>16419557</v>
      </c>
      <c r="F14" s="7">
        <v>116402</v>
      </c>
      <c r="G14" s="27">
        <v>15495750</v>
      </c>
      <c r="H14" s="7">
        <v>135971</v>
      </c>
      <c r="I14" s="27">
        <v>16533473</v>
      </c>
      <c r="J14" s="7">
        <v>500500</v>
      </c>
      <c r="K14" s="27">
        <v>63745669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5BFB-908F-47EE-BF89-5098FA753D45}">
  <sheetPr>
    <tabColor rgb="FFFFFF00"/>
  </sheetPr>
  <dimension ref="A3:K18"/>
  <sheetViews>
    <sheetView workbookViewId="0">
      <selection activeCell="H17" sqref="H17"/>
    </sheetView>
  </sheetViews>
  <sheetFormatPr defaultRowHeight="15"/>
  <cols>
    <col min="1" max="1" width="16.42578125" customWidth="1"/>
    <col min="2" max="2" width="16.7109375" customWidth="1"/>
    <col min="3" max="3" width="19.42578125" customWidth="1"/>
    <col min="4" max="4" width="17.28515625" customWidth="1"/>
    <col min="5" max="5" width="21.140625" customWidth="1"/>
    <col min="6" max="6" width="16.85546875" customWidth="1"/>
    <col min="7" max="7" width="20" customWidth="1"/>
    <col min="8" max="8" width="16.85546875" customWidth="1"/>
    <col min="9" max="9" width="17.42578125" bestFit="1" customWidth="1"/>
    <col min="10" max="10" width="22" customWidth="1"/>
    <col min="11" max="11" width="27" customWidth="1"/>
  </cols>
  <sheetData>
    <row r="3" spans="1:11" ht="18.75">
      <c r="A3" s="6"/>
      <c r="B3" s="24" t="s">
        <v>116</v>
      </c>
      <c r="C3" s="6"/>
      <c r="D3" s="6"/>
      <c r="E3" s="6"/>
      <c r="F3" s="6"/>
      <c r="G3" s="6"/>
      <c r="H3" s="6"/>
      <c r="I3" s="6"/>
      <c r="J3" s="6"/>
      <c r="K3" s="6"/>
    </row>
    <row r="4" spans="1:11" ht="18.75">
      <c r="A4" s="6"/>
      <c r="B4" s="6" t="s">
        <v>12</v>
      </c>
      <c r="C4" s="6"/>
      <c r="D4" s="6" t="s">
        <v>8</v>
      </c>
      <c r="E4" s="6"/>
      <c r="F4" s="6" t="s">
        <v>16</v>
      </c>
      <c r="G4" s="6"/>
      <c r="H4" s="6" t="s">
        <v>22</v>
      </c>
      <c r="I4" s="6"/>
      <c r="J4" s="6" t="s">
        <v>117</v>
      </c>
      <c r="K4" s="6" t="s">
        <v>118</v>
      </c>
    </row>
    <row r="5" spans="1:11" ht="18.75">
      <c r="A5" s="24" t="s">
        <v>5</v>
      </c>
      <c r="B5" s="6" t="s">
        <v>119</v>
      </c>
      <c r="C5" s="6" t="s">
        <v>103</v>
      </c>
      <c r="D5" s="6" t="s">
        <v>119</v>
      </c>
      <c r="E5" s="6" t="s">
        <v>103</v>
      </c>
      <c r="F5" s="6" t="s">
        <v>119</v>
      </c>
      <c r="G5" s="6" t="s">
        <v>103</v>
      </c>
      <c r="H5" s="6" t="s">
        <v>119</v>
      </c>
      <c r="I5" s="6" t="s">
        <v>103</v>
      </c>
      <c r="J5" s="6"/>
      <c r="K5" s="6"/>
    </row>
    <row r="6" spans="1:11" ht="18.75">
      <c r="A6" s="25" t="s">
        <v>38</v>
      </c>
      <c r="B6" s="6">
        <v>20880</v>
      </c>
      <c r="C6" s="26">
        <v>1822129</v>
      </c>
      <c r="D6" s="6">
        <v>19818</v>
      </c>
      <c r="E6" s="26">
        <v>2158227</v>
      </c>
      <c r="F6" s="6">
        <v>12753</v>
      </c>
      <c r="G6" s="26">
        <v>1819792</v>
      </c>
      <c r="H6" s="6">
        <v>9910</v>
      </c>
      <c r="I6" s="26">
        <v>1432024</v>
      </c>
      <c r="J6" s="6">
        <v>63361</v>
      </c>
      <c r="K6" s="26">
        <v>7232172</v>
      </c>
    </row>
    <row r="7" spans="1:11" ht="18.75">
      <c r="A7" s="25" t="s">
        <v>20</v>
      </c>
      <c r="B7" s="6">
        <v>14799</v>
      </c>
      <c r="C7" s="26">
        <v>2032792</v>
      </c>
      <c r="D7" s="6">
        <v>16891</v>
      </c>
      <c r="E7" s="26">
        <v>1961980</v>
      </c>
      <c r="F7" s="6">
        <v>15837</v>
      </c>
      <c r="G7" s="26">
        <v>1951101</v>
      </c>
      <c r="H7" s="6">
        <v>9636</v>
      </c>
      <c r="I7" s="26">
        <v>1400929</v>
      </c>
      <c r="J7" s="6">
        <v>57163</v>
      </c>
      <c r="K7" s="26">
        <v>7346802</v>
      </c>
    </row>
    <row r="8" spans="1:11" ht="18.75">
      <c r="A8" s="25" t="s">
        <v>25</v>
      </c>
      <c r="B8" s="6">
        <v>22175</v>
      </c>
      <c r="C8" s="26">
        <v>2341893</v>
      </c>
      <c r="D8" s="6">
        <v>15821</v>
      </c>
      <c r="E8" s="26">
        <v>1701904</v>
      </c>
      <c r="F8" s="6">
        <v>16465</v>
      </c>
      <c r="G8" s="26">
        <v>1945393</v>
      </c>
      <c r="H8" s="6">
        <v>15504</v>
      </c>
      <c r="I8" s="26">
        <v>1939481</v>
      </c>
      <c r="J8" s="6">
        <v>69965</v>
      </c>
      <c r="K8" s="26">
        <v>7928671</v>
      </c>
    </row>
    <row r="9" spans="1:11" ht="18.75">
      <c r="A9" s="25" t="s">
        <v>32</v>
      </c>
      <c r="B9" s="6">
        <v>15449</v>
      </c>
      <c r="C9" s="26">
        <v>2014913</v>
      </c>
      <c r="D9" s="6">
        <v>18766</v>
      </c>
      <c r="E9" s="26">
        <v>2390614</v>
      </c>
      <c r="F9" s="6">
        <v>13303</v>
      </c>
      <c r="G9" s="26">
        <v>1808143</v>
      </c>
      <c r="H9" s="6">
        <v>15839</v>
      </c>
      <c r="I9" s="26">
        <v>2025701</v>
      </c>
      <c r="J9" s="6">
        <v>63357</v>
      </c>
      <c r="K9" s="26">
        <v>8239371</v>
      </c>
    </row>
    <row r="10" spans="1:11" ht="18.75">
      <c r="A10" s="25" t="s">
        <v>28</v>
      </c>
      <c r="B10" s="6">
        <v>14365</v>
      </c>
      <c r="C10" s="26">
        <v>1780923</v>
      </c>
      <c r="D10" s="6">
        <v>10715</v>
      </c>
      <c r="E10" s="26">
        <v>1576329</v>
      </c>
      <c r="F10" s="6">
        <v>19605</v>
      </c>
      <c r="G10" s="26">
        <v>2471161</v>
      </c>
      <c r="H10" s="6">
        <v>15462</v>
      </c>
      <c r="I10" s="26">
        <v>2436366</v>
      </c>
      <c r="J10" s="6">
        <v>60147</v>
      </c>
      <c r="K10" s="26">
        <v>8264779</v>
      </c>
    </row>
    <row r="11" spans="1:11" ht="18.75">
      <c r="A11" s="25" t="s">
        <v>17</v>
      </c>
      <c r="B11" s="6">
        <v>18542</v>
      </c>
      <c r="C11" s="26">
        <v>2514259</v>
      </c>
      <c r="D11" s="6">
        <v>9804</v>
      </c>
      <c r="E11" s="26">
        <v>1461896</v>
      </c>
      <c r="F11" s="6">
        <v>12849</v>
      </c>
      <c r="G11" s="26">
        <v>1997633</v>
      </c>
      <c r="H11" s="6">
        <v>18232</v>
      </c>
      <c r="I11" s="26">
        <v>2289391</v>
      </c>
      <c r="J11" s="6">
        <v>59427</v>
      </c>
      <c r="K11" s="26">
        <v>8263179</v>
      </c>
    </row>
    <row r="12" spans="1:11" ht="18.75">
      <c r="A12" s="25" t="s">
        <v>13</v>
      </c>
      <c r="B12" s="6">
        <v>13860</v>
      </c>
      <c r="C12" s="26">
        <v>1887452</v>
      </c>
      <c r="D12" s="6">
        <v>16120</v>
      </c>
      <c r="E12" s="26">
        <v>2313757</v>
      </c>
      <c r="F12" s="6">
        <v>13861</v>
      </c>
      <c r="G12" s="26">
        <v>1584235</v>
      </c>
      <c r="H12" s="6">
        <v>17877</v>
      </c>
      <c r="I12" s="26">
        <v>2204130</v>
      </c>
      <c r="J12" s="6">
        <v>61718</v>
      </c>
      <c r="K12" s="26">
        <v>7989574</v>
      </c>
    </row>
    <row r="13" spans="1:11" ht="18.75">
      <c r="A13" s="25" t="s">
        <v>9</v>
      </c>
      <c r="B13" s="6">
        <v>15901</v>
      </c>
      <c r="C13" s="26">
        <v>2139112</v>
      </c>
      <c r="D13" s="6">
        <v>19172</v>
      </c>
      <c r="E13" s="26">
        <v>2854850</v>
      </c>
      <c r="F13" s="6">
        <v>16347</v>
      </c>
      <c r="G13" s="26">
        <v>1719431</v>
      </c>
      <c r="H13" s="6">
        <v>13942</v>
      </c>
      <c r="I13" s="26">
        <v>1767728</v>
      </c>
      <c r="J13" s="6">
        <v>65362</v>
      </c>
      <c r="K13" s="26">
        <v>8481121</v>
      </c>
    </row>
    <row r="14" spans="1:11" ht="18.75">
      <c r="A14" s="25" t="s">
        <v>115</v>
      </c>
      <c r="B14" s="6">
        <v>135971</v>
      </c>
      <c r="C14" s="26">
        <v>16533473</v>
      </c>
      <c r="D14" s="6">
        <v>127107</v>
      </c>
      <c r="E14" s="26">
        <v>16419557</v>
      </c>
      <c r="F14" s="6">
        <v>121020</v>
      </c>
      <c r="G14" s="26">
        <v>15296889</v>
      </c>
      <c r="H14" s="6">
        <v>116402</v>
      </c>
      <c r="I14" s="26">
        <v>15495750</v>
      </c>
      <c r="J14" s="6">
        <v>500500</v>
      </c>
      <c r="K14" s="26">
        <v>63745669</v>
      </c>
    </row>
    <row r="17" spans="4:6" ht="15.75" customHeight="1">
      <c r="D17" s="31" t="s">
        <v>120</v>
      </c>
      <c r="E17" s="31"/>
      <c r="F17" s="31"/>
    </row>
    <row r="18" spans="4:6" ht="15.75">
      <c r="D18" s="8"/>
    </row>
  </sheetData>
  <mergeCells count="1">
    <mergeCell ref="D17:F17"/>
  </mergeCells>
  <conditionalFormatting sqref="D17:D18">
    <cfRule type="containsText" dxfId="0" priority="1" operator="containsText" text="Top Performer After Filtering: Charlie Evans">
      <formula>NOT(ISERROR(SEARCH("Top Performer After Filtering: Charlie Evans",D17)))</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D3AC-9DA3-4822-B652-A5658476A7EB}">
  <sheetPr codeName="Sheet1">
    <tabColor rgb="FF00B050"/>
  </sheetPr>
  <dimension ref="A1:C289"/>
  <sheetViews>
    <sheetView topLeftCell="A19" workbookViewId="0">
      <selection activeCell="S31" sqref="S31"/>
    </sheetView>
  </sheetViews>
  <sheetFormatPr defaultRowHeight="15"/>
  <sheetData>
    <row r="1" spans="1:1" ht="18">
      <c r="A1" s="10"/>
    </row>
    <row r="3" spans="1:1">
      <c r="A3" s="11"/>
    </row>
    <row r="9" spans="1:1" ht="18">
      <c r="A9" s="10"/>
    </row>
    <row r="11" spans="1:1">
      <c r="A11" s="11"/>
    </row>
    <row r="17" spans="1:1" ht="18">
      <c r="A17" s="10"/>
    </row>
    <row r="19" spans="1:1">
      <c r="A19" s="11"/>
    </row>
    <row r="27" spans="1:1" ht="31.5">
      <c r="A27" s="12"/>
    </row>
    <row r="29" spans="1:1" ht="24">
      <c r="A29" s="13"/>
    </row>
    <row r="35" spans="1:1" ht="24">
      <c r="A35" s="13"/>
    </row>
    <row r="37" spans="1:1" ht="18">
      <c r="A37" s="10"/>
    </row>
    <row r="40" spans="1:1">
      <c r="A40" s="9"/>
    </row>
    <row r="41" spans="1:1">
      <c r="A41" s="14"/>
    </row>
    <row r="44" spans="1:1">
      <c r="A44" s="9"/>
    </row>
    <row r="45" spans="1:1">
      <c r="A45" s="14"/>
    </row>
    <row r="51" spans="1:1" ht="24">
      <c r="A51" s="13"/>
    </row>
    <row r="53" spans="1:1" ht="18">
      <c r="A53" s="10"/>
    </row>
    <row r="56" spans="1:1">
      <c r="A56" s="9"/>
    </row>
    <row r="57" spans="1:1">
      <c r="A57" s="14"/>
    </row>
    <row r="60" spans="1:1">
      <c r="A60" s="9"/>
    </row>
    <row r="61" spans="1:1">
      <c r="A61" s="14"/>
    </row>
    <row r="65" spans="1:1" ht="24">
      <c r="A65" s="13"/>
    </row>
    <row r="67" spans="1:1" ht="18">
      <c r="A67" s="10"/>
    </row>
    <row r="70" spans="1:1">
      <c r="A70" s="9"/>
    </row>
    <row r="71" spans="1:1">
      <c r="A71" s="14"/>
    </row>
    <row r="74" spans="1:1">
      <c r="A74" s="9"/>
    </row>
    <row r="75" spans="1:1">
      <c r="A75" s="14"/>
    </row>
    <row r="79" spans="1:1" ht="24">
      <c r="A79" s="13"/>
    </row>
    <row r="81" spans="1:1" ht="18">
      <c r="A81" s="10"/>
    </row>
    <row r="84" spans="1:1">
      <c r="A84" s="9"/>
    </row>
    <row r="85" spans="1:1">
      <c r="A85" s="14"/>
    </row>
    <row r="88" spans="1:1">
      <c r="A88" s="9"/>
    </row>
    <row r="89" spans="1:1">
      <c r="A89" s="14"/>
    </row>
    <row r="93" spans="1:1" ht="18">
      <c r="A93" s="10"/>
    </row>
    <row r="98" spans="1:1">
      <c r="A98" s="9"/>
    </row>
    <row r="99" spans="1:1">
      <c r="A99" s="14"/>
    </row>
    <row r="102" spans="1:1">
      <c r="A102" s="9"/>
    </row>
    <row r="103" spans="1:1">
      <c r="A103" s="14"/>
    </row>
    <row r="106" spans="1:1">
      <c r="A106" s="9"/>
    </row>
    <row r="107" spans="1:1">
      <c r="A107" s="14"/>
    </row>
    <row r="115" spans="1:1" ht="31.5">
      <c r="A115" s="12"/>
    </row>
    <row r="117" spans="1:1" ht="24">
      <c r="A117" s="13"/>
    </row>
    <row r="123" spans="1:1" ht="24">
      <c r="A123" s="13"/>
    </row>
    <row r="125" spans="1:1" ht="18">
      <c r="A125" s="10"/>
    </row>
    <row r="126" spans="1:1">
      <c r="A126" s="15"/>
    </row>
    <row r="127" spans="1:1">
      <c r="A127" s="15"/>
    </row>
    <row r="128" spans="1:1">
      <c r="A128" s="15"/>
    </row>
    <row r="129" spans="1:1">
      <c r="A129" s="15"/>
    </row>
    <row r="132" spans="1:1">
      <c r="A132" s="9"/>
    </row>
    <row r="133" spans="1:1">
      <c r="A133" s="14"/>
    </row>
    <row r="137" spans="1:1" ht="24">
      <c r="A137" s="13"/>
    </row>
    <row r="139" spans="1:1" ht="18">
      <c r="A139" s="10"/>
    </row>
    <row r="140" spans="1:1">
      <c r="A140" s="15"/>
    </row>
    <row r="141" spans="1:1">
      <c r="A141" s="15"/>
    </row>
    <row r="142" spans="1:1">
      <c r="A142" s="15"/>
    </row>
    <row r="143" spans="1:1">
      <c r="A143" s="15"/>
    </row>
    <row r="146" spans="1:1">
      <c r="A146" s="9"/>
    </row>
    <row r="147" spans="1:1">
      <c r="A147" s="14"/>
    </row>
    <row r="153" spans="1:1" ht="24">
      <c r="A153" s="13"/>
    </row>
    <row r="155" spans="1:1" ht="18">
      <c r="A155" s="10"/>
    </row>
    <row r="156" spans="1:1">
      <c r="A156" s="15"/>
    </row>
    <row r="157" spans="1:1">
      <c r="A157" s="15"/>
    </row>
    <row r="158" spans="1:1">
      <c r="A158" s="15"/>
    </row>
    <row r="159" spans="1:1">
      <c r="A159" s="15"/>
    </row>
    <row r="162" spans="1:1">
      <c r="A162" s="9"/>
    </row>
    <row r="163" spans="1:1">
      <c r="A163" s="14"/>
    </row>
    <row r="167" spans="1:1" ht="24">
      <c r="A167" s="13"/>
    </row>
    <row r="169" spans="1:1" ht="18">
      <c r="A169" s="10"/>
    </row>
    <row r="170" spans="1:1">
      <c r="A170" s="15"/>
    </row>
    <row r="171" spans="1:1">
      <c r="A171" s="15"/>
    </row>
    <row r="172" spans="1:1">
      <c r="A172" s="15"/>
    </row>
    <row r="173" spans="1:1">
      <c r="A173" s="15"/>
    </row>
    <row r="176" spans="1:1">
      <c r="A176" s="9"/>
    </row>
    <row r="177" spans="1:1">
      <c r="A177" s="14"/>
    </row>
    <row r="181" spans="1:1" ht="31.5">
      <c r="A181" s="12"/>
    </row>
    <row r="184" spans="1:1">
      <c r="A184" s="15"/>
    </row>
    <row r="185" spans="1:1">
      <c r="A185" s="15"/>
    </row>
    <row r="189" spans="1:1" ht="18">
      <c r="A189" s="10"/>
    </row>
    <row r="213" spans="1:1" ht="18">
      <c r="A213" s="10"/>
    </row>
    <row r="216" spans="1:1">
      <c r="A216" s="15"/>
    </row>
    <row r="217" spans="1:1">
      <c r="A217" s="16"/>
    </row>
    <row r="218" spans="1:1">
      <c r="A218" s="16"/>
    </row>
    <row r="224" spans="1:1" ht="18">
      <c r="A224" s="10"/>
    </row>
    <row r="228" spans="1:3">
      <c r="A228" s="17"/>
      <c r="B228" s="17"/>
      <c r="C228" s="17"/>
    </row>
    <row r="229" spans="1:3">
      <c r="A229" s="18"/>
      <c r="B229" s="18"/>
      <c r="C229" s="18"/>
    </row>
    <row r="230" spans="1:3">
      <c r="A230" s="18"/>
      <c r="B230" s="18"/>
      <c r="C230" s="18"/>
    </row>
    <row r="236" spans="1:3" ht="18">
      <c r="A236" s="10"/>
    </row>
    <row r="238" spans="1:3" ht="15.75">
      <c r="A238" s="19"/>
    </row>
    <row r="239" spans="1:3">
      <c r="A239" s="15"/>
    </row>
    <row r="240" spans="1:3">
      <c r="A240" s="15"/>
    </row>
    <row r="241" spans="1:1">
      <c r="A241" s="15"/>
    </row>
    <row r="242" spans="1:1">
      <c r="A242" s="15"/>
    </row>
    <row r="243" spans="1:1">
      <c r="A243" s="15"/>
    </row>
    <row r="244" spans="1:1">
      <c r="A244" s="9"/>
    </row>
    <row r="245" spans="1:1">
      <c r="A245" s="14"/>
    </row>
    <row r="251" spans="1:1" ht="18">
      <c r="A251" s="10"/>
    </row>
    <row r="252" spans="1:1">
      <c r="A252" s="15"/>
    </row>
    <row r="253" spans="1:1">
      <c r="A253" s="15"/>
    </row>
    <row r="254" spans="1:1">
      <c r="A254" s="15"/>
    </row>
    <row r="255" spans="1:1">
      <c r="A255" s="9"/>
    </row>
    <row r="256" spans="1:1">
      <c r="A256" s="14"/>
    </row>
    <row r="257" spans="1:1">
      <c r="A257" s="15"/>
    </row>
    <row r="258" spans="1:1">
      <c r="A258" s="15"/>
    </row>
    <row r="259" spans="1:1">
      <c r="A259" s="9"/>
    </row>
    <row r="260" spans="1:1">
      <c r="A260" s="14"/>
    </row>
    <row r="261" spans="1:1">
      <c r="A261" s="14"/>
    </row>
    <row r="262" spans="1:1">
      <c r="A262" s="15"/>
    </row>
    <row r="263" spans="1:1">
      <c r="A263" s="15"/>
    </row>
    <row r="267" spans="1:1" ht="18">
      <c r="A267" s="10"/>
    </row>
    <row r="270" spans="1:1">
      <c r="A270" s="15"/>
    </row>
    <row r="271" spans="1:1">
      <c r="A271" s="15"/>
    </row>
    <row r="272" spans="1:1">
      <c r="A272" s="15"/>
    </row>
    <row r="275" spans="1:2">
      <c r="A275" s="9"/>
    </row>
    <row r="276" spans="1:2">
      <c r="A276" s="14"/>
    </row>
    <row r="279" spans="1:2">
      <c r="A279" s="9"/>
    </row>
    <row r="280" spans="1:2">
      <c r="A280" s="14"/>
    </row>
    <row r="282" spans="1:2" ht="18">
      <c r="A282" s="10"/>
    </row>
    <row r="286" spans="1:2">
      <c r="A286" s="17"/>
      <c r="B286" s="17"/>
    </row>
    <row r="287" spans="1:2">
      <c r="A287" s="18"/>
      <c r="B287" s="18"/>
    </row>
    <row r="288" spans="1:2">
      <c r="A288" s="18"/>
      <c r="B288" s="18"/>
    </row>
    <row r="289" spans="1:2">
      <c r="A289" s="18"/>
      <c r="B289" s="18"/>
    </row>
  </sheetData>
  <pageMargins left="0.7" right="0.7" top="0.75" bottom="0.75" header="0.3" footer="0.3"/>
  <drawing r:id="rId1"/>
  <legacyDrawing r:id="rId2"/>
  <controls>
    <mc:AlternateContent xmlns:mc="http://schemas.openxmlformats.org/markup-compatibility/2006">
      <mc:Choice Requires="x14">
        <control shapeId="12289" r:id="rId3" name="Control 1">
          <controlPr defaultSize="0" r:id="rId4">
            <anchor moveWithCells="1">
              <from>
                <xdr:col>0</xdr:col>
                <xdr:colOff>0</xdr:colOff>
                <xdr:row>294</xdr:row>
                <xdr:rowOff>0</xdr:rowOff>
              </from>
              <to>
                <xdr:col>4</xdr:col>
                <xdr:colOff>161925</xdr:colOff>
                <xdr:row>299</xdr:row>
                <xdr:rowOff>9525</xdr:rowOff>
              </to>
            </anchor>
          </controlPr>
        </control>
      </mc:Choice>
      <mc:Fallback>
        <control shapeId="12289" r:id="rId3" name="Control 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20674-BFB1-4217-803C-687EDC439EF5}">
  <sheetPr>
    <tabColor rgb="FF92D050"/>
  </sheetPr>
  <dimension ref="A1:L26"/>
  <sheetViews>
    <sheetView topLeftCell="A19" workbookViewId="0">
      <selection activeCell="M3" sqref="M3"/>
    </sheetView>
  </sheetViews>
  <sheetFormatPr defaultRowHeight="15"/>
  <cols>
    <col min="1" max="1" width="20.85546875" customWidth="1"/>
    <col min="2" max="2" width="24.42578125" customWidth="1"/>
    <col min="7" max="7" width="15.7109375" customWidth="1"/>
    <col min="8" max="8" width="18.85546875" customWidth="1"/>
    <col min="11" max="11" width="15.42578125" customWidth="1"/>
    <col min="12" max="12" width="30.42578125" customWidth="1"/>
  </cols>
  <sheetData>
    <row r="1" spans="1:12" ht="20.25">
      <c r="A1" s="7"/>
      <c r="B1" s="7"/>
      <c r="C1" s="7"/>
      <c r="D1" s="7"/>
      <c r="E1" s="7"/>
      <c r="F1" s="7"/>
      <c r="G1" s="7"/>
      <c r="H1" s="30" t="s">
        <v>121</v>
      </c>
      <c r="I1" s="7"/>
      <c r="J1" s="7"/>
      <c r="K1" s="7"/>
      <c r="L1" s="7"/>
    </row>
    <row r="2" spans="1:12" ht="20.25">
      <c r="A2" s="7" t="s">
        <v>122</v>
      </c>
      <c r="B2" s="7"/>
      <c r="C2" s="7"/>
      <c r="D2" s="7"/>
      <c r="E2" s="7"/>
      <c r="F2" s="7"/>
      <c r="G2" s="7" t="s">
        <v>123</v>
      </c>
      <c r="H2" s="7"/>
      <c r="I2" s="7"/>
      <c r="J2" s="7"/>
      <c r="K2" s="7" t="s">
        <v>124</v>
      </c>
      <c r="L2" s="7"/>
    </row>
    <row r="3" spans="1:12" ht="20.25">
      <c r="A3" s="28" t="s">
        <v>101</v>
      </c>
      <c r="B3" s="7" t="s">
        <v>103</v>
      </c>
      <c r="C3" s="7"/>
      <c r="D3" s="7"/>
      <c r="E3" s="7"/>
      <c r="F3" s="7"/>
      <c r="G3" s="28" t="s">
        <v>2</v>
      </c>
      <c r="H3" s="7" t="s">
        <v>119</v>
      </c>
      <c r="I3" s="7"/>
      <c r="J3" s="7"/>
      <c r="K3" s="28" t="s">
        <v>2</v>
      </c>
      <c r="L3" s="7" t="s">
        <v>125</v>
      </c>
    </row>
    <row r="4" spans="1:12" ht="20.25">
      <c r="A4" s="29" t="s">
        <v>107</v>
      </c>
      <c r="B4" s="7">
        <v>7702367</v>
      </c>
      <c r="C4" s="7"/>
      <c r="D4" s="7"/>
      <c r="E4" s="7"/>
      <c r="F4" s="7"/>
      <c r="G4" s="29" t="s">
        <v>16</v>
      </c>
      <c r="H4" s="7">
        <v>121020</v>
      </c>
      <c r="I4" s="7"/>
      <c r="J4" s="7"/>
      <c r="K4" s="29" t="s">
        <v>16</v>
      </c>
      <c r="L4" s="27">
        <v>63472.568464730291</v>
      </c>
    </row>
    <row r="5" spans="1:12" ht="20.25">
      <c r="A5" s="29" t="s">
        <v>112</v>
      </c>
      <c r="B5" s="7">
        <v>7347100</v>
      </c>
      <c r="C5" s="7"/>
      <c r="D5" s="7"/>
      <c r="E5" s="7"/>
      <c r="F5" s="7"/>
      <c r="G5" s="29" t="s">
        <v>8</v>
      </c>
      <c r="H5" s="7">
        <v>127107</v>
      </c>
      <c r="I5" s="7"/>
      <c r="J5" s="7"/>
      <c r="K5" s="29" t="s">
        <v>8</v>
      </c>
      <c r="L5" s="27">
        <v>62910.180076628356</v>
      </c>
    </row>
    <row r="6" spans="1:12" ht="20.25">
      <c r="A6" s="29" t="s">
        <v>108</v>
      </c>
      <c r="B6" s="7">
        <v>6792216</v>
      </c>
      <c r="C6" s="7"/>
      <c r="D6" s="7"/>
      <c r="E6" s="7"/>
      <c r="F6" s="7"/>
      <c r="G6" s="29" t="s">
        <v>22</v>
      </c>
      <c r="H6" s="7">
        <v>116402</v>
      </c>
      <c r="I6" s="7"/>
      <c r="J6" s="7"/>
      <c r="K6" s="29" t="s">
        <v>22</v>
      </c>
      <c r="L6" s="27">
        <v>66221.153846153844</v>
      </c>
    </row>
    <row r="7" spans="1:12" ht="20.25">
      <c r="A7" s="29" t="s">
        <v>111</v>
      </c>
      <c r="B7" s="7">
        <v>6543619</v>
      </c>
      <c r="C7" s="7"/>
      <c r="D7" s="7"/>
      <c r="E7" s="7"/>
      <c r="F7" s="7"/>
      <c r="G7" s="29" t="s">
        <v>12</v>
      </c>
      <c r="H7" s="7">
        <v>135971</v>
      </c>
      <c r="I7" s="7"/>
      <c r="J7" s="7"/>
      <c r="K7" s="29" t="s">
        <v>12</v>
      </c>
      <c r="L7" s="27">
        <v>62626.791666666664</v>
      </c>
    </row>
    <row r="8" spans="1:12" ht="20.25">
      <c r="A8" s="29" t="s">
        <v>105</v>
      </c>
      <c r="B8" s="7">
        <v>6408278</v>
      </c>
      <c r="C8" s="7"/>
      <c r="D8" s="7"/>
      <c r="E8" s="7"/>
      <c r="F8" s="7"/>
      <c r="G8" s="29" t="s">
        <v>115</v>
      </c>
      <c r="H8" s="7">
        <v>500500</v>
      </c>
      <c r="I8" s="7"/>
      <c r="J8" s="7"/>
      <c r="K8" s="29" t="s">
        <v>115</v>
      </c>
      <c r="L8" s="27">
        <v>63745.669000000002</v>
      </c>
    </row>
    <row r="9" spans="1:12" ht="20.25">
      <c r="A9" s="29" t="s">
        <v>110</v>
      </c>
      <c r="B9" s="7">
        <v>6366281</v>
      </c>
      <c r="C9" s="7"/>
      <c r="D9" s="7"/>
      <c r="E9" s="7"/>
      <c r="F9" s="7"/>
      <c r="G9" s="7"/>
      <c r="H9" s="7"/>
      <c r="I9" s="7"/>
      <c r="J9" s="7"/>
      <c r="K9" s="7"/>
      <c r="L9" s="7"/>
    </row>
    <row r="10" spans="1:12" ht="20.25">
      <c r="A10" s="29" t="s">
        <v>114</v>
      </c>
      <c r="B10" s="7">
        <v>6153923</v>
      </c>
      <c r="C10" s="7"/>
      <c r="D10" s="7"/>
      <c r="E10" s="7"/>
      <c r="F10" s="7"/>
      <c r="G10" s="7"/>
      <c r="H10" s="7"/>
      <c r="I10" s="7"/>
      <c r="J10" s="7"/>
      <c r="K10" s="7"/>
      <c r="L10" s="7"/>
    </row>
    <row r="11" spans="1:12" ht="20.25">
      <c r="A11" s="29" t="s">
        <v>113</v>
      </c>
      <c r="B11" s="7">
        <v>5870734</v>
      </c>
      <c r="C11" s="7"/>
      <c r="D11" s="7"/>
      <c r="E11" s="7"/>
      <c r="F11" s="7"/>
      <c r="G11" s="7"/>
      <c r="H11" s="7"/>
      <c r="I11" s="7"/>
      <c r="J11" s="7"/>
      <c r="K11" s="7"/>
      <c r="L11" s="7"/>
    </row>
    <row r="12" spans="1:12" ht="20.25">
      <c r="A12" s="29" t="s">
        <v>109</v>
      </c>
      <c r="B12" s="7">
        <v>5327273</v>
      </c>
      <c r="C12" s="7"/>
      <c r="D12" s="7"/>
      <c r="E12" s="7"/>
      <c r="F12" s="7"/>
      <c r="G12" s="7"/>
      <c r="H12" s="7"/>
      <c r="I12" s="7"/>
      <c r="J12" s="7"/>
      <c r="K12" s="7"/>
      <c r="L12" s="7"/>
    </row>
    <row r="13" spans="1:12" ht="20.25">
      <c r="A13" s="29" t="s">
        <v>106</v>
      </c>
      <c r="B13" s="7">
        <v>5233878</v>
      </c>
      <c r="C13" s="7"/>
      <c r="D13" s="7"/>
      <c r="E13" s="7"/>
      <c r="F13" s="7"/>
      <c r="G13" s="7"/>
      <c r="H13" s="7"/>
      <c r="I13" s="7"/>
      <c r="J13" s="7"/>
      <c r="K13" s="7"/>
      <c r="L13" s="7"/>
    </row>
    <row r="14" spans="1:12" ht="20.25">
      <c r="A14" s="29" t="s">
        <v>115</v>
      </c>
      <c r="B14" s="7">
        <v>63745669</v>
      </c>
      <c r="C14" s="7"/>
      <c r="D14" s="7"/>
      <c r="E14" s="7"/>
      <c r="F14" s="7"/>
      <c r="G14" s="7"/>
      <c r="H14" s="7"/>
      <c r="I14" s="7"/>
      <c r="J14" s="7"/>
      <c r="K14" s="7"/>
      <c r="L14" s="7"/>
    </row>
    <row r="15" spans="1:12" ht="20.25">
      <c r="A15" s="7"/>
      <c r="B15" s="7"/>
      <c r="C15" s="7"/>
      <c r="D15" s="7"/>
      <c r="E15" s="7"/>
      <c r="F15" s="7"/>
      <c r="G15" s="7"/>
      <c r="H15" s="7"/>
      <c r="I15" s="7"/>
      <c r="J15" s="7"/>
      <c r="K15" s="7"/>
      <c r="L15" s="7"/>
    </row>
    <row r="16" spans="1:12" ht="20.25">
      <c r="A16" s="7"/>
      <c r="B16" s="7"/>
      <c r="C16" s="7"/>
      <c r="D16" s="7"/>
      <c r="E16" s="7"/>
      <c r="F16" s="7"/>
      <c r="G16" s="7"/>
      <c r="H16" s="7"/>
      <c r="I16" s="7"/>
      <c r="J16" s="7"/>
      <c r="K16" s="7"/>
      <c r="L16" s="7"/>
    </row>
    <row r="17" spans="1:12" ht="20.25">
      <c r="A17" s="7"/>
      <c r="B17" s="7"/>
      <c r="C17" s="7"/>
      <c r="D17" s="7"/>
      <c r="E17" s="7"/>
      <c r="F17" s="7"/>
      <c r="G17" s="7"/>
      <c r="H17" s="7"/>
      <c r="I17" s="7"/>
      <c r="J17" s="7"/>
      <c r="K17" s="7"/>
      <c r="L17" s="7"/>
    </row>
    <row r="18" spans="1:12" ht="20.25">
      <c r="A18" s="7"/>
      <c r="B18" s="7"/>
      <c r="C18" s="7"/>
      <c r="D18" s="7"/>
      <c r="E18" s="7"/>
      <c r="F18" s="7"/>
      <c r="G18" s="7"/>
      <c r="H18" s="7"/>
      <c r="I18" s="7"/>
      <c r="J18" s="7"/>
      <c r="K18" s="7"/>
      <c r="L18" s="7"/>
    </row>
    <row r="19" spans="1:12" ht="20.25">
      <c r="A19" s="7" t="s">
        <v>126</v>
      </c>
      <c r="B19" s="7"/>
      <c r="C19" s="7"/>
      <c r="D19" s="7"/>
      <c r="E19" s="7"/>
      <c r="F19" s="7"/>
      <c r="G19" s="7"/>
      <c r="H19" s="7"/>
      <c r="I19" s="7"/>
      <c r="J19" s="7"/>
      <c r="K19" s="7"/>
      <c r="L19" s="7"/>
    </row>
    <row r="20" spans="1:12" ht="20.25">
      <c r="A20" s="28" t="s">
        <v>5</v>
      </c>
      <c r="B20" s="7" t="s">
        <v>119</v>
      </c>
      <c r="C20" s="7"/>
      <c r="D20" s="7"/>
      <c r="E20" s="7"/>
      <c r="F20" s="7"/>
      <c r="G20" s="7"/>
      <c r="H20" s="7"/>
      <c r="I20" s="7"/>
      <c r="J20" s="7"/>
      <c r="K20" s="7"/>
      <c r="L20" s="7"/>
    </row>
    <row r="21" spans="1:12" ht="20.25">
      <c r="A21" s="29" t="s">
        <v>25</v>
      </c>
      <c r="B21" s="7">
        <v>69965</v>
      </c>
      <c r="C21" s="7"/>
      <c r="D21" s="7"/>
      <c r="E21" s="7"/>
      <c r="F21" s="7"/>
      <c r="G21" s="7"/>
      <c r="H21" s="7"/>
      <c r="I21" s="7"/>
      <c r="J21" s="7"/>
      <c r="K21" s="7"/>
      <c r="L21" s="7"/>
    </row>
    <row r="22" spans="1:12" ht="20.25">
      <c r="A22" s="29" t="s">
        <v>9</v>
      </c>
      <c r="B22" s="7">
        <v>65362</v>
      </c>
      <c r="C22" s="7"/>
      <c r="D22" s="7"/>
      <c r="E22" s="7"/>
      <c r="F22" s="7"/>
      <c r="G22" s="7"/>
      <c r="H22" s="7"/>
      <c r="I22" s="7"/>
      <c r="J22" s="7"/>
      <c r="K22" s="7"/>
      <c r="L22" s="7"/>
    </row>
    <row r="23" spans="1:12" ht="20.25">
      <c r="A23" s="29" t="s">
        <v>38</v>
      </c>
      <c r="B23" s="7">
        <v>63361</v>
      </c>
      <c r="C23" s="7"/>
      <c r="D23" s="7"/>
      <c r="E23" s="7"/>
      <c r="F23" s="7"/>
      <c r="G23" s="7"/>
      <c r="H23" s="7"/>
      <c r="I23" s="7"/>
      <c r="J23" s="7"/>
      <c r="K23" s="7"/>
      <c r="L23" s="7"/>
    </row>
    <row r="24" spans="1:12" ht="20.25">
      <c r="A24" s="29" t="s">
        <v>32</v>
      </c>
      <c r="B24" s="7">
        <v>63357</v>
      </c>
      <c r="C24" s="7"/>
      <c r="D24" s="7"/>
      <c r="E24" s="7"/>
      <c r="F24" s="7"/>
      <c r="G24" s="7"/>
      <c r="H24" s="7"/>
      <c r="I24" s="7"/>
      <c r="J24" s="7"/>
      <c r="K24" s="7"/>
      <c r="L24" s="7"/>
    </row>
    <row r="25" spans="1:12" ht="20.25">
      <c r="A25" s="29" t="s">
        <v>13</v>
      </c>
      <c r="B25" s="7">
        <v>61718</v>
      </c>
      <c r="C25" s="7"/>
      <c r="D25" s="7"/>
      <c r="E25" s="7"/>
      <c r="F25" s="7"/>
      <c r="G25" s="7"/>
      <c r="H25" s="7"/>
      <c r="I25" s="7"/>
      <c r="J25" s="7"/>
      <c r="K25" s="7"/>
      <c r="L25" s="7"/>
    </row>
    <row r="26" spans="1:12" ht="20.25">
      <c r="A26" s="29" t="s">
        <v>115</v>
      </c>
      <c r="B26" s="7">
        <v>323763</v>
      </c>
      <c r="C26" s="7"/>
      <c r="D26" s="7"/>
      <c r="E26" s="7"/>
      <c r="F26" s="7"/>
      <c r="G26" s="7"/>
      <c r="H26" s="7"/>
      <c r="I26" s="7"/>
      <c r="J26" s="7"/>
      <c r="K26" s="7"/>
      <c r="L26"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8240-C228-47B5-B81A-47D2721BBA3F}">
  <sheetPr>
    <tabColor rgb="FF00B0F0"/>
  </sheetPr>
  <dimension ref="D1:R39"/>
  <sheetViews>
    <sheetView workbookViewId="0">
      <selection activeCell="C46" sqref="C46"/>
    </sheetView>
  </sheetViews>
  <sheetFormatPr defaultRowHeight="15"/>
  <sheetData>
    <row r="1" spans="9:9" ht="22.5">
      <c r="I1" s="21" t="s">
        <v>127</v>
      </c>
    </row>
    <row r="38" spans="4:18">
      <c r="D38" s="23"/>
      <c r="N38" s="20"/>
      <c r="R38" s="20"/>
    </row>
    <row r="39" spans="4:18">
      <c r="L39" s="2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Pivot Tables</vt:lpstr>
      <vt:lpstr>Dashboard</vt:lpstr>
      <vt:lpstr>Question 1</vt:lpstr>
      <vt:lpstr>Question 2</vt:lpstr>
      <vt:lpstr>Question 3</vt:lpstr>
      <vt:lpstr>Question 4</vt:lpstr>
      <vt:lpstr>Question 5</vt:lpstr>
      <vt:lpstr>Question 6</vt:lpstr>
      <vt:lpstr>Question 7</vt:lpstr>
      <vt:lpstr>Question 8</vt:lpstr>
      <vt:lpstr>Question 9</vt:lpstr>
      <vt:lpstr>Question 10</vt:lpstr>
      <vt:lpstr>Question 11</vt:lpstr>
      <vt:lpstr>Question 12</vt:lpstr>
      <vt:lpstr>Question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Judith Obiefuna</dc:creator>
  <cp:keywords/>
  <dc:description/>
  <cp:lastModifiedBy>Judith Obiefuna</cp:lastModifiedBy>
  <cp:revision/>
  <cp:lastPrinted>2026-07-27T15:32:08Z</cp:lastPrinted>
  <dcterms:created xsi:type="dcterms:W3CDTF">2026-03-25T19:23:42Z</dcterms:created>
  <dcterms:modified xsi:type="dcterms:W3CDTF">2026-07-27T15:35:32Z</dcterms:modified>
  <cp:category/>
  <cp:contentStatus/>
</cp:coreProperties>
</file>